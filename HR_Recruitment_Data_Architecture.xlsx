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Data Analysis project\Gemini\project 2\"/>
    </mc:Choice>
  </mc:AlternateContent>
  <xr:revisionPtr revIDLastSave="0" documentId="13_ncr:1_{FE6A1EF6-328E-4BBF-BB5F-451FFE521316}" xr6:coauthVersionLast="47" xr6:coauthVersionMax="47" xr10:uidLastSave="{00000000-0000-0000-0000-000000000000}"/>
  <bookViews>
    <workbookView xWindow="-120" yWindow="-120" windowWidth="20730" windowHeight="11160" tabRatio="650" activeTab="8" xr2:uid="{00000000-000D-0000-FFFF-FFFF00000000}"/>
  </bookViews>
  <sheets>
    <sheet name="Dim_Jobs" sheetId="1" r:id="rId1"/>
    <sheet name="Dim_Recruiters" sheetId="2" r:id="rId2"/>
    <sheet name="Dim_Stages" sheetId="3" r:id="rId3"/>
    <sheet name="Dim_Candidates" sheetId="4" r:id="rId4"/>
    <sheet name="Fact_Applications" sheetId="5" r:id="rId5"/>
    <sheet name="Fact_Stage_Movements" sheetId="6" r:id="rId6"/>
    <sheet name="Operational_Console" sheetId="7" state="hidden" r:id="rId7"/>
    <sheet name="Staging_Pivot" sheetId="8" state="hidden" r:id="rId8"/>
    <sheet name="Visual_Story" sheetId="9" r:id="rId9"/>
  </sheets>
  <definedNames>
    <definedName name="_xlcn.WorksheetConnection_HR_Recruitment_Data_Architecture.xlsxCandidates1" hidden="1">Candidates[]</definedName>
    <definedName name="_xlcn.WorksheetConnection_HR_Recruitment_Data_Architecture.xlsxStageMovements1" hidden="1">StageMovements[]</definedName>
    <definedName name="_xlcn.WorksheetConnection_HR_Recruitment_Data_Architecture.xlsxStages1" hidden="1">Stages[]</definedName>
    <definedName name="_xlcn.WorksheetConnection_HR_Recruitment_Data_Architecture.xlsxTable11" hidden="1">Jobs[]</definedName>
    <definedName name="_xlcn.WorksheetConnection_HR_Recruitment_Data_Architecture.xlsxTable41" hidden="1">Dim_Recruiters!$A$1:$D$9</definedName>
    <definedName name="_xlcn.WorksheetConnection_HR_Recruitment_Data_Architecture.xlsxTable81" hidden="1">Applications[]</definedName>
    <definedName name="Slicer_Department">#N/A</definedName>
    <definedName name="Slicer_Recruiter_Name">#N/A</definedName>
    <definedName name="Slicer_Seniority">#N/A</definedName>
  </definedNames>
  <calcPr calcId="191029"/>
  <pivotCaches>
    <pivotCache cacheId="8" r:id="rId10"/>
    <pivotCache cacheId="11" r:id="rId11"/>
    <pivotCache cacheId="14" r:id="rId12"/>
    <pivotCache cacheId="17"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8" name="Applications" connection="WorksheetConnection_HR_Recruitment_Data_Architecture.xlsx!Table8"/>
          <x15:modelTable id="Table4" name="Recruiters" connection="WorksheetConnection_HR_Recruitment_Data_Architecture.xlsx!Table4"/>
          <x15:modelTable id="Table1" name="Jobs" connection="WorksheetConnection_HR_Recruitment_Data_Architecture.xlsx!Table1"/>
          <x15:modelTable id="Stages" name="Stages" connection="WorksheetConnection_HR_Recruitment_Data_Architecture.xlsx!Stages"/>
          <x15:modelTable id="StageMovements" name="StageMovements" connection="WorksheetConnection_HR_Recruitment_Data_Architecture.xlsx!StageMovements"/>
          <x15:modelTable id="Candidates" name="Candidates" connection="WorksheetConnection_HR_Recruitment_Data_Architecture.xlsx!Candidates"/>
        </x15:modelTables>
        <x15:modelRelationships>
          <x15:modelRelationship fromTable="Candidates" fromColumn="CandidateID" toTable="Applications" toColumn="CandidateID"/>
          <x15:modelRelationship fromTable="Applications" fromColumn="JobID" toTable="Jobs" toColumn="JobID"/>
          <x15:modelRelationship fromTable="Applications" fromColumn="RecruiterID" toTable="Recruiters" toColumn="RecruiterID"/>
          <x15:modelRelationship fromTable="StageMovements" fromColumn="JobID" toTable="Jobs" toColumn="JobID"/>
          <x15:modelRelationship fromTable="StageMovements" fromColumn="StageID" toTable="Stages" toColumn="Stage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4" i="9" l="1" a="1"/>
  <c r="G24" i="9" s="1"/>
  <c r="K13" i="7"/>
  <c r="K14" i="7"/>
  <c r="K12" i="7"/>
  <c r="A25" i="9" a="1"/>
  <c r="A25" i="9" s="1"/>
  <c r="B5" i="7"/>
  <c r="L5" i="7" a="1"/>
  <c r="L5" i="7" s="1"/>
  <c r="C5" i="7" a="1"/>
  <c r="C5" i="7" s="1"/>
  <c r="C12" i="8"/>
  <c r="B12" i="8"/>
  <c r="A12" i="8"/>
  <c r="D12" i="8"/>
  <c r="I12" i="7" l="1" a="1"/>
  <c r="I12" i="7" s="1"/>
  <c r="J12" i="7" a="1"/>
  <c r="J12" i="7" s="1"/>
  <c r="J14" i="7" a="1"/>
  <c r="J14" i="7" s="1"/>
  <c r="I14" i="7" a="1"/>
  <c r="I14" i="7" s="1"/>
  <c r="I13" i="7" a="1"/>
  <c r="I13" i="7" s="1"/>
  <c r="J13" i="7" a="1"/>
  <c r="J13" i="7" s="1"/>
  <c r="J10" i="7"/>
  <c r="I10" i="7"/>
  <c r="J11" i="7" l="1"/>
  <c r="I11" i="7"/>
  <c r="K11" i="7" s="1"/>
  <c r="K10"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CDDEB6-07BB-4CC9-B83B-889AF81F57B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2F20CC0-2265-46D8-87AB-AE22D8E3F640}" name="WorksheetConnection_HR_Recruitment_Data_Architecture.xlsx!Candidates" type="102" refreshedVersion="8" minRefreshableVersion="5">
    <extLst>
      <ext xmlns:x15="http://schemas.microsoft.com/office/spreadsheetml/2010/11/main" uri="{DE250136-89BD-433C-8126-D09CA5730AF9}">
        <x15:connection id="Candidates">
          <x15:rangePr sourceName="_xlcn.WorksheetConnection_HR_Recruitment_Data_Architecture.xlsxCandidates1"/>
        </x15:connection>
      </ext>
    </extLst>
  </connection>
  <connection id="3" xr16:uid="{E4509454-8763-424E-BAF3-EF5BBDD2018E}" name="WorksheetConnection_HR_Recruitment_Data_Architecture.xlsx!StageMovements" type="102" refreshedVersion="8" minRefreshableVersion="5">
    <extLst>
      <ext xmlns:x15="http://schemas.microsoft.com/office/spreadsheetml/2010/11/main" uri="{DE250136-89BD-433C-8126-D09CA5730AF9}">
        <x15:connection id="StageMovements">
          <x15:rangePr sourceName="_xlcn.WorksheetConnection_HR_Recruitment_Data_Architecture.xlsxStageMovements1"/>
        </x15:connection>
      </ext>
    </extLst>
  </connection>
  <connection id="4" xr16:uid="{ADF936AA-D603-4D3B-BFDF-A6174E2D43AA}" name="WorksheetConnection_HR_Recruitment_Data_Architecture.xlsx!Stages" type="102" refreshedVersion="8" minRefreshableVersion="5">
    <extLst>
      <ext xmlns:x15="http://schemas.microsoft.com/office/spreadsheetml/2010/11/main" uri="{DE250136-89BD-433C-8126-D09CA5730AF9}">
        <x15:connection id="Stages">
          <x15:rangePr sourceName="_xlcn.WorksheetConnection_HR_Recruitment_Data_Architecture.xlsxStages1"/>
        </x15:connection>
      </ext>
    </extLst>
  </connection>
  <connection id="5" xr16:uid="{4638444E-D5A8-4575-A064-CBC2AA6DA8BA}" name="WorksheetConnection_HR_Recruitment_Data_Architecture.xlsx!Table1" type="102" refreshedVersion="8" minRefreshableVersion="5">
    <extLst>
      <ext xmlns:x15="http://schemas.microsoft.com/office/spreadsheetml/2010/11/main" uri="{DE250136-89BD-433C-8126-D09CA5730AF9}">
        <x15:connection id="Table1">
          <x15:rangePr sourceName="_xlcn.WorksheetConnection_HR_Recruitment_Data_Architecture.xlsxTable11"/>
        </x15:connection>
      </ext>
    </extLst>
  </connection>
  <connection id="6" xr16:uid="{22061624-B8CF-40CE-96B0-B0459AD542DB}" name="WorksheetConnection_HR_Recruitment_Data_Architecture.xlsx!Table4" type="102" refreshedVersion="8" minRefreshableVersion="5">
    <extLst>
      <ext xmlns:x15="http://schemas.microsoft.com/office/spreadsheetml/2010/11/main" uri="{DE250136-89BD-433C-8126-D09CA5730AF9}">
        <x15:connection id="Table4">
          <x15:rangePr sourceName="_xlcn.WorksheetConnection_HR_Recruitment_Data_Architecture.xlsxTable41"/>
        </x15:connection>
      </ext>
    </extLst>
  </connection>
  <connection id="7" xr16:uid="{F0998D09-1ADB-48CA-BD6D-EBD2E0EB0036}" name="WorksheetConnection_HR_Recruitment_Data_Architecture.xlsx!Table8" type="102" refreshedVersion="8" minRefreshableVersion="5">
    <extLst>
      <ext xmlns:x15="http://schemas.microsoft.com/office/spreadsheetml/2010/11/main" uri="{DE250136-89BD-433C-8126-D09CA5730AF9}">
        <x15:connection id="Table8">
          <x15:rangePr sourceName="_xlcn.WorksheetConnection_HR_Recruitment_Data_Architecture.xlsxTable8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<sst xmlns="http://schemas.openxmlformats.org/spreadsheetml/2006/main" count="29497" uniqueCount="3015">
  <si>
    <t>JobID</t>
  </si>
  <si>
    <t>Department</t>
  </si>
  <si>
    <t>Job_Title</t>
  </si>
  <si>
    <t>Level</t>
  </si>
  <si>
    <t>Hiring_Manager</t>
  </si>
  <si>
    <t>Date_Opened</t>
  </si>
  <si>
    <t>Target_SLA_Days</t>
  </si>
  <si>
    <t>Budgeted_Salary</t>
  </si>
  <si>
    <t>REQ-202501</t>
  </si>
  <si>
    <t>Data &amp; BI</t>
  </si>
  <si>
    <t>Data &amp; BI Specialist (Manager)</t>
  </si>
  <si>
    <t>L5 - Manager</t>
  </si>
  <si>
    <t>Elena Rostova</t>
  </si>
  <si>
    <t>2025-03-13</t>
  </si>
  <si>
    <t>REQ-202502</t>
  </si>
  <si>
    <t>Engineering</t>
  </si>
  <si>
    <t>Engineering Specialist (Lead)</t>
  </si>
  <si>
    <t>L4 - Lead</t>
  </si>
  <si>
    <t>Marcus Brody</t>
  </si>
  <si>
    <t>2025-04-14</t>
  </si>
  <si>
    <t>REQ-202503</t>
  </si>
  <si>
    <t>Engineering Specialist (Manager)</t>
  </si>
  <si>
    <t>2025-02-07</t>
  </si>
  <si>
    <t>REQ-202504</t>
  </si>
  <si>
    <t>Data &amp; BI Specialist (Junior)</t>
  </si>
  <si>
    <t>L1 - Junior</t>
  </si>
  <si>
    <t>2025-01-15</t>
  </si>
  <si>
    <t>REQ-202505</t>
  </si>
  <si>
    <t>Sales</t>
  </si>
  <si>
    <t>Sales Specialist (Junior)</t>
  </si>
  <si>
    <t>2025-03-05</t>
  </si>
  <si>
    <t>REQ-202506</t>
  </si>
  <si>
    <t>Sarah Jenkins</t>
  </si>
  <si>
    <t>2025-03-01</t>
  </si>
  <si>
    <t>REQ-202507</t>
  </si>
  <si>
    <t>David Chen</t>
  </si>
  <si>
    <t>2025-03-25</t>
  </si>
  <si>
    <t>REQ-202508</t>
  </si>
  <si>
    <t>2025-02-19</t>
  </si>
  <si>
    <t>REQ-202509</t>
  </si>
  <si>
    <t>Data &amp; BI Specialist (Mid)</t>
  </si>
  <si>
    <t>L2 - Mid</t>
  </si>
  <si>
    <t>2025-01-04</t>
  </si>
  <si>
    <t>REQ-202510</t>
  </si>
  <si>
    <t>Engineering Specialist (Junior)</t>
  </si>
  <si>
    <t>2025-02-09</t>
  </si>
  <si>
    <t>REQ-202511</t>
  </si>
  <si>
    <t>Sales Specialist (Mid)</t>
  </si>
  <si>
    <t>2025-05-04</t>
  </si>
  <si>
    <t>REQ-202512</t>
  </si>
  <si>
    <t>Engineering Specialist (Mid)</t>
  </si>
  <si>
    <t>2025-05-16</t>
  </si>
  <si>
    <t>REQ-202513</t>
  </si>
  <si>
    <t>Sales Specialist (Senior)</t>
  </si>
  <si>
    <t>L3 - Senior</t>
  </si>
  <si>
    <t>2025-02-02</t>
  </si>
  <si>
    <t>REQ-202514</t>
  </si>
  <si>
    <t>Marketing</t>
  </si>
  <si>
    <t>Marketing Specialist (Lead)</t>
  </si>
  <si>
    <t>REQ-202515</t>
  </si>
  <si>
    <t>REQ-202516</t>
  </si>
  <si>
    <t>HR &amp; Operations</t>
  </si>
  <si>
    <t>HR &amp; Operations Specialist (Lead)</t>
  </si>
  <si>
    <t>Priya Patel</t>
  </si>
  <si>
    <t>2025-05-22</t>
  </si>
  <si>
    <t>REQ-202517</t>
  </si>
  <si>
    <t>REQ-202518</t>
  </si>
  <si>
    <t>James Wilson</t>
  </si>
  <si>
    <t>2025-05-23</t>
  </si>
  <si>
    <t>REQ-202519</t>
  </si>
  <si>
    <t>2025-03-27</t>
  </si>
  <si>
    <t>REQ-202520</t>
  </si>
  <si>
    <t>2025-02-13</t>
  </si>
  <si>
    <t>REQ-202521</t>
  </si>
  <si>
    <t>Marketing Specialist (Mid)</t>
  </si>
  <si>
    <t>2025-05-09</t>
  </si>
  <si>
    <t>REQ-202522</t>
  </si>
  <si>
    <t>Marketing Specialist (Junior)</t>
  </si>
  <si>
    <t>2025-05-17</t>
  </si>
  <si>
    <t>REQ-202523</t>
  </si>
  <si>
    <t>Product</t>
  </si>
  <si>
    <t>Product Specialist (Mid)</t>
  </si>
  <si>
    <t>2025-04-28</t>
  </si>
  <si>
    <t>REQ-202524</t>
  </si>
  <si>
    <t>2025-02-08</t>
  </si>
  <si>
    <t>REQ-202525</t>
  </si>
  <si>
    <t>2025-04-23</t>
  </si>
  <si>
    <t>REQ-202526</t>
  </si>
  <si>
    <t>Data &amp; BI Specialist (Senior)</t>
  </si>
  <si>
    <t>2025-05-10</t>
  </si>
  <si>
    <t>REQ-202527</t>
  </si>
  <si>
    <t>2025-05-03</t>
  </si>
  <si>
    <t>REQ-202528</t>
  </si>
  <si>
    <t>HR &amp; Operations Specialist (Mid)</t>
  </si>
  <si>
    <t>REQ-202529</t>
  </si>
  <si>
    <t>Product Specialist (Lead)</t>
  </si>
  <si>
    <t>2025-05-27</t>
  </si>
  <si>
    <t>REQ-202530</t>
  </si>
  <si>
    <t>REQ-202531</t>
  </si>
  <si>
    <t>2025-02-11</t>
  </si>
  <si>
    <t>REQ-202532</t>
  </si>
  <si>
    <t>REQ-202533</t>
  </si>
  <si>
    <t>2025-01-09</t>
  </si>
  <si>
    <t>REQ-202534</t>
  </si>
  <si>
    <t>2025-04-26</t>
  </si>
  <si>
    <t>REQ-202535</t>
  </si>
  <si>
    <t>2025-04-22</t>
  </si>
  <si>
    <t>REQ-202536</t>
  </si>
  <si>
    <t>Product Specialist (Senior)</t>
  </si>
  <si>
    <t>2025-03-09</t>
  </si>
  <si>
    <t>REQ-202537</t>
  </si>
  <si>
    <t>2025-05-25</t>
  </si>
  <si>
    <t>REQ-202538</t>
  </si>
  <si>
    <t>REQ-202539</t>
  </si>
  <si>
    <t>Data &amp; BI Specialist (Lead)</t>
  </si>
  <si>
    <t>2025-01-21</t>
  </si>
  <si>
    <t>REQ-202540</t>
  </si>
  <si>
    <t>Engineering Specialist (Senior)</t>
  </si>
  <si>
    <t>REQ-202541</t>
  </si>
  <si>
    <t>Product Specialist (Junior)</t>
  </si>
  <si>
    <t>2025-02-15</t>
  </si>
  <si>
    <t>REQ-202542</t>
  </si>
  <si>
    <t>HR &amp; Operations Specialist (Manager)</t>
  </si>
  <si>
    <t>REQ-202543</t>
  </si>
  <si>
    <t>2025-05-08</t>
  </si>
  <si>
    <t>REQ-202544</t>
  </si>
  <si>
    <t>2025-02-01</t>
  </si>
  <si>
    <t>REQ-202545</t>
  </si>
  <si>
    <t>REQ-202546</t>
  </si>
  <si>
    <t>2025-01-13</t>
  </si>
  <si>
    <t>REQ-202547</t>
  </si>
  <si>
    <t>2025-03-06</t>
  </si>
  <si>
    <t>REQ-202548</t>
  </si>
  <si>
    <t>2025-03-07</t>
  </si>
  <si>
    <t>REQ-202549</t>
  </si>
  <si>
    <t>2025-03-04</t>
  </si>
  <si>
    <t>REQ-202550</t>
  </si>
  <si>
    <t>2025-04-11</t>
  </si>
  <si>
    <t>RecruiterID</t>
  </si>
  <si>
    <t>Recruiter_Name</t>
  </si>
  <si>
    <t>Specialization</t>
  </si>
  <si>
    <t>Seniority</t>
  </si>
  <si>
    <t>REC-01</t>
  </si>
  <si>
    <t>Alex Mercer</t>
  </si>
  <si>
    <t>Senior</t>
  </si>
  <si>
    <t>REC-02</t>
  </si>
  <si>
    <t>Jordan Vance</t>
  </si>
  <si>
    <t>REC-03</t>
  </si>
  <si>
    <t>Taylor Swift</t>
  </si>
  <si>
    <t>Mid</t>
  </si>
  <si>
    <t>REC-04</t>
  </si>
  <si>
    <t>Morgan Sterling</t>
  </si>
  <si>
    <t>Lead</t>
  </si>
  <si>
    <t>REC-05</t>
  </si>
  <si>
    <t>Casey Ryans</t>
  </si>
  <si>
    <t>Junior</t>
  </si>
  <si>
    <t>REC-06</t>
  </si>
  <si>
    <t>Riley Thorne</t>
  </si>
  <si>
    <t>REC-07</t>
  </si>
  <si>
    <t>Jamie Lee</t>
  </si>
  <si>
    <t>REC-08</t>
  </si>
  <si>
    <t>Quinn Fabray</t>
  </si>
  <si>
    <t>StageID</t>
  </si>
  <si>
    <t>Stage_Name</t>
  </si>
  <si>
    <t>Standard_SLA_Days</t>
  </si>
  <si>
    <t>1-Application Applied</t>
  </si>
  <si>
    <t>2-Recruiter Screen</t>
  </si>
  <si>
    <t>3-Technical Assessment</t>
  </si>
  <si>
    <t>4-Panel Interview</t>
  </si>
  <si>
    <t>5-HR Fit &amp; Negotiation</t>
  </si>
  <si>
    <t>6-Offer Extended</t>
  </si>
  <si>
    <t>7-Hired / Finalized</t>
  </si>
  <si>
    <t>CandidateID</t>
  </si>
  <si>
    <t>Candidate_Name</t>
  </si>
  <si>
    <t>Education_Level</t>
  </si>
  <si>
    <t>Experience_Years</t>
  </si>
  <si>
    <t>Sourcing_Channel</t>
  </si>
  <si>
    <t>CND-10001</t>
  </si>
  <si>
    <t>Charlotte Kim</t>
  </si>
  <si>
    <t>Bachelors</t>
  </si>
  <si>
    <t>Employee Referral</t>
  </si>
  <si>
    <t>CND-10002</t>
  </si>
  <si>
    <t>Sophia Brown</t>
  </si>
  <si>
    <t>Company Career Site</t>
  </si>
  <si>
    <t>CND-10003</t>
  </si>
  <si>
    <t>Aarav Nakamura</t>
  </si>
  <si>
    <t>CND-10004</t>
  </si>
  <si>
    <t>Kai Jones</t>
  </si>
  <si>
    <t>Direct Sourcing</t>
  </si>
  <si>
    <t>CND-10005</t>
  </si>
  <si>
    <t>Liam Williams</t>
  </si>
  <si>
    <t>Masters</t>
  </si>
  <si>
    <t>CND-10006</t>
  </si>
  <si>
    <t>Hiro Smith</t>
  </si>
  <si>
    <t>CND-10007</t>
  </si>
  <si>
    <t>Emma Gupta</t>
  </si>
  <si>
    <t>PhD</t>
  </si>
  <si>
    <t>CND-10008</t>
  </si>
  <si>
    <t>Hiro Patel</t>
  </si>
  <si>
    <t>LinkedIn</t>
  </si>
  <si>
    <t>CND-10009</t>
  </si>
  <si>
    <t>Lucas Miller</t>
  </si>
  <si>
    <t>CND-10010</t>
  </si>
  <si>
    <t>Amelia Smith</t>
  </si>
  <si>
    <t>CND-10011</t>
  </si>
  <si>
    <t>Elena Jones</t>
  </si>
  <si>
    <t>CND-10012</t>
  </si>
  <si>
    <t>CND-10013</t>
  </si>
  <si>
    <t>Mateo Jones</t>
  </si>
  <si>
    <t>CND-10014</t>
  </si>
  <si>
    <t>Liam Brown</t>
  </si>
  <si>
    <t>CND-10015</t>
  </si>
  <si>
    <t>Hiro Jones</t>
  </si>
  <si>
    <t>CND-10016</t>
  </si>
  <si>
    <t>Maya Gupta</t>
  </si>
  <si>
    <t>CND-10017</t>
  </si>
  <si>
    <t>Charlotte Patel</t>
  </si>
  <si>
    <t>CND-10018</t>
  </si>
  <si>
    <t>Amelia Garcia</t>
  </si>
  <si>
    <t>Bootcamp / Diploma</t>
  </si>
  <si>
    <t>CND-10019</t>
  </si>
  <si>
    <t>Oliver Patel</t>
  </si>
  <si>
    <t>CND-10020</t>
  </si>
  <si>
    <t>Mateo Garcia</t>
  </si>
  <si>
    <t>CND-10021</t>
  </si>
  <si>
    <t>Amelia Davis</t>
  </si>
  <si>
    <t>CND-10022</t>
  </si>
  <si>
    <t>Maya Garcia</t>
  </si>
  <si>
    <t>CND-10023</t>
  </si>
  <si>
    <t>Noah Nakamura</t>
  </si>
  <si>
    <t>CND-10024</t>
  </si>
  <si>
    <t>Zanya Brown</t>
  </si>
  <si>
    <t>CND-10025</t>
  </si>
  <si>
    <t>Sophia Gupta</t>
  </si>
  <si>
    <t>Agency</t>
  </si>
  <si>
    <t>CND-10026</t>
  </si>
  <si>
    <t>Oliver Martinez</t>
  </si>
  <si>
    <t>CND-10027</t>
  </si>
  <si>
    <t>Hiro Silva</t>
  </si>
  <si>
    <t>CND-10028</t>
  </si>
  <si>
    <t>Aarav Martinez</t>
  </si>
  <si>
    <t>CND-10029</t>
  </si>
  <si>
    <t>Oliver Kim</t>
  </si>
  <si>
    <t>CND-10030</t>
  </si>
  <si>
    <t>Hiro Kim</t>
  </si>
  <si>
    <t>CND-10031</t>
  </si>
  <si>
    <t>Liam Miller</t>
  </si>
  <si>
    <t>CND-10032</t>
  </si>
  <si>
    <t>Kai Martinez</t>
  </si>
  <si>
    <t>CND-10033</t>
  </si>
  <si>
    <t>Charlotte Johnson</t>
  </si>
  <si>
    <t>CND-10034</t>
  </si>
  <si>
    <t>Lucas Nakamura</t>
  </si>
  <si>
    <t>CND-10035</t>
  </si>
  <si>
    <t>CND-10036</t>
  </si>
  <si>
    <t>Liam Davis</t>
  </si>
  <si>
    <t>CND-10037</t>
  </si>
  <si>
    <t>Amelia Silva</t>
  </si>
  <si>
    <t>CND-10038</t>
  </si>
  <si>
    <t>Mateo Gupta</t>
  </si>
  <si>
    <t>CND-10039</t>
  </si>
  <si>
    <t>CND-10040</t>
  </si>
  <si>
    <t>Noah Silva</t>
  </si>
  <si>
    <t>CND-10041</t>
  </si>
  <si>
    <t>Lucas Garcia</t>
  </si>
  <si>
    <t>CND-10042</t>
  </si>
  <si>
    <t>Mateo Smith</t>
  </si>
  <si>
    <t>CND-10043</t>
  </si>
  <si>
    <t>Emma Kim</t>
  </si>
  <si>
    <t>CND-10044</t>
  </si>
  <si>
    <t>Aarav Jones</t>
  </si>
  <si>
    <t>CND-10045</t>
  </si>
  <si>
    <t>Noah Martinez</t>
  </si>
  <si>
    <t>CND-10046</t>
  </si>
  <si>
    <t>Lucas Williams</t>
  </si>
  <si>
    <t>CND-10047</t>
  </si>
  <si>
    <t>Liam Johnson</t>
  </si>
  <si>
    <t>CND-10048</t>
  </si>
  <si>
    <t>Elena Smith</t>
  </si>
  <si>
    <t>CND-10049</t>
  </si>
  <si>
    <t>Oliver Silva</t>
  </si>
  <si>
    <t>CND-10050</t>
  </si>
  <si>
    <t>Oliver Williams</t>
  </si>
  <si>
    <t>CND-10051</t>
  </si>
  <si>
    <t>Maya Williams</t>
  </si>
  <si>
    <t>CND-10052</t>
  </si>
  <si>
    <t>CND-10053</t>
  </si>
  <si>
    <t>Hiro Rodriguez</t>
  </si>
  <si>
    <t>CND-10054</t>
  </si>
  <si>
    <t>Elena Brown</t>
  </si>
  <si>
    <t>CND-10055</t>
  </si>
  <si>
    <t>Mateo Silva</t>
  </si>
  <si>
    <t>CND-10056</t>
  </si>
  <si>
    <t>Maya Silva</t>
  </si>
  <si>
    <t>CND-10057</t>
  </si>
  <si>
    <t>Emma Jones</t>
  </si>
  <si>
    <t>CND-10058</t>
  </si>
  <si>
    <t>Noah Johnson</t>
  </si>
  <si>
    <t>CND-10059</t>
  </si>
  <si>
    <t>CND-10060</t>
  </si>
  <si>
    <t>CND-10061</t>
  </si>
  <si>
    <t>Liam Martinez</t>
  </si>
  <si>
    <t>CND-10062</t>
  </si>
  <si>
    <t>Emma Williams</t>
  </si>
  <si>
    <t>CND-10063</t>
  </si>
  <si>
    <t>CND-10064</t>
  </si>
  <si>
    <t>Liam Smith</t>
  </si>
  <si>
    <t>CND-10065</t>
  </si>
  <si>
    <t>Amelia Nakamura</t>
  </si>
  <si>
    <t>CND-10066</t>
  </si>
  <si>
    <t>CND-10067</t>
  </si>
  <si>
    <t>Liam Patel</t>
  </si>
  <si>
    <t>CND-10068</t>
  </si>
  <si>
    <t>Kai Silva</t>
  </si>
  <si>
    <t>CND-10069</t>
  </si>
  <si>
    <t>Oliver Gupta</t>
  </si>
  <si>
    <t>CND-10070</t>
  </si>
  <si>
    <t>Lucas Patel</t>
  </si>
  <si>
    <t>CND-10071</t>
  </si>
  <si>
    <t>CND-10072</t>
  </si>
  <si>
    <t>CND-10073</t>
  </si>
  <si>
    <t>Aarav Brown</t>
  </si>
  <si>
    <t>CND-10074</t>
  </si>
  <si>
    <t>Emma Garcia</t>
  </si>
  <si>
    <t>CND-10075</t>
  </si>
  <si>
    <t>Elena Patel</t>
  </si>
  <si>
    <t>CND-10076</t>
  </si>
  <si>
    <t>Sophia Patel</t>
  </si>
  <si>
    <t>CND-10077</t>
  </si>
  <si>
    <t>Charlotte Garcia</t>
  </si>
  <si>
    <t>CND-10078</t>
  </si>
  <si>
    <t>Kai Miller</t>
  </si>
  <si>
    <t>CND-10079</t>
  </si>
  <si>
    <t>CND-10080</t>
  </si>
  <si>
    <t>Lucas Silva</t>
  </si>
  <si>
    <t>CND-10081</t>
  </si>
  <si>
    <t>CND-10082</t>
  </si>
  <si>
    <t>CND-10083</t>
  </si>
  <si>
    <t>Oliver Garcia</t>
  </si>
  <si>
    <t>CND-10084</t>
  </si>
  <si>
    <t>CND-10085</t>
  </si>
  <si>
    <t>Hiro Martinez</t>
  </si>
  <si>
    <t>CND-10086</t>
  </si>
  <si>
    <t>Amelia Brown</t>
  </si>
  <si>
    <t>CND-10087</t>
  </si>
  <si>
    <t>Charlotte Silva</t>
  </si>
  <si>
    <t>CND-10088</t>
  </si>
  <si>
    <t>Maya Rodriguez</t>
  </si>
  <si>
    <t>CND-10089</t>
  </si>
  <si>
    <t>Charlotte Brown</t>
  </si>
  <si>
    <t>CND-10090</t>
  </si>
  <si>
    <t>CND-10091</t>
  </si>
  <si>
    <t>Noah Patel</t>
  </si>
  <si>
    <t>CND-10092</t>
  </si>
  <si>
    <t>Mateo Rodriguez</t>
  </si>
  <si>
    <t>CND-10093</t>
  </si>
  <si>
    <t>Emma Johnson</t>
  </si>
  <si>
    <t>CND-10094</t>
  </si>
  <si>
    <t>Charlotte Miller</t>
  </si>
  <si>
    <t>CND-10095</t>
  </si>
  <si>
    <t>Mateo Davis</t>
  </si>
  <si>
    <t>CND-10096</t>
  </si>
  <si>
    <t>Aarav Williams</t>
  </si>
  <si>
    <t>CND-10097</t>
  </si>
  <si>
    <t>Maya Miller</t>
  </si>
  <si>
    <t>CND-10098</t>
  </si>
  <si>
    <t>Charlotte Martinez</t>
  </si>
  <si>
    <t>CND-10099</t>
  </si>
  <si>
    <t>CND-10100</t>
  </si>
  <si>
    <t>Liam Silva</t>
  </si>
  <si>
    <t>CND-10101</t>
  </si>
  <si>
    <t>Aarav Silva</t>
  </si>
  <si>
    <t>CND-10102</t>
  </si>
  <si>
    <t>CND-10103</t>
  </si>
  <si>
    <t>CND-10104</t>
  </si>
  <si>
    <t>Amelia Jones</t>
  </si>
  <si>
    <t>CND-10105</t>
  </si>
  <si>
    <t>Noah Miller</t>
  </si>
  <si>
    <t>CND-10106</t>
  </si>
  <si>
    <t>Amelia Rodriguez</t>
  </si>
  <si>
    <t>CND-10107</t>
  </si>
  <si>
    <t>Noah Smith</t>
  </si>
  <si>
    <t>CND-10108</t>
  </si>
  <si>
    <t>CND-10109</t>
  </si>
  <si>
    <t>Mateo Martinez</t>
  </si>
  <si>
    <t>CND-10110</t>
  </si>
  <si>
    <t>Elena Miller</t>
  </si>
  <si>
    <t>CND-10111</t>
  </si>
  <si>
    <t>Maya Brown</t>
  </si>
  <si>
    <t>CND-10112</t>
  </si>
  <si>
    <t>Zanya Martinez</t>
  </si>
  <si>
    <t>CND-10113</t>
  </si>
  <si>
    <t>CND-10114</t>
  </si>
  <si>
    <t>CND-10115</t>
  </si>
  <si>
    <t>Charlotte Smith</t>
  </si>
  <si>
    <t>CND-10116</t>
  </si>
  <si>
    <t>Liam Jones</t>
  </si>
  <si>
    <t>CND-10117</t>
  </si>
  <si>
    <t>Noah Kim</t>
  </si>
  <si>
    <t>CND-10118</t>
  </si>
  <si>
    <t>Sophia Miller</t>
  </si>
  <si>
    <t>CND-10119</t>
  </si>
  <si>
    <t>Oliver Smith</t>
  </si>
  <si>
    <t>CND-10120</t>
  </si>
  <si>
    <t>Elena Garcia</t>
  </si>
  <si>
    <t>CND-10121</t>
  </si>
  <si>
    <t>Mateo Nakamura</t>
  </si>
  <si>
    <t>CND-10122</t>
  </si>
  <si>
    <t>CND-10123</t>
  </si>
  <si>
    <t>Sophia Martinez</t>
  </si>
  <si>
    <t>CND-10124</t>
  </si>
  <si>
    <t>CND-10125</t>
  </si>
  <si>
    <t>Oliver Rodriguez</t>
  </si>
  <si>
    <t>CND-10126</t>
  </si>
  <si>
    <t>Elena Martinez</t>
  </si>
  <si>
    <t>CND-10127</t>
  </si>
  <si>
    <t>CND-10128</t>
  </si>
  <si>
    <t>Hiro Miller</t>
  </si>
  <si>
    <t>CND-10129</t>
  </si>
  <si>
    <t>Maya Jones</t>
  </si>
  <si>
    <t>CND-10130</t>
  </si>
  <si>
    <t>Kai Williams</t>
  </si>
  <si>
    <t>CND-10131</t>
  </si>
  <si>
    <t>Kai Brown</t>
  </si>
  <si>
    <t>CND-10132</t>
  </si>
  <si>
    <t>Hiro Brown</t>
  </si>
  <si>
    <t>CND-10133</t>
  </si>
  <si>
    <t>CND-10134</t>
  </si>
  <si>
    <t>Zanya Williams</t>
  </si>
  <si>
    <t>CND-10135</t>
  </si>
  <si>
    <t>CND-10136</t>
  </si>
  <si>
    <t>CND-10137</t>
  </si>
  <si>
    <t>Oliver Johnson</t>
  </si>
  <si>
    <t>CND-10138</t>
  </si>
  <si>
    <t>Elena Davis</t>
  </si>
  <si>
    <t>CND-10139</t>
  </si>
  <si>
    <t>CND-10140</t>
  </si>
  <si>
    <t>Hiro Davis</t>
  </si>
  <si>
    <t>CND-10141</t>
  </si>
  <si>
    <t>CND-10142</t>
  </si>
  <si>
    <t>CND-10143</t>
  </si>
  <si>
    <t>Kai Gupta</t>
  </si>
  <si>
    <t>CND-10144</t>
  </si>
  <si>
    <t>Amelia Patel</t>
  </si>
  <si>
    <t>CND-10145</t>
  </si>
  <si>
    <t>Zanya Davis</t>
  </si>
  <si>
    <t>CND-10146</t>
  </si>
  <si>
    <t>CND-10147</t>
  </si>
  <si>
    <t>CND-10148</t>
  </si>
  <si>
    <t>CND-10149</t>
  </si>
  <si>
    <t>CND-10150</t>
  </si>
  <si>
    <t>Sophia Rodriguez</t>
  </si>
  <si>
    <t>CND-10151</t>
  </si>
  <si>
    <t>CND-10152</t>
  </si>
  <si>
    <t>Lucas Kim</t>
  </si>
  <si>
    <t>CND-10153</t>
  </si>
  <si>
    <t>Elena Gupta</t>
  </si>
  <si>
    <t>CND-10154</t>
  </si>
  <si>
    <t>Mateo Brown</t>
  </si>
  <si>
    <t>CND-10155</t>
  </si>
  <si>
    <t>Sophia Silva</t>
  </si>
  <si>
    <t>CND-10156</t>
  </si>
  <si>
    <t>Elena Kim</t>
  </si>
  <si>
    <t>CND-10157</t>
  </si>
  <si>
    <t>CND-10158</t>
  </si>
  <si>
    <t>CND-10159</t>
  </si>
  <si>
    <t>CND-10160</t>
  </si>
  <si>
    <t>CND-10161</t>
  </si>
  <si>
    <t>CND-10162</t>
  </si>
  <si>
    <t>CND-10163</t>
  </si>
  <si>
    <t>CND-10164</t>
  </si>
  <si>
    <t>CND-10165</t>
  </si>
  <si>
    <t>Oliver Nakamura</t>
  </si>
  <si>
    <t>CND-10166</t>
  </si>
  <si>
    <t>CND-10167</t>
  </si>
  <si>
    <t>Zanya Smith</t>
  </si>
  <si>
    <t>CND-10168</t>
  </si>
  <si>
    <t>CND-10169</t>
  </si>
  <si>
    <t>CND-10170</t>
  </si>
  <si>
    <t>Lucas Brown</t>
  </si>
  <si>
    <t>CND-10171</t>
  </si>
  <si>
    <t>Liam Nakamura</t>
  </si>
  <si>
    <t>CND-10172</t>
  </si>
  <si>
    <t>CND-10173</t>
  </si>
  <si>
    <t>CND-10174</t>
  </si>
  <si>
    <t>Zanya Gupta</t>
  </si>
  <si>
    <t>CND-10175</t>
  </si>
  <si>
    <t>CND-10176</t>
  </si>
  <si>
    <t>Amelia Williams</t>
  </si>
  <si>
    <t>CND-10177</t>
  </si>
  <si>
    <t>Mateo Miller</t>
  </si>
  <si>
    <t>CND-10178</t>
  </si>
  <si>
    <t>CND-10179</t>
  </si>
  <si>
    <t>Kai Rodriguez</t>
  </si>
  <si>
    <t>CND-10180</t>
  </si>
  <si>
    <t>CND-10181</t>
  </si>
  <si>
    <t>CND-10182</t>
  </si>
  <si>
    <t>CND-10183</t>
  </si>
  <si>
    <t>Noah Jones</t>
  </si>
  <si>
    <t>CND-10184</t>
  </si>
  <si>
    <t>CND-10185</t>
  </si>
  <si>
    <t>Zanya Nakamura</t>
  </si>
  <si>
    <t>CND-10186</t>
  </si>
  <si>
    <t>CND-10187</t>
  </si>
  <si>
    <t>Sophia Kim</t>
  </si>
  <si>
    <t>CND-10188</t>
  </si>
  <si>
    <t>CND-10189</t>
  </si>
  <si>
    <t>CND-10190</t>
  </si>
  <si>
    <t>Charlotte Nakamura</t>
  </si>
  <si>
    <t>CND-10191</t>
  </si>
  <si>
    <t>Lucas Jones</t>
  </si>
  <si>
    <t>CND-10192</t>
  </si>
  <si>
    <t>CND-10193</t>
  </si>
  <si>
    <t>Emma Miller</t>
  </si>
  <si>
    <t>CND-10194</t>
  </si>
  <si>
    <t>CND-10195</t>
  </si>
  <si>
    <t>Aarav Garcia</t>
  </si>
  <si>
    <t>CND-10196</t>
  </si>
  <si>
    <t>Mateo Johnson</t>
  </si>
  <si>
    <t>CND-10197</t>
  </si>
  <si>
    <t>Sophia Nakamura</t>
  </si>
  <si>
    <t>CND-10198</t>
  </si>
  <si>
    <t>CND-10199</t>
  </si>
  <si>
    <t>CND-10200</t>
  </si>
  <si>
    <t>CND-10201</t>
  </si>
  <si>
    <t>Sophia Smith</t>
  </si>
  <si>
    <t>CND-10202</t>
  </si>
  <si>
    <t>CND-10203</t>
  </si>
  <si>
    <t>Charlotte Davis</t>
  </si>
  <si>
    <t>CND-10204</t>
  </si>
  <si>
    <t>Maya Davis</t>
  </si>
  <si>
    <t>CND-10205</t>
  </si>
  <si>
    <t>Maya Smith</t>
  </si>
  <si>
    <t>CND-10206</t>
  </si>
  <si>
    <t>CND-10207</t>
  </si>
  <si>
    <t>Aarav Davis</t>
  </si>
  <si>
    <t>CND-10208</t>
  </si>
  <si>
    <t>CND-10209</t>
  </si>
  <si>
    <t>Sophia Johnson</t>
  </si>
  <si>
    <t>CND-10210</t>
  </si>
  <si>
    <t>Zanya Miller</t>
  </si>
  <si>
    <t>CND-10211</t>
  </si>
  <si>
    <t>CND-10212</t>
  </si>
  <si>
    <t>CND-10213</t>
  </si>
  <si>
    <t>CND-10214</t>
  </si>
  <si>
    <t>Elena Johnson</t>
  </si>
  <si>
    <t>CND-10215</t>
  </si>
  <si>
    <t>CND-10216</t>
  </si>
  <si>
    <t>CND-10217</t>
  </si>
  <si>
    <t>CND-10218</t>
  </si>
  <si>
    <t>CND-10219</t>
  </si>
  <si>
    <t>Lucas Rodriguez</t>
  </si>
  <si>
    <t>CND-10220</t>
  </si>
  <si>
    <t>Hiro Williams</t>
  </si>
  <si>
    <t>CND-10221</t>
  </si>
  <si>
    <t>CND-10222</t>
  </si>
  <si>
    <t>CND-10223</t>
  </si>
  <si>
    <t>CND-10224</t>
  </si>
  <si>
    <t>CND-10225</t>
  </si>
  <si>
    <t>CND-10226</t>
  </si>
  <si>
    <t>Emma Nakamura</t>
  </si>
  <si>
    <t>CND-10227</t>
  </si>
  <si>
    <t>CND-10228</t>
  </si>
  <si>
    <t>CND-10229</t>
  </si>
  <si>
    <t>CND-10230</t>
  </si>
  <si>
    <t>CND-10231</t>
  </si>
  <si>
    <t>CND-10232</t>
  </si>
  <si>
    <t>Kai Davis</t>
  </si>
  <si>
    <t>CND-10233</t>
  </si>
  <si>
    <t>Zanya Silva</t>
  </si>
  <si>
    <t>CND-10234</t>
  </si>
  <si>
    <t>CND-10235</t>
  </si>
  <si>
    <t>CND-10236</t>
  </si>
  <si>
    <t>Maya Johnson</t>
  </si>
  <si>
    <t>CND-10237</t>
  </si>
  <si>
    <t>Emma Rodriguez</t>
  </si>
  <si>
    <t>CND-10238</t>
  </si>
  <si>
    <t>CND-10239</t>
  </si>
  <si>
    <t>CND-10240</t>
  </si>
  <si>
    <t>CND-10241</t>
  </si>
  <si>
    <t>CND-10242</t>
  </si>
  <si>
    <t>CND-10243</t>
  </si>
  <si>
    <t>CND-10244</t>
  </si>
  <si>
    <t>Zanya Rodriguez</t>
  </si>
  <si>
    <t>CND-10245</t>
  </si>
  <si>
    <t>Lucas Martinez</t>
  </si>
  <si>
    <t>CND-10246</t>
  </si>
  <si>
    <t>CND-10247</t>
  </si>
  <si>
    <t>CND-10248</t>
  </si>
  <si>
    <t>CND-10249</t>
  </si>
  <si>
    <t>CND-10250</t>
  </si>
  <si>
    <t>CND-10251</t>
  </si>
  <si>
    <t>CND-10252</t>
  </si>
  <si>
    <t>Amelia Johnson</t>
  </si>
  <si>
    <t>CND-10253</t>
  </si>
  <si>
    <t>CND-10254</t>
  </si>
  <si>
    <t>Aarav Johnson</t>
  </si>
  <si>
    <t>CND-10255</t>
  </si>
  <si>
    <t>CND-10256</t>
  </si>
  <si>
    <t>Emma Smith</t>
  </si>
  <si>
    <t>CND-10257</t>
  </si>
  <si>
    <t>Mateo Patel</t>
  </si>
  <si>
    <t>CND-10258</t>
  </si>
  <si>
    <t>Zanya Johnson</t>
  </si>
  <si>
    <t>CND-10259</t>
  </si>
  <si>
    <t>CND-10260</t>
  </si>
  <si>
    <t>Oliver Brown</t>
  </si>
  <si>
    <t>CND-10261</t>
  </si>
  <si>
    <t>CND-10262</t>
  </si>
  <si>
    <t>CND-10263</t>
  </si>
  <si>
    <t>CND-10264</t>
  </si>
  <si>
    <t>Emma Martinez</t>
  </si>
  <si>
    <t>CND-10265</t>
  </si>
  <si>
    <t>Sophia Garcia</t>
  </si>
  <si>
    <t>CND-10266</t>
  </si>
  <si>
    <t>CND-10267</t>
  </si>
  <si>
    <t>CND-10268</t>
  </si>
  <si>
    <t>CND-10269</t>
  </si>
  <si>
    <t>Amelia Kim</t>
  </si>
  <si>
    <t>CND-10270</t>
  </si>
  <si>
    <t>CND-10271</t>
  </si>
  <si>
    <t>CND-10272</t>
  </si>
  <si>
    <t>CND-10273</t>
  </si>
  <si>
    <t>Oliver Jones</t>
  </si>
  <si>
    <t>CND-10274</t>
  </si>
  <si>
    <t>CND-10275</t>
  </si>
  <si>
    <t>CND-10276</t>
  </si>
  <si>
    <t>CND-10277</t>
  </si>
  <si>
    <t>CND-10278</t>
  </si>
  <si>
    <t>Hiro Nakamura</t>
  </si>
  <si>
    <t>CND-10279</t>
  </si>
  <si>
    <t>Liam Kim</t>
  </si>
  <si>
    <t>CND-10280</t>
  </si>
  <si>
    <t>CND-10281</t>
  </si>
  <si>
    <t>Lucas Gupta</t>
  </si>
  <si>
    <t>CND-10282</t>
  </si>
  <si>
    <t>CND-10283</t>
  </si>
  <si>
    <t>Noah Garcia</t>
  </si>
  <si>
    <t>CND-10284</t>
  </si>
  <si>
    <t>CND-10285</t>
  </si>
  <si>
    <t>CND-10286</t>
  </si>
  <si>
    <t>CND-10287</t>
  </si>
  <si>
    <t>CND-10288</t>
  </si>
  <si>
    <t>Liam Garcia</t>
  </si>
  <si>
    <t>CND-10289</t>
  </si>
  <si>
    <t>CND-10290</t>
  </si>
  <si>
    <t>Hiro Johnson</t>
  </si>
  <si>
    <t>CND-10291</t>
  </si>
  <si>
    <t>CND-10292</t>
  </si>
  <si>
    <t>CND-10293</t>
  </si>
  <si>
    <t>Aarav Rodriguez</t>
  </si>
  <si>
    <t>CND-10294</t>
  </si>
  <si>
    <t>CND-10295</t>
  </si>
  <si>
    <t>Kai Nakamura</t>
  </si>
  <si>
    <t>CND-10296</t>
  </si>
  <si>
    <t>CND-10297</t>
  </si>
  <si>
    <t>Elena Silva</t>
  </si>
  <si>
    <t>CND-10298</t>
  </si>
  <si>
    <t>CND-10299</t>
  </si>
  <si>
    <t>CND-10300</t>
  </si>
  <si>
    <t>CND-10301</t>
  </si>
  <si>
    <t>CND-10302</t>
  </si>
  <si>
    <t>CND-10303</t>
  </si>
  <si>
    <t>CND-10304</t>
  </si>
  <si>
    <t>Amelia Miller</t>
  </si>
  <si>
    <t>CND-10305</t>
  </si>
  <si>
    <t>CND-10306</t>
  </si>
  <si>
    <t>CND-10307</t>
  </si>
  <si>
    <t>CND-10308</t>
  </si>
  <si>
    <t>CND-10309</t>
  </si>
  <si>
    <t>CND-10310</t>
  </si>
  <si>
    <t>CND-10311</t>
  </si>
  <si>
    <t>CND-10312</t>
  </si>
  <si>
    <t>CND-10313</t>
  </si>
  <si>
    <t>Kai Smith</t>
  </si>
  <si>
    <t>CND-10314</t>
  </si>
  <si>
    <t>CND-10315</t>
  </si>
  <si>
    <t>CND-10316</t>
  </si>
  <si>
    <t>CND-10317</t>
  </si>
  <si>
    <t>Elena Williams</t>
  </si>
  <si>
    <t>CND-10318</t>
  </si>
  <si>
    <t>Aarav Kim</t>
  </si>
  <si>
    <t>CND-10319</t>
  </si>
  <si>
    <t>Amelia Martinez</t>
  </si>
  <si>
    <t>CND-10320</t>
  </si>
  <si>
    <t>CND-10321</t>
  </si>
  <si>
    <t>Kai Kim</t>
  </si>
  <si>
    <t>CND-10322</t>
  </si>
  <si>
    <t>Aarav Patel</t>
  </si>
  <si>
    <t>CND-10323</t>
  </si>
  <si>
    <t>CND-10324</t>
  </si>
  <si>
    <t>CND-10325</t>
  </si>
  <si>
    <t>CND-10326</t>
  </si>
  <si>
    <t>CND-10327</t>
  </si>
  <si>
    <t>CND-10328</t>
  </si>
  <si>
    <t>Zanya Patel</t>
  </si>
  <si>
    <t>CND-10329</t>
  </si>
  <si>
    <t>Liam Gupta</t>
  </si>
  <si>
    <t>CND-10330</t>
  </si>
  <si>
    <t>CND-10331</t>
  </si>
  <si>
    <t>CND-10332</t>
  </si>
  <si>
    <t>CND-10333</t>
  </si>
  <si>
    <t>Sophia Williams</t>
  </si>
  <si>
    <t>CND-10334</t>
  </si>
  <si>
    <t>CND-10335</t>
  </si>
  <si>
    <t>CND-10336</t>
  </si>
  <si>
    <t>Emma Brown</t>
  </si>
  <si>
    <t>CND-10337</t>
  </si>
  <si>
    <t>CND-10338</t>
  </si>
  <si>
    <t>CND-10339</t>
  </si>
  <si>
    <t>CND-10340</t>
  </si>
  <si>
    <t>CND-10341</t>
  </si>
  <si>
    <t>CND-10342</t>
  </si>
  <si>
    <t>CND-10343</t>
  </si>
  <si>
    <t>CND-10344</t>
  </si>
  <si>
    <t>Charlotte Gupta</t>
  </si>
  <si>
    <t>CND-10345</t>
  </si>
  <si>
    <t>CND-10346</t>
  </si>
  <si>
    <t>CND-10347</t>
  </si>
  <si>
    <t>CND-10348</t>
  </si>
  <si>
    <t>CND-10349</t>
  </si>
  <si>
    <t>CND-10350</t>
  </si>
  <si>
    <t>CND-10351</t>
  </si>
  <si>
    <t>CND-10352</t>
  </si>
  <si>
    <t>Zanya Garcia</t>
  </si>
  <si>
    <t>CND-10353</t>
  </si>
  <si>
    <t>CND-10354</t>
  </si>
  <si>
    <t>CND-10355</t>
  </si>
  <si>
    <t>CND-10356</t>
  </si>
  <si>
    <t>CND-10357</t>
  </si>
  <si>
    <t>CND-10358</t>
  </si>
  <si>
    <t>CND-10359</t>
  </si>
  <si>
    <t>CND-10360</t>
  </si>
  <si>
    <t>CND-10361</t>
  </si>
  <si>
    <t>CND-10362</t>
  </si>
  <si>
    <t>CND-10363</t>
  </si>
  <si>
    <t>CND-10364</t>
  </si>
  <si>
    <t>CND-10365</t>
  </si>
  <si>
    <t>CND-10366</t>
  </si>
  <si>
    <t>Maya Martinez</t>
  </si>
  <si>
    <t>CND-10367</t>
  </si>
  <si>
    <t>CND-10368</t>
  </si>
  <si>
    <t>CND-10369</t>
  </si>
  <si>
    <t>CND-10370</t>
  </si>
  <si>
    <t>CND-10371</t>
  </si>
  <si>
    <t>CND-10372</t>
  </si>
  <si>
    <t>CND-10373</t>
  </si>
  <si>
    <t>CND-10374</t>
  </si>
  <si>
    <t>CND-10375</t>
  </si>
  <si>
    <t>Lucas Johnson</t>
  </si>
  <si>
    <t>CND-10376</t>
  </si>
  <si>
    <t>CND-10377</t>
  </si>
  <si>
    <t>CND-10378</t>
  </si>
  <si>
    <t>CND-10379</t>
  </si>
  <si>
    <t>CND-10380</t>
  </si>
  <si>
    <t>CND-10381</t>
  </si>
  <si>
    <t>CND-10382</t>
  </si>
  <si>
    <t>Aarav Smith</t>
  </si>
  <si>
    <t>CND-10383</t>
  </si>
  <si>
    <t>CND-10384</t>
  </si>
  <si>
    <t>Mateo Kim</t>
  </si>
  <si>
    <t>CND-10385</t>
  </si>
  <si>
    <t>CND-10386</t>
  </si>
  <si>
    <t>CND-10387</t>
  </si>
  <si>
    <t>Noah Gupta</t>
  </si>
  <si>
    <t>CND-10388</t>
  </si>
  <si>
    <t>CND-10389</t>
  </si>
  <si>
    <t>CND-10390</t>
  </si>
  <si>
    <t>CND-10391</t>
  </si>
  <si>
    <t>Aarav Miller</t>
  </si>
  <si>
    <t>CND-10392</t>
  </si>
  <si>
    <t>CND-10393</t>
  </si>
  <si>
    <t>CND-10394</t>
  </si>
  <si>
    <t>CND-10395</t>
  </si>
  <si>
    <t>CND-10396</t>
  </si>
  <si>
    <t>CND-10397</t>
  </si>
  <si>
    <t>Kai Garcia</t>
  </si>
  <si>
    <t>CND-10398</t>
  </si>
  <si>
    <t>CND-10399</t>
  </si>
  <si>
    <t>CND-10400</t>
  </si>
  <si>
    <t>CND-10401</t>
  </si>
  <si>
    <t>CND-10402</t>
  </si>
  <si>
    <t>CND-10403</t>
  </si>
  <si>
    <t>CND-10404</t>
  </si>
  <si>
    <t>CND-10405</t>
  </si>
  <si>
    <t>CND-10406</t>
  </si>
  <si>
    <t>CND-10407</t>
  </si>
  <si>
    <t>CND-10408</t>
  </si>
  <si>
    <t>CND-10409</t>
  </si>
  <si>
    <t>Emma Davis</t>
  </si>
  <si>
    <t>CND-10410</t>
  </si>
  <si>
    <t>Emma Silva</t>
  </si>
  <si>
    <t>CND-10411</t>
  </si>
  <si>
    <t>CND-10412</t>
  </si>
  <si>
    <t>Zanya Kim</t>
  </si>
  <si>
    <t>CND-10413</t>
  </si>
  <si>
    <t>Zanya Jones</t>
  </si>
  <si>
    <t>CND-10414</t>
  </si>
  <si>
    <t>CND-10415</t>
  </si>
  <si>
    <t>CND-10416</t>
  </si>
  <si>
    <t>Elena Rodriguez</t>
  </si>
  <si>
    <t>CND-10417</t>
  </si>
  <si>
    <t>CND-10418</t>
  </si>
  <si>
    <t>Kai Johnson</t>
  </si>
  <si>
    <t>CND-10419</t>
  </si>
  <si>
    <t>CND-10420</t>
  </si>
  <si>
    <t>CND-10421</t>
  </si>
  <si>
    <t>CND-10422</t>
  </si>
  <si>
    <t>CND-10423</t>
  </si>
  <si>
    <t>CND-10424</t>
  </si>
  <si>
    <t>CND-10425</t>
  </si>
  <si>
    <t>CND-10426</t>
  </si>
  <si>
    <t>CND-10427</t>
  </si>
  <si>
    <t>CND-10428</t>
  </si>
  <si>
    <t>CND-10429</t>
  </si>
  <si>
    <t>CND-10430</t>
  </si>
  <si>
    <t>CND-10431</t>
  </si>
  <si>
    <t>CND-10432</t>
  </si>
  <si>
    <t>Maya Kim</t>
  </si>
  <si>
    <t>CND-10433</t>
  </si>
  <si>
    <t>CND-10434</t>
  </si>
  <si>
    <t>CND-10435</t>
  </si>
  <si>
    <t>CND-10436</t>
  </si>
  <si>
    <t>CND-10437</t>
  </si>
  <si>
    <t>CND-10438</t>
  </si>
  <si>
    <t>CND-10439</t>
  </si>
  <si>
    <t>CND-10440</t>
  </si>
  <si>
    <t>CND-10441</t>
  </si>
  <si>
    <t>CND-10442</t>
  </si>
  <si>
    <t>CND-10443</t>
  </si>
  <si>
    <t>CND-10444</t>
  </si>
  <si>
    <t>CND-10445</t>
  </si>
  <si>
    <t>CND-10446</t>
  </si>
  <si>
    <t>CND-10447</t>
  </si>
  <si>
    <t>CND-10448</t>
  </si>
  <si>
    <t>CND-10449</t>
  </si>
  <si>
    <t>CND-10450</t>
  </si>
  <si>
    <t>CND-10451</t>
  </si>
  <si>
    <t>CND-10452</t>
  </si>
  <si>
    <t>CND-10453</t>
  </si>
  <si>
    <t>CND-10454</t>
  </si>
  <si>
    <t>CND-10455</t>
  </si>
  <si>
    <t>Amelia Gupta</t>
  </si>
  <si>
    <t>CND-10456</t>
  </si>
  <si>
    <t>CND-10457</t>
  </si>
  <si>
    <t>CND-10458</t>
  </si>
  <si>
    <t>Charlotte Williams</t>
  </si>
  <si>
    <t>CND-10459</t>
  </si>
  <si>
    <t>CND-10460</t>
  </si>
  <si>
    <t>CND-10461</t>
  </si>
  <si>
    <t>CND-10462</t>
  </si>
  <si>
    <t>CND-10463</t>
  </si>
  <si>
    <t>CND-10464</t>
  </si>
  <si>
    <t>CND-10465</t>
  </si>
  <si>
    <t>CND-10466</t>
  </si>
  <si>
    <t>CND-10467</t>
  </si>
  <si>
    <t>CND-10468</t>
  </si>
  <si>
    <t>CND-10469</t>
  </si>
  <si>
    <t>CND-10470</t>
  </si>
  <si>
    <t>CND-10471</t>
  </si>
  <si>
    <t>CND-10472</t>
  </si>
  <si>
    <t>CND-10473</t>
  </si>
  <si>
    <t>CND-10474</t>
  </si>
  <si>
    <t>CND-10475</t>
  </si>
  <si>
    <t>CND-10476</t>
  </si>
  <si>
    <t>CND-10477</t>
  </si>
  <si>
    <t>CND-10478</t>
  </si>
  <si>
    <t>CND-10479</t>
  </si>
  <si>
    <t>CND-10480</t>
  </si>
  <si>
    <t>CND-10481</t>
  </si>
  <si>
    <t>CND-10482</t>
  </si>
  <si>
    <t>CND-10483</t>
  </si>
  <si>
    <t>Kai Patel</t>
  </si>
  <si>
    <t>CND-10484</t>
  </si>
  <si>
    <t>CND-10485</t>
  </si>
  <si>
    <t>CND-10486</t>
  </si>
  <si>
    <t>CND-10487</t>
  </si>
  <si>
    <t>CND-10488</t>
  </si>
  <si>
    <t>Noah Williams</t>
  </si>
  <si>
    <t>CND-10489</t>
  </si>
  <si>
    <t>CND-10490</t>
  </si>
  <si>
    <t>CND-10491</t>
  </si>
  <si>
    <t>CND-10492</t>
  </si>
  <si>
    <t>CND-10493</t>
  </si>
  <si>
    <t>CND-10494</t>
  </si>
  <si>
    <t>CND-10495</t>
  </si>
  <si>
    <t>CND-10496</t>
  </si>
  <si>
    <t>CND-10497</t>
  </si>
  <si>
    <t>CND-10498</t>
  </si>
  <si>
    <t>CND-10499</t>
  </si>
  <si>
    <t>CND-10500</t>
  </si>
  <si>
    <t>CND-10501</t>
  </si>
  <si>
    <t>CND-10502</t>
  </si>
  <si>
    <t>CND-10503</t>
  </si>
  <si>
    <t>CND-10504</t>
  </si>
  <si>
    <t>CND-10505</t>
  </si>
  <si>
    <t>CND-10506</t>
  </si>
  <si>
    <t>CND-10507</t>
  </si>
  <si>
    <t>CND-10508</t>
  </si>
  <si>
    <t>CND-10509</t>
  </si>
  <si>
    <t>CND-10510</t>
  </si>
  <si>
    <t>CND-10511</t>
  </si>
  <si>
    <t>CND-10512</t>
  </si>
  <si>
    <t>CND-10513</t>
  </si>
  <si>
    <t>CND-10514</t>
  </si>
  <si>
    <t>CND-10515</t>
  </si>
  <si>
    <t>CND-10516</t>
  </si>
  <si>
    <t>CND-10517</t>
  </si>
  <si>
    <t>CND-10518</t>
  </si>
  <si>
    <t>CND-10519</t>
  </si>
  <si>
    <t>CND-10520</t>
  </si>
  <si>
    <t>Oliver Davis</t>
  </si>
  <si>
    <t>CND-10521</t>
  </si>
  <si>
    <t>CND-10522</t>
  </si>
  <si>
    <t>CND-10523</t>
  </si>
  <si>
    <t>CND-10524</t>
  </si>
  <si>
    <t>CND-10525</t>
  </si>
  <si>
    <t>CND-10526</t>
  </si>
  <si>
    <t>CND-10527</t>
  </si>
  <si>
    <t>CND-10528</t>
  </si>
  <si>
    <t>CND-10529</t>
  </si>
  <si>
    <t>CND-10530</t>
  </si>
  <si>
    <t>CND-10531</t>
  </si>
  <si>
    <t>CND-10532</t>
  </si>
  <si>
    <t>CND-10533</t>
  </si>
  <si>
    <t>CND-10534</t>
  </si>
  <si>
    <t>CND-10535</t>
  </si>
  <si>
    <t>CND-10536</t>
  </si>
  <si>
    <t>CND-10537</t>
  </si>
  <si>
    <t>CND-10538</t>
  </si>
  <si>
    <t>CND-10539</t>
  </si>
  <si>
    <t>CND-10540</t>
  </si>
  <si>
    <t>CND-10541</t>
  </si>
  <si>
    <t>CND-10542</t>
  </si>
  <si>
    <t>CND-10543</t>
  </si>
  <si>
    <t>CND-10544</t>
  </si>
  <si>
    <t>CND-10545</t>
  </si>
  <si>
    <t>CND-10546</t>
  </si>
  <si>
    <t>Liam Rodriguez</t>
  </si>
  <si>
    <t>CND-10547</t>
  </si>
  <si>
    <t>CND-10548</t>
  </si>
  <si>
    <t>CND-10549</t>
  </si>
  <si>
    <t>CND-10550</t>
  </si>
  <si>
    <t>CND-10551</t>
  </si>
  <si>
    <t>CND-10552</t>
  </si>
  <si>
    <t>CND-10553</t>
  </si>
  <si>
    <t>CND-10554</t>
  </si>
  <si>
    <t>CND-10555</t>
  </si>
  <si>
    <t>CND-10556</t>
  </si>
  <si>
    <t>CND-10557</t>
  </si>
  <si>
    <t>CND-10558</t>
  </si>
  <si>
    <t>Noah Davis</t>
  </si>
  <si>
    <t>CND-10559</t>
  </si>
  <si>
    <t>Maya Nakamura</t>
  </si>
  <si>
    <t>CND-10560</t>
  </si>
  <si>
    <t>Lucas Smith</t>
  </si>
  <si>
    <t>CND-10561</t>
  </si>
  <si>
    <t>CND-10562</t>
  </si>
  <si>
    <t>CND-10563</t>
  </si>
  <si>
    <t>CND-10564</t>
  </si>
  <si>
    <t>CND-10565</t>
  </si>
  <si>
    <t>CND-10566</t>
  </si>
  <si>
    <t>CND-10567</t>
  </si>
  <si>
    <t>CND-10568</t>
  </si>
  <si>
    <t>CND-10569</t>
  </si>
  <si>
    <t>CND-10570</t>
  </si>
  <si>
    <t>CND-10571</t>
  </si>
  <si>
    <t>CND-10572</t>
  </si>
  <si>
    <t>CND-10573</t>
  </si>
  <si>
    <t>CND-10574</t>
  </si>
  <si>
    <t>CND-10575</t>
  </si>
  <si>
    <t>CND-10576</t>
  </si>
  <si>
    <t>CND-10577</t>
  </si>
  <si>
    <t>CND-10578</t>
  </si>
  <si>
    <t>CND-10579</t>
  </si>
  <si>
    <t>CND-10580</t>
  </si>
  <si>
    <t>CND-10581</t>
  </si>
  <si>
    <t>CND-10582</t>
  </si>
  <si>
    <t>CND-10583</t>
  </si>
  <si>
    <t>CND-10584</t>
  </si>
  <si>
    <t>CND-10585</t>
  </si>
  <si>
    <t>CND-10586</t>
  </si>
  <si>
    <t>CND-10587</t>
  </si>
  <si>
    <t>CND-10588</t>
  </si>
  <si>
    <t>CND-10589</t>
  </si>
  <si>
    <t>CND-10590</t>
  </si>
  <si>
    <t>CND-10591</t>
  </si>
  <si>
    <t>CND-10592</t>
  </si>
  <si>
    <t>CND-10593</t>
  </si>
  <si>
    <t>CND-10594</t>
  </si>
  <si>
    <t>CND-10595</t>
  </si>
  <si>
    <t>CND-10596</t>
  </si>
  <si>
    <t>CND-10597</t>
  </si>
  <si>
    <t>CND-10598</t>
  </si>
  <si>
    <t>CND-10599</t>
  </si>
  <si>
    <t>CND-10600</t>
  </si>
  <si>
    <t>CND-10601</t>
  </si>
  <si>
    <t>CND-10602</t>
  </si>
  <si>
    <t>CND-10603</t>
  </si>
  <si>
    <t>CND-10604</t>
  </si>
  <si>
    <t>CND-10605</t>
  </si>
  <si>
    <t>CND-10606</t>
  </si>
  <si>
    <t>CND-10607</t>
  </si>
  <si>
    <t>CND-10608</t>
  </si>
  <si>
    <t>CND-10609</t>
  </si>
  <si>
    <t>CND-10610</t>
  </si>
  <si>
    <t>CND-10611</t>
  </si>
  <si>
    <t>CND-10612</t>
  </si>
  <si>
    <t>CND-10613</t>
  </si>
  <si>
    <t>CND-10614</t>
  </si>
  <si>
    <t>CND-10615</t>
  </si>
  <si>
    <t>CND-10616</t>
  </si>
  <si>
    <t>CND-10617</t>
  </si>
  <si>
    <t>CND-10618</t>
  </si>
  <si>
    <t>CND-10619</t>
  </si>
  <si>
    <t>Noah Brown</t>
  </si>
  <si>
    <t>CND-10620</t>
  </si>
  <si>
    <t>CND-10621</t>
  </si>
  <si>
    <t>Aarav Gupta</t>
  </si>
  <si>
    <t>CND-10622</t>
  </si>
  <si>
    <t>CND-10623</t>
  </si>
  <si>
    <t>CND-10624</t>
  </si>
  <si>
    <t>CND-10625</t>
  </si>
  <si>
    <t>Sophia Jones</t>
  </si>
  <si>
    <t>CND-10626</t>
  </si>
  <si>
    <t>CND-10627</t>
  </si>
  <si>
    <t>CND-10628</t>
  </si>
  <si>
    <t>CND-10629</t>
  </si>
  <si>
    <t>CND-10630</t>
  </si>
  <si>
    <t>CND-10631</t>
  </si>
  <si>
    <t>CND-10632</t>
  </si>
  <si>
    <t>CND-10633</t>
  </si>
  <si>
    <t>Maya Patel</t>
  </si>
  <si>
    <t>CND-10634</t>
  </si>
  <si>
    <t>CND-10635</t>
  </si>
  <si>
    <t>CND-10636</t>
  </si>
  <si>
    <t>CND-10637</t>
  </si>
  <si>
    <t>CND-10638</t>
  </si>
  <si>
    <t>CND-10639</t>
  </si>
  <si>
    <t>CND-10640</t>
  </si>
  <si>
    <t>CND-10641</t>
  </si>
  <si>
    <t>CND-10642</t>
  </si>
  <si>
    <t>CND-10643</t>
  </si>
  <si>
    <t>CND-10644</t>
  </si>
  <si>
    <t>CND-10645</t>
  </si>
  <si>
    <t>CND-10646</t>
  </si>
  <si>
    <t>CND-10647</t>
  </si>
  <si>
    <t>CND-10648</t>
  </si>
  <si>
    <t>CND-10649</t>
  </si>
  <si>
    <t>CND-10650</t>
  </si>
  <si>
    <t>CND-10651</t>
  </si>
  <si>
    <t>CND-10652</t>
  </si>
  <si>
    <t>CND-10653</t>
  </si>
  <si>
    <t>CND-10654</t>
  </si>
  <si>
    <t>CND-10655</t>
  </si>
  <si>
    <t>CND-10656</t>
  </si>
  <si>
    <t>CND-10657</t>
  </si>
  <si>
    <t>CND-10658</t>
  </si>
  <si>
    <t>CND-10659</t>
  </si>
  <si>
    <t>Elena Nakamura</t>
  </si>
  <si>
    <t>CND-10660</t>
  </si>
  <si>
    <t>CND-10661</t>
  </si>
  <si>
    <t>CND-10662</t>
  </si>
  <si>
    <t>CND-10663</t>
  </si>
  <si>
    <t>Hiro Gupta</t>
  </si>
  <si>
    <t>CND-10664</t>
  </si>
  <si>
    <t>CND-10665</t>
  </si>
  <si>
    <t>CND-10666</t>
  </si>
  <si>
    <t>CND-10667</t>
  </si>
  <si>
    <t>CND-10668</t>
  </si>
  <si>
    <t>CND-10669</t>
  </si>
  <si>
    <t>CND-10670</t>
  </si>
  <si>
    <t>CND-10671</t>
  </si>
  <si>
    <t>CND-10672</t>
  </si>
  <si>
    <t>CND-10673</t>
  </si>
  <si>
    <t>CND-10674</t>
  </si>
  <si>
    <t>CND-10675</t>
  </si>
  <si>
    <t>CND-10676</t>
  </si>
  <si>
    <t>CND-10677</t>
  </si>
  <si>
    <t>CND-10678</t>
  </si>
  <si>
    <t>CND-10679</t>
  </si>
  <si>
    <t>CND-10680</t>
  </si>
  <si>
    <t>CND-10681</t>
  </si>
  <si>
    <t>CND-10682</t>
  </si>
  <si>
    <t>CND-10683</t>
  </si>
  <si>
    <t>CND-10684</t>
  </si>
  <si>
    <t>CND-10685</t>
  </si>
  <si>
    <t>CND-10686</t>
  </si>
  <si>
    <t>CND-10687</t>
  </si>
  <si>
    <t>CND-10688</t>
  </si>
  <si>
    <t>CND-10689</t>
  </si>
  <si>
    <t>CND-10690</t>
  </si>
  <si>
    <t>CND-10691</t>
  </si>
  <si>
    <t>CND-10692</t>
  </si>
  <si>
    <t>CND-10693</t>
  </si>
  <si>
    <t>CND-10694</t>
  </si>
  <si>
    <t>CND-10695</t>
  </si>
  <si>
    <t>CND-10696</t>
  </si>
  <si>
    <t>Oliver Miller</t>
  </si>
  <si>
    <t>CND-10697</t>
  </si>
  <si>
    <t>CND-10698</t>
  </si>
  <si>
    <t>CND-10699</t>
  </si>
  <si>
    <t>Noah Rodriguez</t>
  </si>
  <si>
    <t>CND-10700</t>
  </si>
  <si>
    <t>Hiro Garcia</t>
  </si>
  <si>
    <t>CND-10701</t>
  </si>
  <si>
    <t>CND-10702</t>
  </si>
  <si>
    <t>CND-10703</t>
  </si>
  <si>
    <t>CND-10704</t>
  </si>
  <si>
    <t>CND-10705</t>
  </si>
  <si>
    <t>CND-10706</t>
  </si>
  <si>
    <t>CND-10707</t>
  </si>
  <si>
    <t>CND-10708</t>
  </si>
  <si>
    <t>CND-10709</t>
  </si>
  <si>
    <t>CND-10710</t>
  </si>
  <si>
    <t>CND-10711</t>
  </si>
  <si>
    <t>CND-10712</t>
  </si>
  <si>
    <t>CND-10713</t>
  </si>
  <si>
    <t>CND-10714</t>
  </si>
  <si>
    <t>CND-10715</t>
  </si>
  <si>
    <t>CND-10716</t>
  </si>
  <si>
    <t>CND-10717</t>
  </si>
  <si>
    <t>CND-10718</t>
  </si>
  <si>
    <t>CND-10719</t>
  </si>
  <si>
    <t>CND-10720</t>
  </si>
  <si>
    <t>CND-10721</t>
  </si>
  <si>
    <t>CND-10722</t>
  </si>
  <si>
    <t>CND-10723</t>
  </si>
  <si>
    <t>CND-10724</t>
  </si>
  <si>
    <t>CND-10725</t>
  </si>
  <si>
    <t>CND-10726</t>
  </si>
  <si>
    <t>CND-10727</t>
  </si>
  <si>
    <t>CND-10728</t>
  </si>
  <si>
    <t>CND-10729</t>
  </si>
  <si>
    <t>CND-10730</t>
  </si>
  <si>
    <t>CND-10731</t>
  </si>
  <si>
    <t>CND-10732</t>
  </si>
  <si>
    <t>CND-10733</t>
  </si>
  <si>
    <t>CND-10734</t>
  </si>
  <si>
    <t>CND-10735</t>
  </si>
  <si>
    <t>CND-10736</t>
  </si>
  <si>
    <t>CND-10737</t>
  </si>
  <si>
    <t>CND-10738</t>
  </si>
  <si>
    <t>CND-10739</t>
  </si>
  <si>
    <t>CND-10740</t>
  </si>
  <si>
    <t>CND-10741</t>
  </si>
  <si>
    <t>CND-10742</t>
  </si>
  <si>
    <t>CND-10743</t>
  </si>
  <si>
    <t>CND-10744</t>
  </si>
  <si>
    <t>CND-10745</t>
  </si>
  <si>
    <t>CND-10746</t>
  </si>
  <si>
    <t>CND-10747</t>
  </si>
  <si>
    <t>CND-10748</t>
  </si>
  <si>
    <t>CND-10749</t>
  </si>
  <si>
    <t>CND-10750</t>
  </si>
  <si>
    <t>CND-10751</t>
  </si>
  <si>
    <t>CND-10752</t>
  </si>
  <si>
    <t>CND-10753</t>
  </si>
  <si>
    <t>CND-10754</t>
  </si>
  <si>
    <t>CND-10755</t>
  </si>
  <si>
    <t>CND-10756</t>
  </si>
  <si>
    <t>CND-10757</t>
  </si>
  <si>
    <t>CND-10758</t>
  </si>
  <si>
    <t>CND-10759</t>
  </si>
  <si>
    <t>CND-10760</t>
  </si>
  <si>
    <t>CND-10761</t>
  </si>
  <si>
    <t>CND-10762</t>
  </si>
  <si>
    <t>CND-10763</t>
  </si>
  <si>
    <t>CND-10764</t>
  </si>
  <si>
    <t>CND-10765</t>
  </si>
  <si>
    <t>CND-10766</t>
  </si>
  <si>
    <t>CND-10767</t>
  </si>
  <si>
    <t>CND-10768</t>
  </si>
  <si>
    <t>CND-10769</t>
  </si>
  <si>
    <t>CND-10770</t>
  </si>
  <si>
    <t>CND-10771</t>
  </si>
  <si>
    <t>CND-10772</t>
  </si>
  <si>
    <t>CND-10773</t>
  </si>
  <si>
    <t>CND-10774</t>
  </si>
  <si>
    <t>CND-10775</t>
  </si>
  <si>
    <t>CND-10776</t>
  </si>
  <si>
    <t>CND-10777</t>
  </si>
  <si>
    <t>CND-10778</t>
  </si>
  <si>
    <t>CND-10779</t>
  </si>
  <si>
    <t>CND-10780</t>
  </si>
  <si>
    <t>CND-10781</t>
  </si>
  <si>
    <t>CND-10782</t>
  </si>
  <si>
    <t>CND-10783</t>
  </si>
  <si>
    <t>CND-10784</t>
  </si>
  <si>
    <t>CND-10785</t>
  </si>
  <si>
    <t>CND-10786</t>
  </si>
  <si>
    <t>CND-10787</t>
  </si>
  <si>
    <t>CND-10788</t>
  </si>
  <si>
    <t>CND-10789</t>
  </si>
  <si>
    <t>CND-10790</t>
  </si>
  <si>
    <t>CND-10791</t>
  </si>
  <si>
    <t>CND-10792</t>
  </si>
  <si>
    <t>CND-10793</t>
  </si>
  <si>
    <t>CND-10794</t>
  </si>
  <si>
    <t>CND-10795</t>
  </si>
  <si>
    <t>CND-10796</t>
  </si>
  <si>
    <t>CND-10797</t>
  </si>
  <si>
    <t>CND-10798</t>
  </si>
  <si>
    <t>CND-10799</t>
  </si>
  <si>
    <t>CND-10800</t>
  </si>
  <si>
    <t>CND-10801</t>
  </si>
  <si>
    <t>CND-10802</t>
  </si>
  <si>
    <t>CND-10803</t>
  </si>
  <si>
    <t>CND-10804</t>
  </si>
  <si>
    <t>CND-10805</t>
  </si>
  <si>
    <t>CND-10806</t>
  </si>
  <si>
    <t>CND-10807</t>
  </si>
  <si>
    <t>CND-10808</t>
  </si>
  <si>
    <t>CND-10809</t>
  </si>
  <si>
    <t>CND-10810</t>
  </si>
  <si>
    <t>CND-10811</t>
  </si>
  <si>
    <t>CND-10812</t>
  </si>
  <si>
    <t>CND-10813</t>
  </si>
  <si>
    <t>CND-10814</t>
  </si>
  <si>
    <t>CND-10815</t>
  </si>
  <si>
    <t>CND-10816</t>
  </si>
  <si>
    <t>CND-10817</t>
  </si>
  <si>
    <t>CND-10818</t>
  </si>
  <si>
    <t>CND-10819</t>
  </si>
  <si>
    <t>CND-10820</t>
  </si>
  <si>
    <t>CND-10821</t>
  </si>
  <si>
    <t>CND-10822</t>
  </si>
  <si>
    <t>CND-10823</t>
  </si>
  <si>
    <t>CND-10824</t>
  </si>
  <si>
    <t>CND-10825</t>
  </si>
  <si>
    <t>CND-10826</t>
  </si>
  <si>
    <t>CND-10827</t>
  </si>
  <si>
    <t>CND-10828</t>
  </si>
  <si>
    <t>CND-10829</t>
  </si>
  <si>
    <t>CND-10830</t>
  </si>
  <si>
    <t>CND-10831</t>
  </si>
  <si>
    <t>CND-10832</t>
  </si>
  <si>
    <t>CND-10833</t>
  </si>
  <si>
    <t>CND-10834</t>
  </si>
  <si>
    <t>CND-10835</t>
  </si>
  <si>
    <t>CND-10836</t>
  </si>
  <si>
    <t>CND-10837</t>
  </si>
  <si>
    <t>CND-10838</t>
  </si>
  <si>
    <t>CND-10839</t>
  </si>
  <si>
    <t>CND-10840</t>
  </si>
  <si>
    <t>CND-10841</t>
  </si>
  <si>
    <t>CND-10842</t>
  </si>
  <si>
    <t>Lucas Davis</t>
  </si>
  <si>
    <t>CND-10843</t>
  </si>
  <si>
    <t>CND-10844</t>
  </si>
  <si>
    <t>CND-10845</t>
  </si>
  <si>
    <t>Sophia Davis</t>
  </si>
  <si>
    <t>CND-10846</t>
  </si>
  <si>
    <t>CND-10847</t>
  </si>
  <si>
    <t>CND-10848</t>
  </si>
  <si>
    <t>CND-10849</t>
  </si>
  <si>
    <t>CND-10850</t>
  </si>
  <si>
    <t>CND-10851</t>
  </si>
  <si>
    <t>CND-10852</t>
  </si>
  <si>
    <t>CND-10853</t>
  </si>
  <si>
    <t>CND-10854</t>
  </si>
  <si>
    <t>CND-10855</t>
  </si>
  <si>
    <t>CND-10856</t>
  </si>
  <si>
    <t>CND-10857</t>
  </si>
  <si>
    <t>CND-10858</t>
  </si>
  <si>
    <t>CND-10859</t>
  </si>
  <si>
    <t>CND-10860</t>
  </si>
  <si>
    <t>CND-10861</t>
  </si>
  <si>
    <t>CND-10862</t>
  </si>
  <si>
    <t>CND-10863</t>
  </si>
  <si>
    <t>CND-10864</t>
  </si>
  <si>
    <t>CND-10865</t>
  </si>
  <si>
    <t>CND-10866</t>
  </si>
  <si>
    <t>CND-10867</t>
  </si>
  <si>
    <t>CND-10868</t>
  </si>
  <si>
    <t>CND-10869</t>
  </si>
  <si>
    <t>CND-10870</t>
  </si>
  <si>
    <t>CND-10871</t>
  </si>
  <si>
    <t>CND-10872</t>
  </si>
  <si>
    <t>CND-10873</t>
  </si>
  <si>
    <t>CND-10874</t>
  </si>
  <si>
    <t>CND-10875</t>
  </si>
  <si>
    <t>CND-10876</t>
  </si>
  <si>
    <t>CND-10877</t>
  </si>
  <si>
    <t>CND-10878</t>
  </si>
  <si>
    <t>CND-10879</t>
  </si>
  <si>
    <t>CND-10880</t>
  </si>
  <si>
    <t>CND-10881</t>
  </si>
  <si>
    <t>CND-10882</t>
  </si>
  <si>
    <t>CND-10883</t>
  </si>
  <si>
    <t>CND-10884</t>
  </si>
  <si>
    <t>CND-10885</t>
  </si>
  <si>
    <t>CND-10886</t>
  </si>
  <si>
    <t>CND-10887</t>
  </si>
  <si>
    <t>CND-10888</t>
  </si>
  <si>
    <t>CND-10889</t>
  </si>
  <si>
    <t>CND-10890</t>
  </si>
  <si>
    <t>CND-10891</t>
  </si>
  <si>
    <t>CND-10892</t>
  </si>
  <si>
    <t>CND-10893</t>
  </si>
  <si>
    <t>CND-10894</t>
  </si>
  <si>
    <t>CND-10895</t>
  </si>
  <si>
    <t>CND-10896</t>
  </si>
  <si>
    <t>Mateo Williams</t>
  </si>
  <si>
    <t>CND-10897</t>
  </si>
  <si>
    <t>CND-10898</t>
  </si>
  <si>
    <t>CND-10899</t>
  </si>
  <si>
    <t>CND-10900</t>
  </si>
  <si>
    <t>CND-10901</t>
  </si>
  <si>
    <t>CND-10902</t>
  </si>
  <si>
    <t>CND-10903</t>
  </si>
  <si>
    <t>CND-10904</t>
  </si>
  <si>
    <t>CND-10905</t>
  </si>
  <si>
    <t>CND-10906</t>
  </si>
  <si>
    <t>CND-10907</t>
  </si>
  <si>
    <t>CND-10908</t>
  </si>
  <si>
    <t>CND-10909</t>
  </si>
  <si>
    <t>CND-10910</t>
  </si>
  <si>
    <t>CND-10911</t>
  </si>
  <si>
    <t>CND-10912</t>
  </si>
  <si>
    <t>CND-10913</t>
  </si>
  <si>
    <t>CND-10914</t>
  </si>
  <si>
    <t>CND-10915</t>
  </si>
  <si>
    <t>CND-10916</t>
  </si>
  <si>
    <t>CND-10917</t>
  </si>
  <si>
    <t>CND-10918</t>
  </si>
  <si>
    <t>CND-10919</t>
  </si>
  <si>
    <t>CND-10920</t>
  </si>
  <si>
    <t>CND-10921</t>
  </si>
  <si>
    <t>CND-10922</t>
  </si>
  <si>
    <t>CND-10923</t>
  </si>
  <si>
    <t>CND-10924</t>
  </si>
  <si>
    <t>CND-10925</t>
  </si>
  <si>
    <t>CND-10926</t>
  </si>
  <si>
    <t>CND-10927</t>
  </si>
  <si>
    <t>CND-10928</t>
  </si>
  <si>
    <t>CND-10929</t>
  </si>
  <si>
    <t>CND-10930</t>
  </si>
  <si>
    <t>CND-10931</t>
  </si>
  <si>
    <t>CND-10932</t>
  </si>
  <si>
    <t>CND-10933</t>
  </si>
  <si>
    <t>CND-10934</t>
  </si>
  <si>
    <t>CND-10935</t>
  </si>
  <si>
    <t>CND-10936</t>
  </si>
  <si>
    <t>CND-10937</t>
  </si>
  <si>
    <t>CND-10938</t>
  </si>
  <si>
    <t>CND-10939</t>
  </si>
  <si>
    <t>CND-10940</t>
  </si>
  <si>
    <t>CND-10941</t>
  </si>
  <si>
    <t>CND-10942</t>
  </si>
  <si>
    <t>CND-10943</t>
  </si>
  <si>
    <t>CND-10944</t>
  </si>
  <si>
    <t>CND-10945</t>
  </si>
  <si>
    <t>CND-10946</t>
  </si>
  <si>
    <t>CND-10947</t>
  </si>
  <si>
    <t>CND-10948</t>
  </si>
  <si>
    <t>CND-10949</t>
  </si>
  <si>
    <t>CND-10950</t>
  </si>
  <si>
    <t>CND-10951</t>
  </si>
  <si>
    <t>CND-10952</t>
  </si>
  <si>
    <t>CND-10953</t>
  </si>
  <si>
    <t>CND-10954</t>
  </si>
  <si>
    <t>CND-10955</t>
  </si>
  <si>
    <t>CND-10956</t>
  </si>
  <si>
    <t>CND-10957</t>
  </si>
  <si>
    <t>CND-10958</t>
  </si>
  <si>
    <t>CND-10959</t>
  </si>
  <si>
    <t>CND-10960</t>
  </si>
  <si>
    <t>CND-10961</t>
  </si>
  <si>
    <t>CND-10962</t>
  </si>
  <si>
    <t>CND-10963</t>
  </si>
  <si>
    <t>CND-10964</t>
  </si>
  <si>
    <t>CND-10965</t>
  </si>
  <si>
    <t>CND-10966</t>
  </si>
  <si>
    <t>CND-10967</t>
  </si>
  <si>
    <t>CND-10968</t>
  </si>
  <si>
    <t>CND-10969</t>
  </si>
  <si>
    <t>CND-10970</t>
  </si>
  <si>
    <t>CND-10971</t>
  </si>
  <si>
    <t>CND-10972</t>
  </si>
  <si>
    <t>CND-10973</t>
  </si>
  <si>
    <t>CND-10974</t>
  </si>
  <si>
    <t>CND-10975</t>
  </si>
  <si>
    <t>CND-10976</t>
  </si>
  <si>
    <t>CND-10977</t>
  </si>
  <si>
    <t>CND-10978</t>
  </si>
  <si>
    <t>CND-10979</t>
  </si>
  <si>
    <t>CND-10980</t>
  </si>
  <si>
    <t>CND-10981</t>
  </si>
  <si>
    <t>CND-10982</t>
  </si>
  <si>
    <t>CND-10983</t>
  </si>
  <si>
    <t>CND-10984</t>
  </si>
  <si>
    <t>CND-10985</t>
  </si>
  <si>
    <t>CND-10986</t>
  </si>
  <si>
    <t>CND-10987</t>
  </si>
  <si>
    <t>CND-10988</t>
  </si>
  <si>
    <t>CND-10989</t>
  </si>
  <si>
    <t>CND-10990</t>
  </si>
  <si>
    <t>CND-10991</t>
  </si>
  <si>
    <t>CND-10992</t>
  </si>
  <si>
    <t>CND-10993</t>
  </si>
  <si>
    <t>CND-10994</t>
  </si>
  <si>
    <t>Emma Patel</t>
  </si>
  <si>
    <t>CND-10995</t>
  </si>
  <si>
    <t>CND-10996</t>
  </si>
  <si>
    <t>CND-10997</t>
  </si>
  <si>
    <t>CND-10998</t>
  </si>
  <si>
    <t>CND-10999</t>
  </si>
  <si>
    <t>CND-11000</t>
  </si>
  <si>
    <t>CND-11001</t>
  </si>
  <si>
    <t>CND-11002</t>
  </si>
  <si>
    <t>CND-11003</t>
  </si>
  <si>
    <t>CND-11004</t>
  </si>
  <si>
    <t>CND-11005</t>
  </si>
  <si>
    <t>CND-11006</t>
  </si>
  <si>
    <t>CND-11007</t>
  </si>
  <si>
    <t>CND-11008</t>
  </si>
  <si>
    <t>CND-11009</t>
  </si>
  <si>
    <t>CND-11010</t>
  </si>
  <si>
    <t>CND-11011</t>
  </si>
  <si>
    <t>CND-11012</t>
  </si>
  <si>
    <t>CND-11013</t>
  </si>
  <si>
    <t>CND-11014</t>
  </si>
  <si>
    <t>CND-11015</t>
  </si>
  <si>
    <t>CND-11016</t>
  </si>
  <si>
    <t>CND-11017</t>
  </si>
  <si>
    <t>CND-11018</t>
  </si>
  <si>
    <t>CND-11019</t>
  </si>
  <si>
    <t>CND-11020</t>
  </si>
  <si>
    <t>CND-11021</t>
  </si>
  <si>
    <t>CND-11022</t>
  </si>
  <si>
    <t>CND-11023</t>
  </si>
  <si>
    <t>CND-11024</t>
  </si>
  <si>
    <t>CND-11025</t>
  </si>
  <si>
    <t>CND-11026</t>
  </si>
  <si>
    <t>CND-11027</t>
  </si>
  <si>
    <t>CND-11028</t>
  </si>
  <si>
    <t>CND-11029</t>
  </si>
  <si>
    <t>CND-11030</t>
  </si>
  <si>
    <t>CND-11031</t>
  </si>
  <si>
    <t>CND-11032</t>
  </si>
  <si>
    <t>CND-11033</t>
  </si>
  <si>
    <t>CND-11034</t>
  </si>
  <si>
    <t>CND-11035</t>
  </si>
  <si>
    <t>CND-11036</t>
  </si>
  <si>
    <t>CND-11037</t>
  </si>
  <si>
    <t>CND-11038</t>
  </si>
  <si>
    <t>CND-11039</t>
  </si>
  <si>
    <t>CND-11040</t>
  </si>
  <si>
    <t>CND-11041</t>
  </si>
  <si>
    <t>CND-11042</t>
  </si>
  <si>
    <t>CND-11043</t>
  </si>
  <si>
    <t>CND-11044</t>
  </si>
  <si>
    <t>CND-11045</t>
  </si>
  <si>
    <t>CND-11046</t>
  </si>
  <si>
    <t>CND-11047</t>
  </si>
  <si>
    <t>CND-11048</t>
  </si>
  <si>
    <t>CND-11049</t>
  </si>
  <si>
    <t>CND-11050</t>
  </si>
  <si>
    <t>CND-11051</t>
  </si>
  <si>
    <t>CND-11052</t>
  </si>
  <si>
    <t>CND-11053</t>
  </si>
  <si>
    <t>CND-11054</t>
  </si>
  <si>
    <t>CND-11055</t>
  </si>
  <si>
    <t>CND-11056</t>
  </si>
  <si>
    <t>CND-11057</t>
  </si>
  <si>
    <t>CND-11058</t>
  </si>
  <si>
    <t>CND-11059</t>
  </si>
  <si>
    <t>CND-11060</t>
  </si>
  <si>
    <t>CND-11061</t>
  </si>
  <si>
    <t>CND-11062</t>
  </si>
  <si>
    <t>CND-11063</t>
  </si>
  <si>
    <t>CND-11064</t>
  </si>
  <si>
    <t>CND-11065</t>
  </si>
  <si>
    <t>CND-11066</t>
  </si>
  <si>
    <t>CND-11067</t>
  </si>
  <si>
    <t>CND-11068</t>
  </si>
  <si>
    <t>CND-11069</t>
  </si>
  <si>
    <t>CND-11070</t>
  </si>
  <si>
    <t>CND-11071</t>
  </si>
  <si>
    <t>CND-11072</t>
  </si>
  <si>
    <t>CND-11073</t>
  </si>
  <si>
    <t>CND-11074</t>
  </si>
  <si>
    <t>CND-11075</t>
  </si>
  <si>
    <t>CND-11076</t>
  </si>
  <si>
    <t>CND-11077</t>
  </si>
  <si>
    <t>CND-11078</t>
  </si>
  <si>
    <t>CND-11079</t>
  </si>
  <si>
    <t>CND-11080</t>
  </si>
  <si>
    <t>CND-11081</t>
  </si>
  <si>
    <t>CND-11082</t>
  </si>
  <si>
    <t>CND-11083</t>
  </si>
  <si>
    <t>CND-11084</t>
  </si>
  <si>
    <t>CND-11085</t>
  </si>
  <si>
    <t>CND-11086</t>
  </si>
  <si>
    <t>CND-11087</t>
  </si>
  <si>
    <t>CND-11088</t>
  </si>
  <si>
    <t>CND-11089</t>
  </si>
  <si>
    <t>CND-11090</t>
  </si>
  <si>
    <t>CND-11091</t>
  </si>
  <si>
    <t>CND-11092</t>
  </si>
  <si>
    <t>CND-11093</t>
  </si>
  <si>
    <t>CND-11094</t>
  </si>
  <si>
    <t>CND-11095</t>
  </si>
  <si>
    <t>CND-11096</t>
  </si>
  <si>
    <t>CND-11097</t>
  </si>
  <si>
    <t>CND-11098</t>
  </si>
  <si>
    <t>CND-11099</t>
  </si>
  <si>
    <t>CND-11100</t>
  </si>
  <si>
    <t>CND-11101</t>
  </si>
  <si>
    <t>CND-11102</t>
  </si>
  <si>
    <t>CND-11103</t>
  </si>
  <si>
    <t>CND-11104</t>
  </si>
  <si>
    <t>CND-11105</t>
  </si>
  <si>
    <t>CND-11106</t>
  </si>
  <si>
    <t>CND-11107</t>
  </si>
  <si>
    <t>CND-11108</t>
  </si>
  <si>
    <t>CND-11109</t>
  </si>
  <si>
    <t>CND-11110</t>
  </si>
  <si>
    <t>CND-11111</t>
  </si>
  <si>
    <t>CND-11112</t>
  </si>
  <si>
    <t>CND-11113</t>
  </si>
  <si>
    <t>CND-11114</t>
  </si>
  <si>
    <t>CND-11115</t>
  </si>
  <si>
    <t>CND-11116</t>
  </si>
  <si>
    <t>CND-11117</t>
  </si>
  <si>
    <t>CND-11118</t>
  </si>
  <si>
    <t>CND-11119</t>
  </si>
  <si>
    <t>CND-11120</t>
  </si>
  <si>
    <t>CND-11121</t>
  </si>
  <si>
    <t>CND-11122</t>
  </si>
  <si>
    <t>CND-11123</t>
  </si>
  <si>
    <t>CND-11124</t>
  </si>
  <si>
    <t>CND-11125</t>
  </si>
  <si>
    <t>CND-11126</t>
  </si>
  <si>
    <t>CND-11127</t>
  </si>
  <si>
    <t>CND-11128</t>
  </si>
  <si>
    <t>CND-11129</t>
  </si>
  <si>
    <t>CND-11130</t>
  </si>
  <si>
    <t>CND-11131</t>
  </si>
  <si>
    <t>CND-11132</t>
  </si>
  <si>
    <t>CND-11133</t>
  </si>
  <si>
    <t>CND-11134</t>
  </si>
  <si>
    <t>CND-11135</t>
  </si>
  <si>
    <t>CND-11136</t>
  </si>
  <si>
    <t>CND-11137</t>
  </si>
  <si>
    <t>CND-11138</t>
  </si>
  <si>
    <t>CND-11139</t>
  </si>
  <si>
    <t>CND-11140</t>
  </si>
  <si>
    <t>CND-11141</t>
  </si>
  <si>
    <t>CND-11142</t>
  </si>
  <si>
    <t>CND-11143</t>
  </si>
  <si>
    <t>CND-11144</t>
  </si>
  <si>
    <t>CND-11145</t>
  </si>
  <si>
    <t>CND-11146</t>
  </si>
  <si>
    <t>CND-11147</t>
  </si>
  <si>
    <t>CND-11148</t>
  </si>
  <si>
    <t>CND-11149</t>
  </si>
  <si>
    <t>CND-11150</t>
  </si>
  <si>
    <t>CND-11151</t>
  </si>
  <si>
    <t>CND-11152</t>
  </si>
  <si>
    <t>CND-11153</t>
  </si>
  <si>
    <t>CND-11154</t>
  </si>
  <si>
    <t>CND-11155</t>
  </si>
  <si>
    <t>CND-11156</t>
  </si>
  <si>
    <t>CND-11157</t>
  </si>
  <si>
    <t>CND-11158</t>
  </si>
  <si>
    <t>CND-11159</t>
  </si>
  <si>
    <t>CND-11160</t>
  </si>
  <si>
    <t>CND-11161</t>
  </si>
  <si>
    <t>CND-11162</t>
  </si>
  <si>
    <t>CND-11163</t>
  </si>
  <si>
    <t>CND-11164</t>
  </si>
  <si>
    <t>CND-11165</t>
  </si>
  <si>
    <t>CND-11166</t>
  </si>
  <si>
    <t>CND-11167</t>
  </si>
  <si>
    <t>CND-11168</t>
  </si>
  <si>
    <t>CND-11169</t>
  </si>
  <si>
    <t>CND-11170</t>
  </si>
  <si>
    <t>CND-11171</t>
  </si>
  <si>
    <t>CND-11172</t>
  </si>
  <si>
    <t>CND-11173</t>
  </si>
  <si>
    <t>CND-11174</t>
  </si>
  <si>
    <t>CND-11175</t>
  </si>
  <si>
    <t>CND-11176</t>
  </si>
  <si>
    <t>CND-11177</t>
  </si>
  <si>
    <t>CND-11178</t>
  </si>
  <si>
    <t>CND-11179</t>
  </si>
  <si>
    <t>CND-11180</t>
  </si>
  <si>
    <t>CND-11181</t>
  </si>
  <si>
    <t>CND-11182</t>
  </si>
  <si>
    <t>CND-11183</t>
  </si>
  <si>
    <t>CND-11184</t>
  </si>
  <si>
    <t>CND-11185</t>
  </si>
  <si>
    <t>CND-11186</t>
  </si>
  <si>
    <t>CND-11187</t>
  </si>
  <si>
    <t>CND-11188</t>
  </si>
  <si>
    <t>CND-11189</t>
  </si>
  <si>
    <t>CND-11190</t>
  </si>
  <si>
    <t>CND-11191</t>
  </si>
  <si>
    <t>CND-11192</t>
  </si>
  <si>
    <t>CND-11193</t>
  </si>
  <si>
    <t>CND-11194</t>
  </si>
  <si>
    <t>CND-11195</t>
  </si>
  <si>
    <t>CND-11196</t>
  </si>
  <si>
    <t>CND-11197</t>
  </si>
  <si>
    <t>CND-11198</t>
  </si>
  <si>
    <t>CND-11199</t>
  </si>
  <si>
    <t>CND-11200</t>
  </si>
  <si>
    <t>ApplicationID</t>
  </si>
  <si>
    <t>Application_Date</t>
  </si>
  <si>
    <t>Current_StageID</t>
  </si>
  <si>
    <t>Final_Status</t>
  </si>
  <si>
    <t>Assessment_Score</t>
  </si>
  <si>
    <t>Interview_Score</t>
  </si>
  <si>
    <t>Time_to_Hire_Days</t>
  </si>
  <si>
    <t>Rejection_Reason</t>
  </si>
  <si>
    <t>APP-1001</t>
  </si>
  <si>
    <t>Rejected</t>
  </si>
  <si>
    <t>Technical Skills Gap</t>
  </si>
  <si>
    <t>APP-1002</t>
  </si>
  <si>
    <t>2025-06-06</t>
  </si>
  <si>
    <t>Failed Assessment</t>
  </si>
  <si>
    <t>APP-1003</t>
  </si>
  <si>
    <t>2025-06-02</t>
  </si>
  <si>
    <t>Candidate Withdrew</t>
  </si>
  <si>
    <t>APP-1004</t>
  </si>
  <si>
    <t>2025-02-21</t>
  </si>
  <si>
    <t>APP-1005</t>
  </si>
  <si>
    <t>2025-06-01</t>
  </si>
  <si>
    <t>Position Closed</t>
  </si>
  <si>
    <t>APP-1006</t>
  </si>
  <si>
    <t>2025-01-29</t>
  </si>
  <si>
    <t>APP-1007</t>
  </si>
  <si>
    <t>2025-05-28</t>
  </si>
  <si>
    <t>Better Candidate Selected</t>
  </si>
  <si>
    <t>APP-1008</t>
  </si>
  <si>
    <t>2025-04-21</t>
  </si>
  <si>
    <t>APP-1009</t>
  </si>
  <si>
    <t>2025-05-29</t>
  </si>
  <si>
    <t>APP-1010</t>
  </si>
  <si>
    <t>APP-1011</t>
  </si>
  <si>
    <t>APP-1012</t>
  </si>
  <si>
    <t>2025-06-03</t>
  </si>
  <si>
    <t>APP-1013</t>
  </si>
  <si>
    <t>2025-05-26</t>
  </si>
  <si>
    <t>APP-1014</t>
  </si>
  <si>
    <t>2025-01-27</t>
  </si>
  <si>
    <t>APP-1015</t>
  </si>
  <si>
    <t>2025-02-24</t>
  </si>
  <si>
    <t>APP-1016</t>
  </si>
  <si>
    <t>2025-03-15</t>
  </si>
  <si>
    <t>APP-1017</t>
  </si>
  <si>
    <t>2025-05-05</t>
  </si>
  <si>
    <t>APP-1018</t>
  </si>
  <si>
    <t>2025-04-27</t>
  </si>
  <si>
    <t>APP-1019</t>
  </si>
  <si>
    <t>2025-05-20</t>
  </si>
  <si>
    <t>APP-1020</t>
  </si>
  <si>
    <t>Culture Fit / Soft Skills</t>
  </si>
  <si>
    <t>APP-1021</t>
  </si>
  <si>
    <t>2025-03-30</t>
  </si>
  <si>
    <t>APP-1022</t>
  </si>
  <si>
    <t>2025-02-12</t>
  </si>
  <si>
    <t>APP-1023</t>
  </si>
  <si>
    <t>APP-1024</t>
  </si>
  <si>
    <t>APP-1025</t>
  </si>
  <si>
    <t>2025-05-11</t>
  </si>
  <si>
    <t>APP-1026</t>
  </si>
  <si>
    <t>APP-1027</t>
  </si>
  <si>
    <t>2025-01-16</t>
  </si>
  <si>
    <t>APP-1028</t>
  </si>
  <si>
    <t>APP-1029</t>
  </si>
  <si>
    <t>2025-03-17</t>
  </si>
  <si>
    <t>APP-1030</t>
  </si>
  <si>
    <t>APP-1031</t>
  </si>
  <si>
    <t>2025-05-02</t>
  </si>
  <si>
    <t>APP-1032</t>
  </si>
  <si>
    <t>2025-06-15</t>
  </si>
  <si>
    <t>APP-1033</t>
  </si>
  <si>
    <t>2025-03-08</t>
  </si>
  <si>
    <t>APP-1034</t>
  </si>
  <si>
    <t>APP-1035</t>
  </si>
  <si>
    <t>2025-06-23</t>
  </si>
  <si>
    <t>APP-1036</t>
  </si>
  <si>
    <t>2025-03-31</t>
  </si>
  <si>
    <t>APP-1037</t>
  </si>
  <si>
    <t>2025-03-22</t>
  </si>
  <si>
    <t>APP-1038</t>
  </si>
  <si>
    <t>2025-02-23</t>
  </si>
  <si>
    <t>APP-1039</t>
  </si>
  <si>
    <t>2025-04-04</t>
  </si>
  <si>
    <t>Hired</t>
  </si>
  <si>
    <t>None - Hired</t>
  </si>
  <si>
    <t>APP-1040</t>
  </si>
  <si>
    <t>2025-03-26</t>
  </si>
  <si>
    <t>APP-1041</t>
  </si>
  <si>
    <t>2025-02-28</t>
  </si>
  <si>
    <t>APP-1042</t>
  </si>
  <si>
    <t>2025-01-26</t>
  </si>
  <si>
    <t>APP-1043</t>
  </si>
  <si>
    <t>2025-03-02</t>
  </si>
  <si>
    <t>APP-1044</t>
  </si>
  <si>
    <t>APP-1045</t>
  </si>
  <si>
    <t>2025-03-12</t>
  </si>
  <si>
    <t>APP-1046</t>
  </si>
  <si>
    <t>APP-1047</t>
  </si>
  <si>
    <t>2025-03-03</t>
  </si>
  <si>
    <t>APP-1048</t>
  </si>
  <si>
    <t>2025-04-30</t>
  </si>
  <si>
    <t>APP-1049</t>
  </si>
  <si>
    <t>2025-05-01</t>
  </si>
  <si>
    <t>APP-1050</t>
  </si>
  <si>
    <t>2025-02-27</t>
  </si>
  <si>
    <t>APP-1051</t>
  </si>
  <si>
    <t>APP-1052</t>
  </si>
  <si>
    <t>APP-1053</t>
  </si>
  <si>
    <t>APP-1054</t>
  </si>
  <si>
    <t>APP-1055</t>
  </si>
  <si>
    <t>2025-05-30</t>
  </si>
  <si>
    <t>APP-1056</t>
  </si>
  <si>
    <t>2025-04-25</t>
  </si>
  <si>
    <t>APP-1057</t>
  </si>
  <si>
    <t>APP-1058</t>
  </si>
  <si>
    <t>2025-03-16</t>
  </si>
  <si>
    <t>APP-1059</t>
  </si>
  <si>
    <t>2025-05-18</t>
  </si>
  <si>
    <t>APP-1060</t>
  </si>
  <si>
    <t>2025-05-12</t>
  </si>
  <si>
    <t>APP-1061</t>
  </si>
  <si>
    <t>APP-1062</t>
  </si>
  <si>
    <t>2025-02-10</t>
  </si>
  <si>
    <t>APP-1063</t>
  </si>
  <si>
    <t>APP-1064</t>
  </si>
  <si>
    <t>APP-1065</t>
  </si>
  <si>
    <t>APP-1066</t>
  </si>
  <si>
    <t>APP-1067</t>
  </si>
  <si>
    <t>APP-1068</t>
  </si>
  <si>
    <t>APP-1069</t>
  </si>
  <si>
    <t>2025-03-18</t>
  </si>
  <si>
    <t>APP-1070</t>
  </si>
  <si>
    <t>2025-05-06</t>
  </si>
  <si>
    <t>APP-1071</t>
  </si>
  <si>
    <t>APP-1072</t>
  </si>
  <si>
    <t>APP-1073</t>
  </si>
  <si>
    <t>APP-1074</t>
  </si>
  <si>
    <t>Offer Declined</t>
  </si>
  <si>
    <t>Salary Expectation Mismatch</t>
  </si>
  <si>
    <t>APP-1075</t>
  </si>
  <si>
    <t>APP-1076</t>
  </si>
  <si>
    <t>APP-1077</t>
  </si>
  <si>
    <t>2025-06-09</t>
  </si>
  <si>
    <t>APP-1078</t>
  </si>
  <si>
    <t>APP-1079</t>
  </si>
  <si>
    <t>2025-04-03</t>
  </si>
  <si>
    <t>APP-1080</t>
  </si>
  <si>
    <t>APP-1081</t>
  </si>
  <si>
    <t>APP-1082</t>
  </si>
  <si>
    <t>2025-05-07</t>
  </si>
  <si>
    <t>APP-1083</t>
  </si>
  <si>
    <t>2025-04-08</t>
  </si>
  <si>
    <t>APP-1084</t>
  </si>
  <si>
    <t>APP-1085</t>
  </si>
  <si>
    <t>APP-1086</t>
  </si>
  <si>
    <t>2025-04-06</t>
  </si>
  <si>
    <t>APP-1087</t>
  </si>
  <si>
    <t>APP-1088</t>
  </si>
  <si>
    <t>APP-1089</t>
  </si>
  <si>
    <t>APP-1090</t>
  </si>
  <si>
    <t>2025-03-21</t>
  </si>
  <si>
    <t>APP-1091</t>
  </si>
  <si>
    <t>APP-1092</t>
  </si>
  <si>
    <t>2025-05-14</t>
  </si>
  <si>
    <t>APP-1093</t>
  </si>
  <si>
    <t>APP-1094</t>
  </si>
  <si>
    <t>2025-06-29</t>
  </si>
  <si>
    <t>APP-1095</t>
  </si>
  <si>
    <t>APP-1096</t>
  </si>
  <si>
    <t>APP-1097</t>
  </si>
  <si>
    <t>2025-04-10</t>
  </si>
  <si>
    <t>APP-1098</t>
  </si>
  <si>
    <t>2025-06-10</t>
  </si>
  <si>
    <t>APP-1099</t>
  </si>
  <si>
    <t>APP-1100</t>
  </si>
  <si>
    <t>APP-1101</t>
  </si>
  <si>
    <t>2025-03-11</t>
  </si>
  <si>
    <t>APP-1102</t>
  </si>
  <si>
    <t>2025-02-25</t>
  </si>
  <si>
    <t>APP-1103</t>
  </si>
  <si>
    <t>2025-04-15</t>
  </si>
  <si>
    <t>APP-1104</t>
  </si>
  <si>
    <t>APP-1105</t>
  </si>
  <si>
    <t>APP-1106</t>
  </si>
  <si>
    <t>APP-1107</t>
  </si>
  <si>
    <t>APP-1108</t>
  </si>
  <si>
    <t>2025-01-30</t>
  </si>
  <si>
    <t>APP-1109</t>
  </si>
  <si>
    <t>2025-01-25</t>
  </si>
  <si>
    <t>APP-1110</t>
  </si>
  <si>
    <t>APP-1111</t>
  </si>
  <si>
    <t>APP-1112</t>
  </si>
  <si>
    <t>2025-05-19</t>
  </si>
  <si>
    <t>APP-1113</t>
  </si>
  <si>
    <t>2025-01-19</t>
  </si>
  <si>
    <t>APP-1114</t>
  </si>
  <si>
    <t>APP-1115</t>
  </si>
  <si>
    <t>APP-1116</t>
  </si>
  <si>
    <t>2025-04-07</t>
  </si>
  <si>
    <t>APP-1117</t>
  </si>
  <si>
    <t>2025-03-10</t>
  </si>
  <si>
    <t>APP-1118</t>
  </si>
  <si>
    <t>APP-1119</t>
  </si>
  <si>
    <t>2025-05-13</t>
  </si>
  <si>
    <t>APP-1120</t>
  </si>
  <si>
    <t>APP-1121</t>
  </si>
  <si>
    <t>2025-06-11</t>
  </si>
  <si>
    <t>APP-1122</t>
  </si>
  <si>
    <t>APP-1123</t>
  </si>
  <si>
    <t>APP-1124</t>
  </si>
  <si>
    <t>APP-1125</t>
  </si>
  <si>
    <t>2025-06-18</t>
  </si>
  <si>
    <t>APP-1126</t>
  </si>
  <si>
    <t>2025-04-19</t>
  </si>
  <si>
    <t>APP-1127</t>
  </si>
  <si>
    <t>2025-02-20</t>
  </si>
  <si>
    <t>APP-1128</t>
  </si>
  <si>
    <t>2025-01-20</t>
  </si>
  <si>
    <t>APP-1129</t>
  </si>
  <si>
    <t>2025-06-16</t>
  </si>
  <si>
    <t>APP-1130</t>
  </si>
  <si>
    <t>APP-1131</t>
  </si>
  <si>
    <t>APP-1132</t>
  </si>
  <si>
    <t>APP-1133</t>
  </si>
  <si>
    <t>2025-02-18</t>
  </si>
  <si>
    <t>APP-1134</t>
  </si>
  <si>
    <t>2025-01-18</t>
  </si>
  <si>
    <t>APP-1135</t>
  </si>
  <si>
    <t>APP-1136</t>
  </si>
  <si>
    <t>APP-1137</t>
  </si>
  <si>
    <t>APP-1138</t>
  </si>
  <si>
    <t>APP-1139</t>
  </si>
  <si>
    <t>APP-1140</t>
  </si>
  <si>
    <t>2025-01-12</t>
  </si>
  <si>
    <t>APP-1141</t>
  </si>
  <si>
    <t>2025-06-19</t>
  </si>
  <si>
    <t>APP-1142</t>
  </si>
  <si>
    <t>APP-1143</t>
  </si>
  <si>
    <t>APP-1144</t>
  </si>
  <si>
    <t>APP-1145</t>
  </si>
  <si>
    <t>APP-1146</t>
  </si>
  <si>
    <t>2025-03-23</t>
  </si>
  <si>
    <t>APP-1147</t>
  </si>
  <si>
    <t>APP-1148</t>
  </si>
  <si>
    <t>APP-1149</t>
  </si>
  <si>
    <t>APP-1150</t>
  </si>
  <si>
    <t>APP-1151</t>
  </si>
  <si>
    <t>APP-1152</t>
  </si>
  <si>
    <t>2025-05-15</t>
  </si>
  <si>
    <t>APP-1153</t>
  </si>
  <si>
    <t>2025-03-20</t>
  </si>
  <si>
    <t>APP-1154</t>
  </si>
  <si>
    <t>APP-1155</t>
  </si>
  <si>
    <t>2025-05-21</t>
  </si>
  <si>
    <t>APP-1156</t>
  </si>
  <si>
    <t>APP-1157</t>
  </si>
  <si>
    <t>APP-1158</t>
  </si>
  <si>
    <t>APP-1159</t>
  </si>
  <si>
    <t>APP-1160</t>
  </si>
  <si>
    <t>APP-1161</t>
  </si>
  <si>
    <t>2025-02-05</t>
  </si>
  <si>
    <t>APP-1162</t>
  </si>
  <si>
    <t>APP-1163</t>
  </si>
  <si>
    <t>APP-1164</t>
  </si>
  <si>
    <t>APP-1165</t>
  </si>
  <si>
    <t>APP-1166</t>
  </si>
  <si>
    <t>APP-1167</t>
  </si>
  <si>
    <t>APP-1168</t>
  </si>
  <si>
    <t>APP-1169</t>
  </si>
  <si>
    <t>APP-1170</t>
  </si>
  <si>
    <t>2025-04-29</t>
  </si>
  <si>
    <t>APP-1171</t>
  </si>
  <si>
    <t>APP-1172</t>
  </si>
  <si>
    <t>APP-1173</t>
  </si>
  <si>
    <t>APP-1174</t>
  </si>
  <si>
    <t>APP-1175</t>
  </si>
  <si>
    <t>APP-1176</t>
  </si>
  <si>
    <t>2025-02-16</t>
  </si>
  <si>
    <t>APP-1177</t>
  </si>
  <si>
    <t>APP-1178</t>
  </si>
  <si>
    <t>APP-1179</t>
  </si>
  <si>
    <t>APP-1180</t>
  </si>
  <si>
    <t>2025-03-29</t>
  </si>
  <si>
    <t>APP-1181</t>
  </si>
  <si>
    <t>APP-1182</t>
  </si>
  <si>
    <t>APP-1183</t>
  </si>
  <si>
    <t>APP-1184</t>
  </si>
  <si>
    <t>2025-01-23</t>
  </si>
  <si>
    <t>APP-1185</t>
  </si>
  <si>
    <t>APP-1186</t>
  </si>
  <si>
    <t>APP-1187</t>
  </si>
  <si>
    <t>APP-1188</t>
  </si>
  <si>
    <t>APP-1189</t>
  </si>
  <si>
    <t>APP-1190</t>
  </si>
  <si>
    <t>APP-1191</t>
  </si>
  <si>
    <t>2025-04-24</t>
  </si>
  <si>
    <t>APP-1192</t>
  </si>
  <si>
    <t>APP-1193</t>
  </si>
  <si>
    <t>APP-1194</t>
  </si>
  <si>
    <t>2025-02-03</t>
  </si>
  <si>
    <t>APP-1195</t>
  </si>
  <si>
    <t>APP-1196</t>
  </si>
  <si>
    <t>APP-1197</t>
  </si>
  <si>
    <t>APP-1198</t>
  </si>
  <si>
    <t>APP-1199</t>
  </si>
  <si>
    <t>APP-1200</t>
  </si>
  <si>
    <t>2025-03-24</t>
  </si>
  <si>
    <t>APP-1201</t>
  </si>
  <si>
    <t>2025-06-04</t>
  </si>
  <si>
    <t>APP-1202</t>
  </si>
  <si>
    <t>APP-1203</t>
  </si>
  <si>
    <t>APP-1204</t>
  </si>
  <si>
    <t>APP-1205</t>
  </si>
  <si>
    <t>APP-1206</t>
  </si>
  <si>
    <t>2025-06-14</t>
  </si>
  <si>
    <t>APP-1207</t>
  </si>
  <si>
    <t>APP-1208</t>
  </si>
  <si>
    <t>APP-1209</t>
  </si>
  <si>
    <t>APP-1210</t>
  </si>
  <si>
    <t>APP-1211</t>
  </si>
  <si>
    <t>APP-1212</t>
  </si>
  <si>
    <t>APP-1213</t>
  </si>
  <si>
    <t>2025-01-28</t>
  </si>
  <si>
    <t>APP-1214</t>
  </si>
  <si>
    <t>APP-1215</t>
  </si>
  <si>
    <t>2025-06-12</t>
  </si>
  <si>
    <t>APP-1216</t>
  </si>
  <si>
    <t>APP-1217</t>
  </si>
  <si>
    <t>APP-1218</t>
  </si>
  <si>
    <t>APP-1219</t>
  </si>
  <si>
    <t>APP-1220</t>
  </si>
  <si>
    <t>APP-1221</t>
  </si>
  <si>
    <t>APP-1222</t>
  </si>
  <si>
    <t>APP-1223</t>
  </si>
  <si>
    <t>APP-1224</t>
  </si>
  <si>
    <t>APP-1225</t>
  </si>
  <si>
    <t>APP-1226</t>
  </si>
  <si>
    <t>2025-01-17</t>
  </si>
  <si>
    <t>APP-1227</t>
  </si>
  <si>
    <t>2025-02-22</t>
  </si>
  <si>
    <t>APP-1228</t>
  </si>
  <si>
    <t>APP-1229</t>
  </si>
  <si>
    <t>2025-02-26</t>
  </si>
  <si>
    <t>APP-1230</t>
  </si>
  <si>
    <t>2025-05-31</t>
  </si>
  <si>
    <t>APP-1231</t>
  </si>
  <si>
    <t>APP-1232</t>
  </si>
  <si>
    <t>2025-07-04</t>
  </si>
  <si>
    <t>APP-1233</t>
  </si>
  <si>
    <t>APP-1234</t>
  </si>
  <si>
    <t>APP-1235</t>
  </si>
  <si>
    <t>2025-06-05</t>
  </si>
  <si>
    <t>APP-1236</t>
  </si>
  <si>
    <t>APP-1237</t>
  </si>
  <si>
    <t>APP-1238</t>
  </si>
  <si>
    <t>APP-1239</t>
  </si>
  <si>
    <t>APP-1240</t>
  </si>
  <si>
    <t>APP-1241</t>
  </si>
  <si>
    <t>APP-1242</t>
  </si>
  <si>
    <t>APP-1243</t>
  </si>
  <si>
    <t>APP-1244</t>
  </si>
  <si>
    <t>APP-1245</t>
  </si>
  <si>
    <t>APP-1246</t>
  </si>
  <si>
    <t>APP-1247</t>
  </si>
  <si>
    <t>APP-1248</t>
  </si>
  <si>
    <t>APP-1249</t>
  </si>
  <si>
    <t>APP-1250</t>
  </si>
  <si>
    <t>APP-1251</t>
  </si>
  <si>
    <t>APP-1252</t>
  </si>
  <si>
    <t>APP-1253</t>
  </si>
  <si>
    <t>APP-1254</t>
  </si>
  <si>
    <t>APP-1255</t>
  </si>
  <si>
    <t>APP-1256</t>
  </si>
  <si>
    <t>APP-1257</t>
  </si>
  <si>
    <t>2025-07-03</t>
  </si>
  <si>
    <t>APP-1258</t>
  </si>
  <si>
    <t>APP-1259</t>
  </si>
  <si>
    <t>APP-1260</t>
  </si>
  <si>
    <t>APP-1261</t>
  </si>
  <si>
    <t>APP-1262</t>
  </si>
  <si>
    <t>APP-1263</t>
  </si>
  <si>
    <t>APP-1264</t>
  </si>
  <si>
    <t>APP-1265</t>
  </si>
  <si>
    <t>APP-1266</t>
  </si>
  <si>
    <t>APP-1267</t>
  </si>
  <si>
    <t>APP-1268</t>
  </si>
  <si>
    <t>2025-02-04</t>
  </si>
  <si>
    <t>APP-1269</t>
  </si>
  <si>
    <t>APP-1270</t>
  </si>
  <si>
    <t>APP-1271</t>
  </si>
  <si>
    <t>APP-1272</t>
  </si>
  <si>
    <t>APP-1273</t>
  </si>
  <si>
    <t>APP-1274</t>
  </si>
  <si>
    <t>APP-1275</t>
  </si>
  <si>
    <t>2025-06-08</t>
  </si>
  <si>
    <t>APP-1276</t>
  </si>
  <si>
    <t>APP-1277</t>
  </si>
  <si>
    <t>APP-1278</t>
  </si>
  <si>
    <t>APP-1279</t>
  </si>
  <si>
    <t>APP-1280</t>
  </si>
  <si>
    <t>APP-1281</t>
  </si>
  <si>
    <t>APP-1282</t>
  </si>
  <si>
    <t>APP-1283</t>
  </si>
  <si>
    <t>APP-1284</t>
  </si>
  <si>
    <t>APP-1285</t>
  </si>
  <si>
    <t>APP-1286</t>
  </si>
  <si>
    <t>APP-1287</t>
  </si>
  <si>
    <t>APP-1288</t>
  </si>
  <si>
    <t>2025-04-09</t>
  </si>
  <si>
    <t>APP-1289</t>
  </si>
  <si>
    <t>APP-1290</t>
  </si>
  <si>
    <t>APP-1291</t>
  </si>
  <si>
    <t>2025-04-17</t>
  </si>
  <si>
    <t>APP-1292</t>
  </si>
  <si>
    <t>APP-1293</t>
  </si>
  <si>
    <t>APP-1294</t>
  </si>
  <si>
    <t>APP-1295</t>
  </si>
  <si>
    <t>APP-1296</t>
  </si>
  <si>
    <t>APP-1297</t>
  </si>
  <si>
    <t>APP-1298</t>
  </si>
  <si>
    <t>2025-06-30</t>
  </si>
  <si>
    <t>APP-1299</t>
  </si>
  <si>
    <t>APP-1300</t>
  </si>
  <si>
    <t>2025-06-13</t>
  </si>
  <si>
    <t>APP-1301</t>
  </si>
  <si>
    <t>APP-1302</t>
  </si>
  <si>
    <t>APP-1303</t>
  </si>
  <si>
    <t>APP-1304</t>
  </si>
  <si>
    <t>APP-1305</t>
  </si>
  <si>
    <t>2025-04-12</t>
  </si>
  <si>
    <t>APP-1306</t>
  </si>
  <si>
    <t>APP-1307</t>
  </si>
  <si>
    <t>APP-1308</t>
  </si>
  <si>
    <t>2025-01-24</t>
  </si>
  <si>
    <t>APP-1309</t>
  </si>
  <si>
    <t>APP-1310</t>
  </si>
  <si>
    <t>APP-1311</t>
  </si>
  <si>
    <t>2025-04-01</t>
  </si>
  <si>
    <t>APP-1312</t>
  </si>
  <si>
    <t>APP-1313</t>
  </si>
  <si>
    <t>APP-1314</t>
  </si>
  <si>
    <t>APP-1315</t>
  </si>
  <si>
    <t>APP-1316</t>
  </si>
  <si>
    <t>APP-1317</t>
  </si>
  <si>
    <t>APP-1318</t>
  </si>
  <si>
    <t>APP-1319</t>
  </si>
  <si>
    <t>APP-1320</t>
  </si>
  <si>
    <t>APP-1321</t>
  </si>
  <si>
    <t>APP-1322</t>
  </si>
  <si>
    <t>APP-1323</t>
  </si>
  <si>
    <t>APP-1324</t>
  </si>
  <si>
    <t>APP-1325</t>
  </si>
  <si>
    <t>APP-1326</t>
  </si>
  <si>
    <t>APP-1327</t>
  </si>
  <si>
    <t>APP-1328</t>
  </si>
  <si>
    <t>2025-06-27</t>
  </si>
  <si>
    <t>APP-1329</t>
  </si>
  <si>
    <t>APP-1330</t>
  </si>
  <si>
    <t>APP-1331</t>
  </si>
  <si>
    <t>APP-1332</t>
  </si>
  <si>
    <t>APP-1333</t>
  </si>
  <si>
    <t>APP-1334</t>
  </si>
  <si>
    <t>2025-02-14</t>
  </si>
  <si>
    <t>APP-1335</t>
  </si>
  <si>
    <t>APP-1336</t>
  </si>
  <si>
    <t>APP-1337</t>
  </si>
  <si>
    <t>APP-1338</t>
  </si>
  <si>
    <t>APP-1339</t>
  </si>
  <si>
    <t>APP-1340</t>
  </si>
  <si>
    <t>2025-04-20</t>
  </si>
  <si>
    <t>APP-1341</t>
  </si>
  <si>
    <t>APP-1342</t>
  </si>
  <si>
    <t>2025-03-14</t>
  </si>
  <si>
    <t>APP-1343</t>
  </si>
  <si>
    <t>APP-1344</t>
  </si>
  <si>
    <t>APP-1345</t>
  </si>
  <si>
    <t>APP-1346</t>
  </si>
  <si>
    <t>APP-1347</t>
  </si>
  <si>
    <t>APP-1348</t>
  </si>
  <si>
    <t>2025-06-17</t>
  </si>
  <si>
    <t>APP-1349</t>
  </si>
  <si>
    <t>APP-1350</t>
  </si>
  <si>
    <t>APP-1351</t>
  </si>
  <si>
    <t>APP-1352</t>
  </si>
  <si>
    <t>APP-1353</t>
  </si>
  <si>
    <t>2025-04-18</t>
  </si>
  <si>
    <t>APP-1354</t>
  </si>
  <si>
    <t>APP-1355</t>
  </si>
  <si>
    <t>APP-1356</t>
  </si>
  <si>
    <t>APP-1357</t>
  </si>
  <si>
    <t>APP-1358</t>
  </si>
  <si>
    <t>2025-01-05</t>
  </si>
  <si>
    <t>APP-1359</t>
  </si>
  <si>
    <t>APP-1360</t>
  </si>
  <si>
    <t>APP-1361</t>
  </si>
  <si>
    <t>APP-1362</t>
  </si>
  <si>
    <t>APP-1363</t>
  </si>
  <si>
    <t>2025-01-11</t>
  </si>
  <si>
    <t>APP-1364</t>
  </si>
  <si>
    <t>APP-1365</t>
  </si>
  <si>
    <t>APP-1366</t>
  </si>
  <si>
    <t>APP-1367</t>
  </si>
  <si>
    <t>2025-01-31</t>
  </si>
  <si>
    <t>APP-1368</t>
  </si>
  <si>
    <t>APP-1369</t>
  </si>
  <si>
    <t>APP-1370</t>
  </si>
  <si>
    <t>2025-06-20</t>
  </si>
  <si>
    <t>APP-1371</t>
  </si>
  <si>
    <t>APP-1372</t>
  </si>
  <si>
    <t>APP-1373</t>
  </si>
  <si>
    <t>APP-1374</t>
  </si>
  <si>
    <t>APP-1375</t>
  </si>
  <si>
    <t>APP-1376</t>
  </si>
  <si>
    <t>2025-04-05</t>
  </si>
  <si>
    <t>APP-1377</t>
  </si>
  <si>
    <t>APP-1378</t>
  </si>
  <si>
    <t>APP-1379</t>
  </si>
  <si>
    <t>APP-1380</t>
  </si>
  <si>
    <t>APP-1381</t>
  </si>
  <si>
    <t>2025-06-25</t>
  </si>
  <si>
    <t>APP-1382</t>
  </si>
  <si>
    <t>2025-04-16</t>
  </si>
  <si>
    <t>APP-1383</t>
  </si>
  <si>
    <t>APP-1384</t>
  </si>
  <si>
    <t>APP-1385</t>
  </si>
  <si>
    <t>APP-1386</t>
  </si>
  <si>
    <t>APP-1387</t>
  </si>
  <si>
    <t>APP-1388</t>
  </si>
  <si>
    <t>APP-1389</t>
  </si>
  <si>
    <t>APP-1390</t>
  </si>
  <si>
    <t>APP-1391</t>
  </si>
  <si>
    <t>APP-1392</t>
  </si>
  <si>
    <t>APP-1393</t>
  </si>
  <si>
    <t>APP-1394</t>
  </si>
  <si>
    <t>APP-1395</t>
  </si>
  <si>
    <t>APP-1396</t>
  </si>
  <si>
    <t>APP-1397</t>
  </si>
  <si>
    <t>APP-1398</t>
  </si>
  <si>
    <t>APP-1399</t>
  </si>
  <si>
    <t>APP-1400</t>
  </si>
  <si>
    <t>APP-1401</t>
  </si>
  <si>
    <t>APP-1402</t>
  </si>
  <si>
    <t>APP-1403</t>
  </si>
  <si>
    <t>APP-1404</t>
  </si>
  <si>
    <t>APP-1405</t>
  </si>
  <si>
    <t>APP-1406</t>
  </si>
  <si>
    <t>APP-1407</t>
  </si>
  <si>
    <t>APP-1408</t>
  </si>
  <si>
    <t>APP-1409</t>
  </si>
  <si>
    <t>APP-1410</t>
  </si>
  <si>
    <t>APP-1411</t>
  </si>
  <si>
    <t>APP-1412</t>
  </si>
  <si>
    <t>APP-1413</t>
  </si>
  <si>
    <t>APP-1414</t>
  </si>
  <si>
    <t>APP-1415</t>
  </si>
  <si>
    <t>APP-1416</t>
  </si>
  <si>
    <t>APP-1417</t>
  </si>
  <si>
    <t>APP-1418</t>
  </si>
  <si>
    <t>APP-1419</t>
  </si>
  <si>
    <t>APP-1420</t>
  </si>
  <si>
    <t>2025-06-07</t>
  </si>
  <si>
    <t>APP-1421</t>
  </si>
  <si>
    <t>APP-1422</t>
  </si>
  <si>
    <t>APP-1423</t>
  </si>
  <si>
    <t>APP-1424</t>
  </si>
  <si>
    <t>APP-1425</t>
  </si>
  <si>
    <t>APP-1426</t>
  </si>
  <si>
    <t>APP-1427</t>
  </si>
  <si>
    <t>APP-1428</t>
  </si>
  <si>
    <t>APP-1429</t>
  </si>
  <si>
    <t>APP-1430</t>
  </si>
  <si>
    <t>APP-1431</t>
  </si>
  <si>
    <t>APP-1432</t>
  </si>
  <si>
    <t>APP-1433</t>
  </si>
  <si>
    <t>APP-1434</t>
  </si>
  <si>
    <t>APP-1435</t>
  </si>
  <si>
    <t>APP-1436</t>
  </si>
  <si>
    <t>APP-1437</t>
  </si>
  <si>
    <t>APP-1438</t>
  </si>
  <si>
    <t>APP-1439</t>
  </si>
  <si>
    <t>APP-1440</t>
  </si>
  <si>
    <t>APP-1441</t>
  </si>
  <si>
    <t>APP-1442</t>
  </si>
  <si>
    <t>APP-1443</t>
  </si>
  <si>
    <t>APP-1444</t>
  </si>
  <si>
    <t>APP-1445</t>
  </si>
  <si>
    <t>2025-01-06</t>
  </si>
  <si>
    <t>APP-1446</t>
  </si>
  <si>
    <t>APP-1447</t>
  </si>
  <si>
    <t>APP-1448</t>
  </si>
  <si>
    <t>APP-1449</t>
  </si>
  <si>
    <t>APP-1450</t>
  </si>
  <si>
    <t>APP-1451</t>
  </si>
  <si>
    <t>APP-1452</t>
  </si>
  <si>
    <t>APP-1453</t>
  </si>
  <si>
    <t>APP-1454</t>
  </si>
  <si>
    <t>APP-1455</t>
  </si>
  <si>
    <t>APP-1456</t>
  </si>
  <si>
    <t>APP-1457</t>
  </si>
  <si>
    <t>APP-1458</t>
  </si>
  <si>
    <t>APP-1459</t>
  </si>
  <si>
    <t>APP-1460</t>
  </si>
  <si>
    <t>APP-1461</t>
  </si>
  <si>
    <t>APP-1462</t>
  </si>
  <si>
    <t>APP-1463</t>
  </si>
  <si>
    <t>APP-1464</t>
  </si>
  <si>
    <t>APP-1465</t>
  </si>
  <si>
    <t>APP-1466</t>
  </si>
  <si>
    <t>2025-03-28</t>
  </si>
  <si>
    <t>APP-1467</t>
  </si>
  <si>
    <t>APP-1468</t>
  </si>
  <si>
    <t>APP-1469</t>
  </si>
  <si>
    <t>APP-1470</t>
  </si>
  <si>
    <t>APP-1471</t>
  </si>
  <si>
    <t>APP-1472</t>
  </si>
  <si>
    <t>APP-1473</t>
  </si>
  <si>
    <t>APP-1474</t>
  </si>
  <si>
    <t>APP-1475</t>
  </si>
  <si>
    <t>APP-1476</t>
  </si>
  <si>
    <t>APP-1477</t>
  </si>
  <si>
    <t>APP-1478</t>
  </si>
  <si>
    <t>2025-04-13</t>
  </si>
  <si>
    <t>APP-1479</t>
  </si>
  <si>
    <t>APP-1480</t>
  </si>
  <si>
    <t>APP-1481</t>
  </si>
  <si>
    <t>APP-1482</t>
  </si>
  <si>
    <t>APP-1483</t>
  </si>
  <si>
    <t>APP-1484</t>
  </si>
  <si>
    <t>APP-1485</t>
  </si>
  <si>
    <t>APP-1486</t>
  </si>
  <si>
    <t>APP-1487</t>
  </si>
  <si>
    <t>APP-1488</t>
  </si>
  <si>
    <t>APP-1489</t>
  </si>
  <si>
    <t>APP-1490</t>
  </si>
  <si>
    <t>APP-1491</t>
  </si>
  <si>
    <t>APP-1492</t>
  </si>
  <si>
    <t>APP-1493</t>
  </si>
  <si>
    <t>APP-1494</t>
  </si>
  <si>
    <t>APP-1495</t>
  </si>
  <si>
    <t>APP-1496</t>
  </si>
  <si>
    <t>APP-1497</t>
  </si>
  <si>
    <t>APP-1498</t>
  </si>
  <si>
    <t>APP-1499</t>
  </si>
  <si>
    <t>APP-1500</t>
  </si>
  <si>
    <t>APP-1501</t>
  </si>
  <si>
    <t>APP-1502</t>
  </si>
  <si>
    <t>APP-1503</t>
  </si>
  <si>
    <t>APP-1504</t>
  </si>
  <si>
    <t>APP-1505</t>
  </si>
  <si>
    <t>APP-1506</t>
  </si>
  <si>
    <t>APP-1507</t>
  </si>
  <si>
    <t>APP-1508</t>
  </si>
  <si>
    <t>APP-1509</t>
  </si>
  <si>
    <t>APP-1510</t>
  </si>
  <si>
    <t>APP-1511</t>
  </si>
  <si>
    <t>APP-1512</t>
  </si>
  <si>
    <t>APP-1513</t>
  </si>
  <si>
    <t>APP-1514</t>
  </si>
  <si>
    <t>APP-1515</t>
  </si>
  <si>
    <t>APP-1516</t>
  </si>
  <si>
    <t>APP-1517</t>
  </si>
  <si>
    <t>APP-1518</t>
  </si>
  <si>
    <t>APP-1519</t>
  </si>
  <si>
    <t>APP-1520</t>
  </si>
  <si>
    <t>2025-06-26</t>
  </si>
  <si>
    <t>APP-1521</t>
  </si>
  <si>
    <t>APP-1522</t>
  </si>
  <si>
    <t>APP-1523</t>
  </si>
  <si>
    <t>APP-1524</t>
  </si>
  <si>
    <t>APP-1525</t>
  </si>
  <si>
    <t>APP-1526</t>
  </si>
  <si>
    <t>APP-1527</t>
  </si>
  <si>
    <t>APP-1528</t>
  </si>
  <si>
    <t>APP-1529</t>
  </si>
  <si>
    <t>APP-1530</t>
  </si>
  <si>
    <t>APP-1531</t>
  </si>
  <si>
    <t>APP-1532</t>
  </si>
  <si>
    <t>APP-1533</t>
  </si>
  <si>
    <t>APP-1534</t>
  </si>
  <si>
    <t>APP-1535</t>
  </si>
  <si>
    <t>APP-1536</t>
  </si>
  <si>
    <t>APP-1537</t>
  </si>
  <si>
    <t>APP-1538</t>
  </si>
  <si>
    <t>APP-1539</t>
  </si>
  <si>
    <t>APP-1540</t>
  </si>
  <si>
    <t>APP-1541</t>
  </si>
  <si>
    <t>APP-1542</t>
  </si>
  <si>
    <t>APP-1543</t>
  </si>
  <si>
    <t>APP-1544</t>
  </si>
  <si>
    <t>APP-1545</t>
  </si>
  <si>
    <t>APP-1546</t>
  </si>
  <si>
    <t>APP-1547</t>
  </si>
  <si>
    <t>APP-1548</t>
  </si>
  <si>
    <t>APP-1549</t>
  </si>
  <si>
    <t>APP-1550</t>
  </si>
  <si>
    <t>APP-1551</t>
  </si>
  <si>
    <t>APP-1552</t>
  </si>
  <si>
    <t>APP-1553</t>
  </si>
  <si>
    <t>APP-1554</t>
  </si>
  <si>
    <t>APP-1555</t>
  </si>
  <si>
    <t>APP-1556</t>
  </si>
  <si>
    <t>APP-1557</t>
  </si>
  <si>
    <t>APP-1558</t>
  </si>
  <si>
    <t>APP-1559</t>
  </si>
  <si>
    <t>APP-1560</t>
  </si>
  <si>
    <t>APP-1561</t>
  </si>
  <si>
    <t>APP-1562</t>
  </si>
  <si>
    <t>APP-1563</t>
  </si>
  <si>
    <t>APP-1564</t>
  </si>
  <si>
    <t>APP-1565</t>
  </si>
  <si>
    <t>APP-1566</t>
  </si>
  <si>
    <t>APP-1567</t>
  </si>
  <si>
    <t>APP-1568</t>
  </si>
  <si>
    <t>APP-1569</t>
  </si>
  <si>
    <t>APP-1570</t>
  </si>
  <si>
    <t>APP-1571</t>
  </si>
  <si>
    <t>APP-1572</t>
  </si>
  <si>
    <t>APP-1573</t>
  </si>
  <si>
    <t>APP-1574</t>
  </si>
  <si>
    <t>APP-1575</t>
  </si>
  <si>
    <t>APP-1576</t>
  </si>
  <si>
    <t>APP-1577</t>
  </si>
  <si>
    <t>APP-1578</t>
  </si>
  <si>
    <t>APP-1579</t>
  </si>
  <si>
    <t>APP-1580</t>
  </si>
  <si>
    <t>APP-1581</t>
  </si>
  <si>
    <t>APP-1582</t>
  </si>
  <si>
    <t>2025-02-17</t>
  </si>
  <si>
    <t>APP-1583</t>
  </si>
  <si>
    <t>APP-1584</t>
  </si>
  <si>
    <t>APP-1585</t>
  </si>
  <si>
    <t>APP-1586</t>
  </si>
  <si>
    <t>APP-1587</t>
  </si>
  <si>
    <t>APP-1588</t>
  </si>
  <si>
    <t>APP-1589</t>
  </si>
  <si>
    <t>2025-02-06</t>
  </si>
  <si>
    <t>APP-1590</t>
  </si>
  <si>
    <t>APP-1591</t>
  </si>
  <si>
    <t>APP-1592</t>
  </si>
  <si>
    <t>APP-1593</t>
  </si>
  <si>
    <t>APP-1594</t>
  </si>
  <si>
    <t>APP-1595</t>
  </si>
  <si>
    <t>APP-1596</t>
  </si>
  <si>
    <t>APP-1597</t>
  </si>
  <si>
    <t>APP-1598</t>
  </si>
  <si>
    <t>APP-1599</t>
  </si>
  <si>
    <t>APP-1600</t>
  </si>
  <si>
    <t>APP-1601</t>
  </si>
  <si>
    <t>APP-1602</t>
  </si>
  <si>
    <t>APP-1603</t>
  </si>
  <si>
    <t>APP-1604</t>
  </si>
  <si>
    <t>APP-1605</t>
  </si>
  <si>
    <t>APP-1606</t>
  </si>
  <si>
    <t>APP-1607</t>
  </si>
  <si>
    <t>APP-1608</t>
  </si>
  <si>
    <t>APP-1609</t>
  </si>
  <si>
    <t>APP-1610</t>
  </si>
  <si>
    <t>APP-1611</t>
  </si>
  <si>
    <t>APP-1612</t>
  </si>
  <si>
    <t>APP-1613</t>
  </si>
  <si>
    <t>APP-1614</t>
  </si>
  <si>
    <t>APP-1615</t>
  </si>
  <si>
    <t>APP-1616</t>
  </si>
  <si>
    <t>APP-1617</t>
  </si>
  <si>
    <t>APP-1618</t>
  </si>
  <si>
    <t>APP-1619</t>
  </si>
  <si>
    <t>APP-1620</t>
  </si>
  <si>
    <t>APP-1621</t>
  </si>
  <si>
    <t>APP-1622</t>
  </si>
  <si>
    <t>APP-1623</t>
  </si>
  <si>
    <t>APP-1624</t>
  </si>
  <si>
    <t>2025-06-28</t>
  </si>
  <si>
    <t>APP-1625</t>
  </si>
  <si>
    <t>APP-1626</t>
  </si>
  <si>
    <t>APP-1627</t>
  </si>
  <si>
    <t>APP-1628</t>
  </si>
  <si>
    <t>APP-1629</t>
  </si>
  <si>
    <t>APP-1630</t>
  </si>
  <si>
    <t>APP-1631</t>
  </si>
  <si>
    <t>APP-1632</t>
  </si>
  <si>
    <t>APP-1633</t>
  </si>
  <si>
    <t>APP-1634</t>
  </si>
  <si>
    <t>APP-1635</t>
  </si>
  <si>
    <t>APP-1636</t>
  </si>
  <si>
    <t>APP-1637</t>
  </si>
  <si>
    <t>APP-1638</t>
  </si>
  <si>
    <t>APP-1639</t>
  </si>
  <si>
    <t>APP-1640</t>
  </si>
  <si>
    <t>APP-1641</t>
  </si>
  <si>
    <t>APP-1642</t>
  </si>
  <si>
    <t>APP-1643</t>
  </si>
  <si>
    <t>APP-1644</t>
  </si>
  <si>
    <t>APP-1645</t>
  </si>
  <si>
    <t>APP-1646</t>
  </si>
  <si>
    <t>APP-1647</t>
  </si>
  <si>
    <t>APP-1648</t>
  </si>
  <si>
    <t>APP-1649</t>
  </si>
  <si>
    <t>APP-1650</t>
  </si>
  <si>
    <t>APP-1651</t>
  </si>
  <si>
    <t>APP-1652</t>
  </si>
  <si>
    <t>APP-1653</t>
  </si>
  <si>
    <t>APP-1654</t>
  </si>
  <si>
    <t>APP-1655</t>
  </si>
  <si>
    <t>APP-1656</t>
  </si>
  <si>
    <t>APP-1657</t>
  </si>
  <si>
    <t>APP-1658</t>
  </si>
  <si>
    <t>APP-1659</t>
  </si>
  <si>
    <t>APP-1660</t>
  </si>
  <si>
    <t>APP-1661</t>
  </si>
  <si>
    <t>APP-1662</t>
  </si>
  <si>
    <t>APP-1663</t>
  </si>
  <si>
    <t>APP-1664</t>
  </si>
  <si>
    <t>APP-1665</t>
  </si>
  <si>
    <t>APP-1666</t>
  </si>
  <si>
    <t>APP-1667</t>
  </si>
  <si>
    <t>APP-1668</t>
  </si>
  <si>
    <t>APP-1669</t>
  </si>
  <si>
    <t>APP-1670</t>
  </si>
  <si>
    <t>APP-1671</t>
  </si>
  <si>
    <t>APP-1672</t>
  </si>
  <si>
    <t>APP-1673</t>
  </si>
  <si>
    <t>APP-1674</t>
  </si>
  <si>
    <t>APP-1675</t>
  </si>
  <si>
    <t>APP-1676</t>
  </si>
  <si>
    <t>APP-1677</t>
  </si>
  <si>
    <t>APP-1678</t>
  </si>
  <si>
    <t>APP-1679</t>
  </si>
  <si>
    <t>APP-1680</t>
  </si>
  <si>
    <t>APP-1681</t>
  </si>
  <si>
    <t>APP-1682</t>
  </si>
  <si>
    <t>APP-1683</t>
  </si>
  <si>
    <t>APP-1684</t>
  </si>
  <si>
    <t>APP-1685</t>
  </si>
  <si>
    <t>APP-1686</t>
  </si>
  <si>
    <t>APP-1687</t>
  </si>
  <si>
    <t>APP-1688</t>
  </si>
  <si>
    <t>APP-1689</t>
  </si>
  <si>
    <t>APP-1690</t>
  </si>
  <si>
    <t>APP-1691</t>
  </si>
  <si>
    <t>APP-1692</t>
  </si>
  <si>
    <t>APP-1693</t>
  </si>
  <si>
    <t>APP-1694</t>
  </si>
  <si>
    <t>APP-1695</t>
  </si>
  <si>
    <t>APP-1696</t>
  </si>
  <si>
    <t>APP-1697</t>
  </si>
  <si>
    <t>APP-1698</t>
  </si>
  <si>
    <t>APP-1699</t>
  </si>
  <si>
    <t>2025-06-22</t>
  </si>
  <si>
    <t>APP-1700</t>
  </si>
  <si>
    <t>APP-1701</t>
  </si>
  <si>
    <t>APP-1702</t>
  </si>
  <si>
    <t>2025-06-24</t>
  </si>
  <si>
    <t>APP-1703</t>
  </si>
  <si>
    <t>APP-1704</t>
  </si>
  <si>
    <t>APP-1705</t>
  </si>
  <si>
    <t>APP-1706</t>
  </si>
  <si>
    <t>APP-1707</t>
  </si>
  <si>
    <t>APP-1708</t>
  </si>
  <si>
    <t>APP-1709</t>
  </si>
  <si>
    <t>APP-1710</t>
  </si>
  <si>
    <t>APP-1711</t>
  </si>
  <si>
    <t>2025-03-19</t>
  </si>
  <si>
    <t>APP-1712</t>
  </si>
  <si>
    <t>2025-04-02</t>
  </si>
  <si>
    <t>APP-1713</t>
  </si>
  <si>
    <t>APP-1714</t>
  </si>
  <si>
    <t>APP-1715</t>
  </si>
  <si>
    <t>APP-1716</t>
  </si>
  <si>
    <t>APP-1717</t>
  </si>
  <si>
    <t>2025-01-10</t>
  </si>
  <si>
    <t>APP-1718</t>
  </si>
  <si>
    <t>APP-1719</t>
  </si>
  <si>
    <t>APP-1720</t>
  </si>
  <si>
    <t>APP-1721</t>
  </si>
  <si>
    <t>APP-1722</t>
  </si>
  <si>
    <t>APP-1723</t>
  </si>
  <si>
    <t>APP-1724</t>
  </si>
  <si>
    <t>APP-1725</t>
  </si>
  <si>
    <t>APP-1726</t>
  </si>
  <si>
    <t>APP-1727</t>
  </si>
  <si>
    <t>APP-1728</t>
  </si>
  <si>
    <t>APP-1729</t>
  </si>
  <si>
    <t>APP-1730</t>
  </si>
  <si>
    <t>APP-1731</t>
  </si>
  <si>
    <t>APP-1732</t>
  </si>
  <si>
    <t>APP-1733</t>
  </si>
  <si>
    <t>APP-1734</t>
  </si>
  <si>
    <t>APP-1735</t>
  </si>
  <si>
    <t>APP-1736</t>
  </si>
  <si>
    <t>APP-1737</t>
  </si>
  <si>
    <t>APP-1738</t>
  </si>
  <si>
    <t>APP-1739</t>
  </si>
  <si>
    <t>APP-1740</t>
  </si>
  <si>
    <t>APP-1741</t>
  </si>
  <si>
    <t>APP-1742</t>
  </si>
  <si>
    <t>APP-1743</t>
  </si>
  <si>
    <t>APP-1744</t>
  </si>
  <si>
    <t>APP-1745</t>
  </si>
  <si>
    <t>APP-1746</t>
  </si>
  <si>
    <t>APP-1747</t>
  </si>
  <si>
    <t>APP-1748</t>
  </si>
  <si>
    <t>APP-1749</t>
  </si>
  <si>
    <t>APP-1750</t>
  </si>
  <si>
    <t>APP-1751</t>
  </si>
  <si>
    <t>APP-1752</t>
  </si>
  <si>
    <t>APP-1753</t>
  </si>
  <si>
    <t>APP-1754</t>
  </si>
  <si>
    <t>2025-06-21</t>
  </si>
  <si>
    <t>APP-1755</t>
  </si>
  <si>
    <t>APP-1756</t>
  </si>
  <si>
    <t>APP-1757</t>
  </si>
  <si>
    <t>APP-1758</t>
  </si>
  <si>
    <t>APP-1759</t>
  </si>
  <si>
    <t>APP-1760</t>
  </si>
  <si>
    <t>APP-1761</t>
  </si>
  <si>
    <t>APP-1762</t>
  </si>
  <si>
    <t>APP-1763</t>
  </si>
  <si>
    <t>APP-1764</t>
  </si>
  <si>
    <t>APP-1765</t>
  </si>
  <si>
    <t>APP-1766</t>
  </si>
  <si>
    <t>APP-1767</t>
  </si>
  <si>
    <t>APP-1768</t>
  </si>
  <si>
    <t>APP-1769</t>
  </si>
  <si>
    <t>APP-1770</t>
  </si>
  <si>
    <t>APP-1771</t>
  </si>
  <si>
    <t>APP-1772</t>
  </si>
  <si>
    <t>APP-1773</t>
  </si>
  <si>
    <t>APP-1774</t>
  </si>
  <si>
    <t>APP-1775</t>
  </si>
  <si>
    <t>2025-01-14</t>
  </si>
  <si>
    <t>APP-1776</t>
  </si>
  <si>
    <t>APP-1777</t>
  </si>
  <si>
    <t>APP-1778</t>
  </si>
  <si>
    <t>APP-1779</t>
  </si>
  <si>
    <t>APP-1780</t>
  </si>
  <si>
    <t>APP-1781</t>
  </si>
  <si>
    <t>APP-1782</t>
  </si>
  <si>
    <t>APP-1783</t>
  </si>
  <si>
    <t>APP-1784</t>
  </si>
  <si>
    <t>APP-1785</t>
  </si>
  <si>
    <t>APP-1786</t>
  </si>
  <si>
    <t>APP-1787</t>
  </si>
  <si>
    <t>APP-1788</t>
  </si>
  <si>
    <t>APP-1789</t>
  </si>
  <si>
    <t>APP-1790</t>
  </si>
  <si>
    <t>APP-1791</t>
  </si>
  <si>
    <t>APP-1792</t>
  </si>
  <si>
    <t>APP-1793</t>
  </si>
  <si>
    <t>APP-1794</t>
  </si>
  <si>
    <t>APP-1795</t>
  </si>
  <si>
    <t>APP-1796</t>
  </si>
  <si>
    <t>APP-1797</t>
  </si>
  <si>
    <t>APP-1798</t>
  </si>
  <si>
    <t>APP-1799</t>
  </si>
  <si>
    <t>APP-1800</t>
  </si>
  <si>
    <t>APP-1801</t>
  </si>
  <si>
    <t>APP-1802</t>
  </si>
  <si>
    <t>APP-1803</t>
  </si>
  <si>
    <t>APP-1804</t>
  </si>
  <si>
    <t>APP-1805</t>
  </si>
  <si>
    <t>APP-1806</t>
  </si>
  <si>
    <t>APP-1807</t>
  </si>
  <si>
    <t>APP-1808</t>
  </si>
  <si>
    <t>APP-1809</t>
  </si>
  <si>
    <t>APP-1810</t>
  </si>
  <si>
    <t>APP-1811</t>
  </si>
  <si>
    <t>APP-1812</t>
  </si>
  <si>
    <t>APP-1813</t>
  </si>
  <si>
    <t>APP-1814</t>
  </si>
  <si>
    <t>APP-1815</t>
  </si>
  <si>
    <t>APP-1816</t>
  </si>
  <si>
    <t>APP-1817</t>
  </si>
  <si>
    <t>APP-1818</t>
  </si>
  <si>
    <t>APP-1819</t>
  </si>
  <si>
    <t>APP-1820</t>
  </si>
  <si>
    <t>APP-1821</t>
  </si>
  <si>
    <t>APP-1822</t>
  </si>
  <si>
    <t>APP-1823</t>
  </si>
  <si>
    <t>APP-1824</t>
  </si>
  <si>
    <t>APP-1825</t>
  </si>
  <si>
    <t>APP-1826</t>
  </si>
  <si>
    <t>APP-1827</t>
  </si>
  <si>
    <t>APP-1828</t>
  </si>
  <si>
    <t>APP-1829</t>
  </si>
  <si>
    <t>APP-1830</t>
  </si>
  <si>
    <t>APP-1831</t>
  </si>
  <si>
    <t>APP-1832</t>
  </si>
  <si>
    <t>APP-1833</t>
  </si>
  <si>
    <t>APP-1834</t>
  </si>
  <si>
    <t>APP-1835</t>
  </si>
  <si>
    <t>APP-1836</t>
  </si>
  <si>
    <t>APP-1837</t>
  </si>
  <si>
    <t>APP-1838</t>
  </si>
  <si>
    <t>APP-1839</t>
  </si>
  <si>
    <t>APP-1840</t>
  </si>
  <si>
    <t>APP-1841</t>
  </si>
  <si>
    <t>APP-1842</t>
  </si>
  <si>
    <t>APP-1843</t>
  </si>
  <si>
    <t>APP-1844</t>
  </si>
  <si>
    <t>APP-1845</t>
  </si>
  <si>
    <t>APP-1846</t>
  </si>
  <si>
    <t>APP-1847</t>
  </si>
  <si>
    <t>2025-01-22</t>
  </si>
  <si>
    <t>APP-1848</t>
  </si>
  <si>
    <t>APP-1849</t>
  </si>
  <si>
    <t>APP-1850</t>
  </si>
  <si>
    <t>APP-1851</t>
  </si>
  <si>
    <t>APP-1852</t>
  </si>
  <si>
    <t>APP-1853</t>
  </si>
  <si>
    <t>APP-1854</t>
  </si>
  <si>
    <t>APP-1855</t>
  </si>
  <si>
    <t>APP-1856</t>
  </si>
  <si>
    <t>APP-1857</t>
  </si>
  <si>
    <t>APP-1858</t>
  </si>
  <si>
    <t>APP-1859</t>
  </si>
  <si>
    <t>APP-1860</t>
  </si>
  <si>
    <t>APP-1861</t>
  </si>
  <si>
    <t>APP-1862</t>
  </si>
  <si>
    <t>APP-1863</t>
  </si>
  <si>
    <t>APP-1864</t>
  </si>
  <si>
    <t>APP-1865</t>
  </si>
  <si>
    <t>APP-1866</t>
  </si>
  <si>
    <t>APP-1867</t>
  </si>
  <si>
    <t>APP-1868</t>
  </si>
  <si>
    <t>APP-1869</t>
  </si>
  <si>
    <t>APP-1870</t>
  </si>
  <si>
    <t>APP-1871</t>
  </si>
  <si>
    <t>APP-1872</t>
  </si>
  <si>
    <t>APP-1873</t>
  </si>
  <si>
    <t>APP-1874</t>
  </si>
  <si>
    <t>APP-1875</t>
  </si>
  <si>
    <t>APP-1876</t>
  </si>
  <si>
    <t>APP-1877</t>
  </si>
  <si>
    <t>APP-1878</t>
  </si>
  <si>
    <t>APP-1879</t>
  </si>
  <si>
    <t>APP-1880</t>
  </si>
  <si>
    <t>APP-1881</t>
  </si>
  <si>
    <t>APP-1882</t>
  </si>
  <si>
    <t>APP-1883</t>
  </si>
  <si>
    <t>APP-1884</t>
  </si>
  <si>
    <t>APP-1885</t>
  </si>
  <si>
    <t>APP-1886</t>
  </si>
  <si>
    <t>APP-1887</t>
  </si>
  <si>
    <t>APP-1888</t>
  </si>
  <si>
    <t>APP-1889</t>
  </si>
  <si>
    <t>APP-1890</t>
  </si>
  <si>
    <t>APP-1891</t>
  </si>
  <si>
    <t>APP-1892</t>
  </si>
  <si>
    <t>APP-1893</t>
  </si>
  <si>
    <t>APP-1894</t>
  </si>
  <si>
    <t>APP-1895</t>
  </si>
  <si>
    <t>APP-1896</t>
  </si>
  <si>
    <t>APP-1897</t>
  </si>
  <si>
    <t>APP-1898</t>
  </si>
  <si>
    <t>APP-1899</t>
  </si>
  <si>
    <t>APP-1900</t>
  </si>
  <si>
    <t>APP-1901</t>
  </si>
  <si>
    <t>APP-1902</t>
  </si>
  <si>
    <t>APP-1903</t>
  </si>
  <si>
    <t>APP-1904</t>
  </si>
  <si>
    <t>APP-1905</t>
  </si>
  <si>
    <t>APP-1906</t>
  </si>
  <si>
    <t>APP-1907</t>
  </si>
  <si>
    <t>APP-1908</t>
  </si>
  <si>
    <t>APP-1909</t>
  </si>
  <si>
    <t>APP-1910</t>
  </si>
  <si>
    <t>APP-1911</t>
  </si>
  <si>
    <t>APP-1912</t>
  </si>
  <si>
    <t>APP-1913</t>
  </si>
  <si>
    <t>APP-1914</t>
  </si>
  <si>
    <t>APP-1915</t>
  </si>
  <si>
    <t>APP-1916</t>
  </si>
  <si>
    <t>APP-1917</t>
  </si>
  <si>
    <t>APP-1918</t>
  </si>
  <si>
    <t>APP-1919</t>
  </si>
  <si>
    <t>APP-1920</t>
  </si>
  <si>
    <t>APP-1921</t>
  </si>
  <si>
    <t>APP-1922</t>
  </si>
  <si>
    <t>APP-1923</t>
  </si>
  <si>
    <t>APP-1924</t>
  </si>
  <si>
    <t>APP-1925</t>
  </si>
  <si>
    <t>APP-1926</t>
  </si>
  <si>
    <t>APP-1927</t>
  </si>
  <si>
    <t>APP-1928</t>
  </si>
  <si>
    <t>APP-1929</t>
  </si>
  <si>
    <t>APP-1930</t>
  </si>
  <si>
    <t>APP-1931</t>
  </si>
  <si>
    <t>APP-1932</t>
  </si>
  <si>
    <t>APP-1933</t>
  </si>
  <si>
    <t>APP-1934</t>
  </si>
  <si>
    <t>APP-1935</t>
  </si>
  <si>
    <t>APP-1936</t>
  </si>
  <si>
    <t>APP-1937</t>
  </si>
  <si>
    <t>APP-1938</t>
  </si>
  <si>
    <t>APP-1939</t>
  </si>
  <si>
    <t>APP-1940</t>
  </si>
  <si>
    <t>APP-1941</t>
  </si>
  <si>
    <t>APP-1942</t>
  </si>
  <si>
    <t>APP-1943</t>
  </si>
  <si>
    <t>APP-1944</t>
  </si>
  <si>
    <t>APP-1945</t>
  </si>
  <si>
    <t>APP-1946</t>
  </si>
  <si>
    <t>APP-1947</t>
  </si>
  <si>
    <t>APP-1948</t>
  </si>
  <si>
    <t>APP-1949</t>
  </si>
  <si>
    <t>APP-1950</t>
  </si>
  <si>
    <t>APP-1951</t>
  </si>
  <si>
    <t>APP-1952</t>
  </si>
  <si>
    <t>APP-1953</t>
  </si>
  <si>
    <t>APP-1954</t>
  </si>
  <si>
    <t>APP-1955</t>
  </si>
  <si>
    <t>APP-1956</t>
  </si>
  <si>
    <t>APP-1957</t>
  </si>
  <si>
    <t>APP-1958</t>
  </si>
  <si>
    <t>APP-1959</t>
  </si>
  <si>
    <t>APP-1960</t>
  </si>
  <si>
    <t>APP-1961</t>
  </si>
  <si>
    <t>APP-1962</t>
  </si>
  <si>
    <t>APP-1963</t>
  </si>
  <si>
    <t>APP-1964</t>
  </si>
  <si>
    <t>APP-1965</t>
  </si>
  <si>
    <t>APP-1966</t>
  </si>
  <si>
    <t>APP-1967</t>
  </si>
  <si>
    <t>APP-1968</t>
  </si>
  <si>
    <t>APP-1969</t>
  </si>
  <si>
    <t>APP-1970</t>
  </si>
  <si>
    <t>APP-1971</t>
  </si>
  <si>
    <t>APP-1972</t>
  </si>
  <si>
    <t>APP-1973</t>
  </si>
  <si>
    <t>APP-1974</t>
  </si>
  <si>
    <t>APP-1975</t>
  </si>
  <si>
    <t>APP-1976</t>
  </si>
  <si>
    <t>APP-1977</t>
  </si>
  <si>
    <t>APP-1978</t>
  </si>
  <si>
    <t>APP-1979</t>
  </si>
  <si>
    <t>APP-1980</t>
  </si>
  <si>
    <t>APP-1981</t>
  </si>
  <si>
    <t>APP-1982</t>
  </si>
  <si>
    <t>APP-1983</t>
  </si>
  <si>
    <t>APP-1984</t>
  </si>
  <si>
    <t>APP-1985</t>
  </si>
  <si>
    <t>APP-1986</t>
  </si>
  <si>
    <t>2025-05-24</t>
  </si>
  <si>
    <t>APP-1987</t>
  </si>
  <si>
    <t>APP-1988</t>
  </si>
  <si>
    <t>APP-1989</t>
  </si>
  <si>
    <t>APP-1990</t>
  </si>
  <si>
    <t>APP-1991</t>
  </si>
  <si>
    <t>APP-1992</t>
  </si>
  <si>
    <t>APP-1993</t>
  </si>
  <si>
    <t>APP-1994</t>
  </si>
  <si>
    <t>APP-1995</t>
  </si>
  <si>
    <t>APP-1996</t>
  </si>
  <si>
    <t>APP-1997</t>
  </si>
  <si>
    <t>APP-1998</t>
  </si>
  <si>
    <t>APP-1999</t>
  </si>
  <si>
    <t>APP-2000</t>
  </si>
  <si>
    <t>APP-2001</t>
  </si>
  <si>
    <t>APP-2002</t>
  </si>
  <si>
    <t>APP-2003</t>
  </si>
  <si>
    <t>APP-2004</t>
  </si>
  <si>
    <t>APP-2005</t>
  </si>
  <si>
    <t>APP-2006</t>
  </si>
  <si>
    <t>APP-2007</t>
  </si>
  <si>
    <t>APP-2008</t>
  </si>
  <si>
    <t>APP-2009</t>
  </si>
  <si>
    <t>APP-2010</t>
  </si>
  <si>
    <t>APP-2011</t>
  </si>
  <si>
    <t>APP-2012</t>
  </si>
  <si>
    <t>APP-2013</t>
  </si>
  <si>
    <t>APP-2014</t>
  </si>
  <si>
    <t>APP-2015</t>
  </si>
  <si>
    <t>APP-2016</t>
  </si>
  <si>
    <t>APP-2017</t>
  </si>
  <si>
    <t>APP-2018</t>
  </si>
  <si>
    <t>APP-2019</t>
  </si>
  <si>
    <t>APP-2020</t>
  </si>
  <si>
    <t>2025-07-01</t>
  </si>
  <si>
    <t>APP-2021</t>
  </si>
  <si>
    <t>APP-2022</t>
  </si>
  <si>
    <t>APP-2023</t>
  </si>
  <si>
    <t>APP-2024</t>
  </si>
  <si>
    <t>APP-2025</t>
  </si>
  <si>
    <t>APP-2026</t>
  </si>
  <si>
    <t>APP-2027</t>
  </si>
  <si>
    <t>APP-2028</t>
  </si>
  <si>
    <t>APP-2029</t>
  </si>
  <si>
    <t>APP-2030</t>
  </si>
  <si>
    <t>APP-2031</t>
  </si>
  <si>
    <t>APP-2032</t>
  </si>
  <si>
    <t>APP-2033</t>
  </si>
  <si>
    <t>APP-2034</t>
  </si>
  <si>
    <t>APP-2035</t>
  </si>
  <si>
    <t>APP-2036</t>
  </si>
  <si>
    <t>APP-2037</t>
  </si>
  <si>
    <t>APP-2038</t>
  </si>
  <si>
    <t>APP-2039</t>
  </si>
  <si>
    <t>APP-2040</t>
  </si>
  <si>
    <t>APP-2041</t>
  </si>
  <si>
    <t>APP-2042</t>
  </si>
  <si>
    <t>APP-2043</t>
  </si>
  <si>
    <t>APP-2044</t>
  </si>
  <si>
    <t>APP-2045</t>
  </si>
  <si>
    <t>APP-2046</t>
  </si>
  <si>
    <t>APP-2047</t>
  </si>
  <si>
    <t>APP-2048</t>
  </si>
  <si>
    <t>APP-2049</t>
  </si>
  <si>
    <t>APP-2050</t>
  </si>
  <si>
    <t>APP-2051</t>
  </si>
  <si>
    <t>APP-2052</t>
  </si>
  <si>
    <t>APP-2053</t>
  </si>
  <si>
    <t>APP-2054</t>
  </si>
  <si>
    <t>APP-2055</t>
  </si>
  <si>
    <t>APP-2056</t>
  </si>
  <si>
    <t>APP-2057</t>
  </si>
  <si>
    <t>APP-2058</t>
  </si>
  <si>
    <t>APP-2059</t>
  </si>
  <si>
    <t>APP-2060</t>
  </si>
  <si>
    <t>APP-2061</t>
  </si>
  <si>
    <t>APP-2062</t>
  </si>
  <si>
    <t>APP-2063</t>
  </si>
  <si>
    <t>APP-2064</t>
  </si>
  <si>
    <t>APP-2065</t>
  </si>
  <si>
    <t>APP-2066</t>
  </si>
  <si>
    <t>APP-2067</t>
  </si>
  <si>
    <t>APP-2068</t>
  </si>
  <si>
    <t>APP-2069</t>
  </si>
  <si>
    <t>APP-2070</t>
  </si>
  <si>
    <t>APP-2071</t>
  </si>
  <si>
    <t>APP-2072</t>
  </si>
  <si>
    <t>APP-2073</t>
  </si>
  <si>
    <t>APP-2074</t>
  </si>
  <si>
    <t>APP-2075</t>
  </si>
  <si>
    <t>APP-2076</t>
  </si>
  <si>
    <t>APP-2077</t>
  </si>
  <si>
    <t>APP-2078</t>
  </si>
  <si>
    <t>APP-2079</t>
  </si>
  <si>
    <t>APP-2080</t>
  </si>
  <si>
    <t>APP-2081</t>
  </si>
  <si>
    <t>APP-2082</t>
  </si>
  <si>
    <t>APP-2083</t>
  </si>
  <si>
    <t>APP-2084</t>
  </si>
  <si>
    <t>APP-2085</t>
  </si>
  <si>
    <t>APP-2086</t>
  </si>
  <si>
    <t>APP-2087</t>
  </si>
  <si>
    <t>APP-2088</t>
  </si>
  <si>
    <t>APP-2089</t>
  </si>
  <si>
    <t>APP-2090</t>
  </si>
  <si>
    <t>APP-2091</t>
  </si>
  <si>
    <t>APP-2092</t>
  </si>
  <si>
    <t>APP-2093</t>
  </si>
  <si>
    <t>APP-2094</t>
  </si>
  <si>
    <t>APP-2095</t>
  </si>
  <si>
    <t>APP-2096</t>
  </si>
  <si>
    <t>APP-2097</t>
  </si>
  <si>
    <t>APP-2098</t>
  </si>
  <si>
    <t>APP-2099</t>
  </si>
  <si>
    <t>APP-2100</t>
  </si>
  <si>
    <t>APP-2101</t>
  </si>
  <si>
    <t>APP-2102</t>
  </si>
  <si>
    <t>APP-2103</t>
  </si>
  <si>
    <t>APP-2104</t>
  </si>
  <si>
    <t>APP-2105</t>
  </si>
  <si>
    <t>APP-2106</t>
  </si>
  <si>
    <t>APP-2107</t>
  </si>
  <si>
    <t>APP-2108</t>
  </si>
  <si>
    <t>APP-2109</t>
  </si>
  <si>
    <t>APP-2110</t>
  </si>
  <si>
    <t>APP-2111</t>
  </si>
  <si>
    <t>APP-2112</t>
  </si>
  <si>
    <t>APP-2113</t>
  </si>
  <si>
    <t>APP-2114</t>
  </si>
  <si>
    <t>APP-2115</t>
  </si>
  <si>
    <t>APP-2116</t>
  </si>
  <si>
    <t>APP-2117</t>
  </si>
  <si>
    <t>APP-2118</t>
  </si>
  <si>
    <t>APP-2119</t>
  </si>
  <si>
    <t>APP-2120</t>
  </si>
  <si>
    <t>APP-2121</t>
  </si>
  <si>
    <t>APP-2122</t>
  </si>
  <si>
    <t>APP-2123</t>
  </si>
  <si>
    <t>APP-2124</t>
  </si>
  <si>
    <t>APP-2125</t>
  </si>
  <si>
    <t>APP-2126</t>
  </si>
  <si>
    <t>APP-2127</t>
  </si>
  <si>
    <t>APP-2128</t>
  </si>
  <si>
    <t>APP-2129</t>
  </si>
  <si>
    <t>APP-2130</t>
  </si>
  <si>
    <t>APP-2131</t>
  </si>
  <si>
    <t>APP-2132</t>
  </si>
  <si>
    <t>APP-2133</t>
  </si>
  <si>
    <t>APP-2134</t>
  </si>
  <si>
    <t>APP-2135</t>
  </si>
  <si>
    <t>APP-2136</t>
  </si>
  <si>
    <t>APP-2137</t>
  </si>
  <si>
    <t>APP-2138</t>
  </si>
  <si>
    <t>APP-2139</t>
  </si>
  <si>
    <t>APP-2140</t>
  </si>
  <si>
    <t>APP-2141</t>
  </si>
  <si>
    <t>APP-2142</t>
  </si>
  <si>
    <t>APP-2143</t>
  </si>
  <si>
    <t>APP-2144</t>
  </si>
  <si>
    <t>APP-2145</t>
  </si>
  <si>
    <t>APP-2146</t>
  </si>
  <si>
    <t>APP-2147</t>
  </si>
  <si>
    <t>APP-2148</t>
  </si>
  <si>
    <t>APP-2149</t>
  </si>
  <si>
    <t>APP-2150</t>
  </si>
  <si>
    <t>APP-2151</t>
  </si>
  <si>
    <t>APP-2152</t>
  </si>
  <si>
    <t>APP-2153</t>
  </si>
  <si>
    <t>APP-2154</t>
  </si>
  <si>
    <t>APP-2155</t>
  </si>
  <si>
    <t>APP-2156</t>
  </si>
  <si>
    <t>APP-2157</t>
  </si>
  <si>
    <t>APP-2158</t>
  </si>
  <si>
    <t>APP-2159</t>
  </si>
  <si>
    <t>APP-2160</t>
  </si>
  <si>
    <t>APP-2161</t>
  </si>
  <si>
    <t>APP-2162</t>
  </si>
  <si>
    <t>APP-2163</t>
  </si>
  <si>
    <t>APP-2164</t>
  </si>
  <si>
    <t>APP-2165</t>
  </si>
  <si>
    <t>APP-2166</t>
  </si>
  <si>
    <t>APP-2167</t>
  </si>
  <si>
    <t>APP-2168</t>
  </si>
  <si>
    <t>APP-2169</t>
  </si>
  <si>
    <t>APP-2170</t>
  </si>
  <si>
    <t>APP-2171</t>
  </si>
  <si>
    <t>APP-2172</t>
  </si>
  <si>
    <t>APP-2173</t>
  </si>
  <si>
    <t>APP-2174</t>
  </si>
  <si>
    <t>APP-2175</t>
  </si>
  <si>
    <t>APP-2176</t>
  </si>
  <si>
    <t>APP-2177</t>
  </si>
  <si>
    <t>APP-2178</t>
  </si>
  <si>
    <t>APP-2179</t>
  </si>
  <si>
    <t>APP-2180</t>
  </si>
  <si>
    <t>APP-2181</t>
  </si>
  <si>
    <t>APP-2182</t>
  </si>
  <si>
    <t>APP-2183</t>
  </si>
  <si>
    <t>APP-2184</t>
  </si>
  <si>
    <t>APP-2185</t>
  </si>
  <si>
    <t>APP-2186</t>
  </si>
  <si>
    <t>APP-2187</t>
  </si>
  <si>
    <t>APP-2188</t>
  </si>
  <si>
    <t>APP-2189</t>
  </si>
  <si>
    <t>APP-2190</t>
  </si>
  <si>
    <t>APP-2191</t>
  </si>
  <si>
    <t>APP-2192</t>
  </si>
  <si>
    <t>APP-2193</t>
  </si>
  <si>
    <t>APP-2194</t>
  </si>
  <si>
    <t>APP-2195</t>
  </si>
  <si>
    <t>APP-2196</t>
  </si>
  <si>
    <t>APP-2197</t>
  </si>
  <si>
    <t>APP-2198</t>
  </si>
  <si>
    <t>APP-2199</t>
  </si>
  <si>
    <t>APP-2200</t>
  </si>
  <si>
    <t>Stage_Enter_Date</t>
  </si>
  <si>
    <t>Stage_Status</t>
  </si>
  <si>
    <t>Completed</t>
  </si>
  <si>
    <t>2025-07-06</t>
  </si>
  <si>
    <t>2025-07-11</t>
  </si>
  <si>
    <t>2025-07-07</t>
  </si>
  <si>
    <t>2025-07-02</t>
  </si>
  <si>
    <t>2025-01-07</t>
  </si>
  <si>
    <t>2025-07-09</t>
  </si>
  <si>
    <t>2025-07-15</t>
  </si>
  <si>
    <t>2025-07-05</t>
  </si>
  <si>
    <t>2025-07-12</t>
  </si>
  <si>
    <t>2025-07-14</t>
  </si>
  <si>
    <t>2025-07-16</t>
  </si>
  <si>
    <t>2025-07-19</t>
  </si>
  <si>
    <t>2025-07-17</t>
  </si>
  <si>
    <t>2025-07-20</t>
  </si>
  <si>
    <t>Application ID</t>
  </si>
  <si>
    <t>Candidate ID</t>
  </si>
  <si>
    <t>Current Stage</t>
  </si>
  <si>
    <t>Final Status</t>
  </si>
  <si>
    <t>Tech Score</t>
  </si>
  <si>
    <t>Interview Score</t>
  </si>
  <si>
    <t>Job ID</t>
  </si>
  <si>
    <t>Status</t>
  </si>
  <si>
    <t>Request ID</t>
  </si>
  <si>
    <t>Recruiter ID</t>
  </si>
  <si>
    <t>Application Date</t>
  </si>
  <si>
    <t>req-202523</t>
  </si>
  <si>
    <t>Total Job Requisitions</t>
  </si>
  <si>
    <t>Total Applications</t>
  </si>
  <si>
    <t>Overall Hire Conversion</t>
  </si>
  <si>
    <t>Avg Time to Hire</t>
  </si>
  <si>
    <t>Row Labels</t>
  </si>
  <si>
    <t>Grand Total</t>
  </si>
  <si>
    <t>Total Stage Entrants</t>
  </si>
  <si>
    <t>Stage Conversion Rate</t>
  </si>
  <si>
    <t>Total Hired</t>
  </si>
  <si>
    <t>SLA Variance Days</t>
  </si>
  <si>
    <t>Live Requisition Lookup</t>
  </si>
  <si>
    <t>Stage ID</t>
  </si>
  <si>
    <t>Assessment Score</t>
  </si>
  <si>
    <t>Applications Count</t>
  </si>
  <si>
    <t>Min</t>
  </si>
  <si>
    <t>Max</t>
  </si>
  <si>
    <t>Mean</t>
  </si>
  <si>
    <t>Contribution</t>
  </si>
  <si>
    <t>Offer declined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</si>
</sst>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4">
    <border>
      <left/>
      <right/>
      <top/>
      <bottom/>
      <diagonal/>
    </border>
    <border>
      <left style="thin">
        <color theme="0"/>
      </left>
      <right/>
      <top style="thin">
        <color theme="0"/>
      </top>
      <bottom/>
      <diagonal/>
    </border>
    <border>
      <left style="thin">
        <color theme="0"/>
      </left>
      <right/>
      <top/>
      <bottom/>
      <diagonal/>
    </border>
    <border>
      <left/>
      <right/>
      <top style="thin">
        <color theme="0"/>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0" fillId="0" borderId="3" xfId="0" applyFont="1" applyFill="1" applyBorder="1"/>
    <xf numFmtId="0" fontId="0" fillId="0" borderId="1" xfId="0" applyFont="1" applyFill="1" applyBorder="1"/>
    <xf numFmtId="0" fontId="0" fillId="0" borderId="0" xfId="0" applyFont="1" applyFill="1" applyBorder="1"/>
    <xf numFmtId="0" fontId="0" fillId="0" borderId="2" xfId="0" applyFont="1" applyFill="1" applyBorder="1"/>
    <xf numFmtId="0" fontId="0" fillId="0" borderId="0" xfId="0" applyNumberFormat="1"/>
    <xf numFmtId="164" fontId="0" fillId="0" borderId="0" xfId="0" applyNumberFormat="1"/>
    <xf numFmtId="2" fontId="0" fillId="0" borderId="0" xfId="0" applyNumberFormat="1"/>
    <xf numFmtId="0" fontId="0" fillId="0" borderId="0" xfId="0" pivotButton="1"/>
    <xf numFmtId="0" fontId="0" fillId="0" borderId="0" xfId="0" applyAlignment="1">
      <alignment horizontal="left"/>
    </xf>
    <xf numFmtId="10" fontId="0" fillId="0" borderId="0" xfId="1" applyNumberFormat="1" applyFont="1"/>
    <xf numFmtId="10" fontId="0" fillId="0" borderId="0" xfId="0" applyNumberFormat="1"/>
    <xf numFmtId="0" fontId="0" fillId="0" borderId="0" xfId="1" applyNumberFormat="1" applyFont="1"/>
  </cellXfs>
  <cellStyles count="2">
    <cellStyle name="Normal" xfId="0" builtinId="0"/>
    <cellStyle name="Percent" xfId="1" builtinId="5"/>
  </cellStyles>
  <dxfs count="12">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0"/>
        </top>
        <bottom/>
        <vertical/>
        <horizontal/>
      </border>
    </dxf>
    <dxf>
      <border outline="0">
        <top style="thick">
          <color theme="0"/>
        </top>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outline="0">
        <left style="thin">
          <color theme="0"/>
        </left>
        <right style="thin">
          <color theme="0"/>
        </right>
        <top/>
        <bottom/>
      </border>
    </dxf>
  </dxfs>
  <tableStyles count="0" defaultTableStyle="TableStyleMedium9" defaultPivotStyle="PivotStyleLight16"/>
  <colors>
    <mruColors>
      <color rgb="FFD92D20"/>
      <color rgb="FF8E9CA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theme" Target="theme/them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haredStrings" Target="sharedString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5.xml"/><Relationship Id="rId11" Type="http://schemas.openxmlformats.org/officeDocument/2006/relationships/pivotCacheDefinition" Target="pivotCache/pivotCacheDefinition2.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10" Type="http://schemas.openxmlformats.org/officeDocument/2006/relationships/pivotCacheDefinition" Target="pivotCache/pivotCacheDefinition1.xml"/><Relationship Id="rId19" Type="http://schemas.openxmlformats.org/officeDocument/2006/relationships/connections" Target="connections.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sheetMetadata" Target="metadata.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microsoft.com/office/2007/relationships/slicerCache" Target="slicerCaches/slicerCache3.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styles" Target="styles.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[HR_Recruitment_Data_Architecture.xlsx]Staging_Pivot!PivotTable3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8E9CA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Staging_Pivot!$K$1</c:f>
              <c:strCache>
                <c:ptCount val="1"/>
                <c:pt idx="0">
                  <c:v>Total Hired</c:v>
                </c:pt>
              </c:strCache>
            </c:strRef>
          </c:tx>
          <c:spPr>
            <a:solidFill>
              <a:srgbClr val="8E9CAE"/>
            </a:solidFill>
            <a:ln>
              <a:noFill/>
            </a:ln>
            <a:effectLst/>
          </c:spPr>
          <c:invertIfNegative val="0"/>
          <c:cat>
            <c:strRef>
              <c:f>Staging_Pivot!$J$2:$J$10</c:f>
              <c:strCache>
                <c:ptCount val="8"/>
                <c:pt idx="0">
                  <c:v>Alex Mercer</c:v>
                </c:pt>
                <c:pt idx="1">
                  <c:v>Casey Ryans</c:v>
                </c:pt>
                <c:pt idx="2">
                  <c:v>Jamie Lee</c:v>
                </c:pt>
                <c:pt idx="3">
                  <c:v>Jordan Vance</c:v>
                </c:pt>
                <c:pt idx="4">
                  <c:v>Morgan Sterling</c:v>
                </c:pt>
                <c:pt idx="5">
                  <c:v>Quinn Fabray</c:v>
                </c:pt>
                <c:pt idx="6">
                  <c:v>Riley Thorne</c:v>
                </c:pt>
                <c:pt idx="7">
                  <c:v>Taylor Swift</c:v>
                </c:pt>
              </c:strCache>
            </c:strRef>
          </c:cat>
          <c:val>
            <c:numRef>
              <c:f>Staging_Pivot!$K$2:$K$10</c:f>
              <c:numCache>
                <c:formatCode>General</c:formatCode>
                <c:ptCount val="8"/>
                <c:pt idx="0">
                  <c:v>7</c:v>
                </c:pt>
                <c:pt idx="1">
                  <c:v>7</c:v>
                </c:pt>
                <c:pt idx="2">
                  <c:v>9</c:v>
                </c:pt>
                <c:pt idx="3">
                  <c:v>10</c:v>
                </c:pt>
                <c:pt idx="4">
                  <c:v>16</c:v>
                </c:pt>
                <c:pt idx="5">
                  <c:v>8</c:v>
                </c:pt>
                <c:pt idx="6">
                  <c:v>7</c:v>
                </c:pt>
                <c:pt idx="7">
                  <c:v>8</c:v>
                </c:pt>
              </c:numCache>
            </c:numRef>
          </c:val>
          <c:extLst>
            <c:ext xmlns:c16="http://schemas.microsoft.com/office/drawing/2014/chart" uri="{C3380CC4-5D6E-409C-BE32-E72D297353CC}">
              <c16:uniqueId val="{00000005-D2B5-46ED-AE14-44108253ADFC}"/>
            </c:ext>
          </c:extLst>
        </c:ser>
        <c:dLbls>
          <c:showLegendKey val="0"/>
          <c:showVal val="0"/>
          <c:showCatName val="0"/>
          <c:showSerName val="0"/>
          <c:showPercent val="0"/>
          <c:showBubbleSize val="0"/>
        </c:dLbls>
        <c:gapWidth val="219"/>
        <c:axId val="1646381440"/>
        <c:axId val="1646387200"/>
      </c:barChart>
      <c:lineChart>
        <c:grouping val="standard"/>
        <c:varyColors val="0"/>
        <c:ser>
          <c:idx val="1"/>
          <c:order val="1"/>
          <c:tx>
            <c:strRef>
              <c:f>Staging_Pivot!$L$1</c:f>
              <c:strCache>
                <c:ptCount val="1"/>
                <c:pt idx="0">
                  <c:v>SLA Variance Days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Staging_Pivot!$J$2:$J$10</c:f>
              <c:strCache>
                <c:ptCount val="8"/>
                <c:pt idx="0">
                  <c:v>Alex Mercer</c:v>
                </c:pt>
                <c:pt idx="1">
                  <c:v>Casey Ryans</c:v>
                </c:pt>
                <c:pt idx="2">
                  <c:v>Jamie Lee</c:v>
                </c:pt>
                <c:pt idx="3">
                  <c:v>Jordan Vance</c:v>
                </c:pt>
                <c:pt idx="4">
                  <c:v>Morgan Sterling</c:v>
                </c:pt>
                <c:pt idx="5">
                  <c:v>Quinn Fabray</c:v>
                </c:pt>
                <c:pt idx="6">
                  <c:v>Riley Thorne</c:v>
                </c:pt>
                <c:pt idx="7">
                  <c:v>Taylor Swift</c:v>
                </c:pt>
              </c:strCache>
            </c:strRef>
          </c:cat>
          <c:val>
            <c:numRef>
              <c:f>Staging_Pivot!$L$2:$L$10</c:f>
              <c:numCache>
                <c:formatCode>0.00</c:formatCode>
                <c:ptCount val="8"/>
                <c:pt idx="0">
                  <c:v>-23.428571428571427</c:v>
                </c:pt>
                <c:pt idx="1">
                  <c:v>-19.571428571428573</c:v>
                </c:pt>
                <c:pt idx="2">
                  <c:v>-23.444444444444443</c:v>
                </c:pt>
                <c:pt idx="3">
                  <c:v>-25.6</c:v>
                </c:pt>
                <c:pt idx="4">
                  <c:v>-42.8125</c:v>
                </c:pt>
                <c:pt idx="5">
                  <c:v>-24.875</c:v>
                </c:pt>
                <c:pt idx="6">
                  <c:v>-19.571428571428573</c:v>
                </c:pt>
                <c:pt idx="7">
                  <c:v>-29.125</c:v>
                </c:pt>
              </c:numCache>
            </c:numRef>
          </c:val>
          <c:smooth val="0"/>
          <c:extLst>
            <c:ext xmlns:c16="http://schemas.microsoft.com/office/drawing/2014/chart" uri="{C3380CC4-5D6E-409C-BE32-E72D297353CC}">
              <c16:uniqueId val="{00000006-D2B5-46ED-AE14-44108253ADFC}"/>
            </c:ext>
          </c:extLst>
        </c:ser>
        <c:dLbls>
          <c:showLegendKey val="0"/>
          <c:showVal val="0"/>
          <c:showCatName val="0"/>
          <c:showSerName val="0"/>
          <c:showPercent val="0"/>
          <c:showBubbleSize val="0"/>
        </c:dLbls>
        <c:marker val="1"/>
        <c:smooth val="0"/>
        <c:axId val="1871370096"/>
        <c:axId val="1871371536"/>
      </c:lineChart>
      <c:catAx>
        <c:axId val="164638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387200"/>
        <c:crosses val="autoZero"/>
        <c:auto val="1"/>
        <c:lblAlgn val="ctr"/>
        <c:lblOffset val="100"/>
        <c:noMultiLvlLbl val="0"/>
      </c:catAx>
      <c:valAx>
        <c:axId val="1646387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381440"/>
        <c:crosses val="autoZero"/>
        <c:crossBetween val="between"/>
      </c:valAx>
      <c:valAx>
        <c:axId val="187137153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370096"/>
        <c:crosses val="max"/>
        <c:crossBetween val="between"/>
      </c:valAx>
      <c:catAx>
        <c:axId val="1871370096"/>
        <c:scaling>
          <c:orientation val="minMax"/>
        </c:scaling>
        <c:delete val="1"/>
        <c:axPos val="b"/>
        <c:numFmt formatCode="General" sourceLinked="1"/>
        <c:majorTickMark val="out"/>
        <c:minorTickMark val="none"/>
        <c:tickLblPos val="nextTo"/>
        <c:crossAx val="187137153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[HR_Recruitment_Data_Architecture.xlsx]Staging_Pivot!PivotTable4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Stage</a:t>
            </a:r>
            <a:r>
              <a:rPr lang="en-IN" baseline="0"/>
              <a:t> Funnel on Hired candidates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8E9CAE"/>
          </a:solidFill>
          <a:ln>
            <a:noFill/>
          </a:ln>
          <a:effectLst/>
        </c:spPr>
      </c:pivotFmt>
      <c:pivotFmt>
        <c:idx val="4"/>
        <c:spPr>
          <a:solidFill>
            <a:srgbClr val="D92D20"/>
          </a:solidFill>
          <a:ln>
            <a:noFill/>
          </a:ln>
          <a:effectLst/>
        </c:spPr>
      </c:pivotFmt>
    </c:pivotFmts>
    <c:plotArea>
      <c:layout/>
      <c:barChart>
        <c:barDir val="bar"/>
        <c:grouping val="clustered"/>
        <c:varyColors val="0"/>
        <c:ser>
          <c:idx val="0"/>
          <c:order val="0"/>
          <c:tx>
            <c:strRef>
              <c:f>Staging_Pivot!$AB$1</c:f>
              <c:strCache>
                <c:ptCount val="1"/>
                <c:pt idx="0">
                  <c:v>Total</c:v>
                </c:pt>
              </c:strCache>
            </c:strRef>
          </c:tx>
          <c:spPr>
            <a:solidFill>
              <a:schemeClr val="accent1"/>
            </a:solidFill>
            <a:ln>
              <a:noFill/>
            </a:ln>
            <a:effectLst/>
          </c:spPr>
          <c:invertIfNegative val="0"/>
          <c:dPt>
            <c:idx val="2"/>
            <c:invertIfNegative val="0"/>
            <c:bubble3D val="0"/>
            <c:spPr>
              <a:solidFill>
                <a:srgbClr val="8E9CAE"/>
              </a:solidFill>
              <a:ln>
                <a:noFill/>
              </a:ln>
              <a:effectLst/>
            </c:spPr>
            <c:extLst>
              <c:ext xmlns:c16="http://schemas.microsoft.com/office/drawing/2014/chart" uri="{C3380CC4-5D6E-409C-BE32-E72D297353CC}">
                <c16:uniqueId val="{00000001-18A8-4B93-AECE-88C779F015A2}"/>
              </c:ext>
            </c:extLst>
          </c:dPt>
          <c:dPt>
            <c:idx val="3"/>
            <c:invertIfNegative val="0"/>
            <c:bubble3D val="0"/>
            <c:spPr>
              <a:solidFill>
                <a:srgbClr val="D92D20"/>
              </a:solidFill>
              <a:ln>
                <a:noFill/>
              </a:ln>
              <a:effectLst/>
            </c:spPr>
            <c:extLst>
              <c:ext xmlns:c16="http://schemas.microsoft.com/office/drawing/2014/chart" uri="{C3380CC4-5D6E-409C-BE32-E72D297353CC}">
                <c16:uniqueId val="{00000002-18A8-4B93-AECE-88C779F015A2}"/>
              </c:ext>
            </c:extLst>
          </c:dPt>
          <c:cat>
            <c:strRef>
              <c:f>Staging_Pivot!$AA$2:$AA$8</c:f>
              <c:strCache>
                <c:ptCount val="7"/>
                <c:pt idx="0">
                  <c:v>1-Application Applied</c:v>
                </c:pt>
                <c:pt idx="1">
                  <c:v>2-Recruiter Screen</c:v>
                </c:pt>
                <c:pt idx="2">
                  <c:v>3-Technical Assessment</c:v>
                </c:pt>
                <c:pt idx="3">
                  <c:v>4-Panel Interview</c:v>
                </c:pt>
                <c:pt idx="4">
                  <c:v>5-HR Fit &amp; Negotiation</c:v>
                </c:pt>
                <c:pt idx="5">
                  <c:v>6-Offer Extended</c:v>
                </c:pt>
                <c:pt idx="6">
                  <c:v>7-Hired / Finalized</c:v>
                </c:pt>
              </c:strCache>
            </c:strRef>
          </c:cat>
          <c:val>
            <c:numRef>
              <c:f>Staging_Pivot!$AB$2:$AB$8</c:f>
              <c:numCache>
                <c:formatCode>General</c:formatCode>
                <c:ptCount val="7"/>
                <c:pt idx="0">
                  <c:v>1200</c:v>
                </c:pt>
                <c:pt idx="1">
                  <c:v>897</c:v>
                </c:pt>
                <c:pt idx="2">
                  <c:v>551</c:v>
                </c:pt>
                <c:pt idx="3">
                  <c:v>246</c:v>
                </c:pt>
                <c:pt idx="4">
                  <c:v>109</c:v>
                </c:pt>
                <c:pt idx="5">
                  <c:v>84</c:v>
                </c:pt>
                <c:pt idx="6">
                  <c:v>72</c:v>
                </c:pt>
              </c:numCache>
            </c:numRef>
          </c:val>
          <c:extLst>
            <c:ext xmlns:c16="http://schemas.microsoft.com/office/drawing/2014/chart" uri="{C3380CC4-5D6E-409C-BE32-E72D297353CC}">
              <c16:uniqueId val="{00000000-18A8-4B93-AECE-88C779F015A2}"/>
            </c:ext>
          </c:extLst>
        </c:ser>
        <c:dLbls>
          <c:showLegendKey val="0"/>
          <c:showVal val="0"/>
          <c:showCatName val="0"/>
          <c:showSerName val="0"/>
          <c:showPercent val="0"/>
          <c:showBubbleSize val="0"/>
        </c:dLbls>
        <c:gapWidth val="182"/>
        <c:axId val="1673665040"/>
        <c:axId val="1673659280"/>
      </c:barChart>
      <c:catAx>
        <c:axId val="16736650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659280"/>
        <c:crosses val="autoZero"/>
        <c:auto val="1"/>
        <c:lblAlgn val="ctr"/>
        <c:lblOffset val="100"/>
        <c:noMultiLvlLbl val="0"/>
      </c:catAx>
      <c:valAx>
        <c:axId val="1673659280"/>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665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0</xdr:col>
      <xdr:colOff>19915</xdr:colOff>
      <xdr:row>0</xdr:row>
      <xdr:rowOff>28575</xdr:rowOff>
    </xdr:from>
    <xdr:to>
      <xdr:col>16</xdr:col>
      <xdr:colOff>19049</xdr:colOff>
      <xdr:row>2</xdr:row>
      <xdr:rowOff>66675</xdr:rowOff>
    </xdr:to>
    <xdr:sp macro="" textlink="">
      <xdr:nvSpPr>
        <xdr:cNvPr id="2" name="Rectangle 1">
          <a:extLst>
            <a:ext uri="{FF2B5EF4-FFF2-40B4-BE49-F238E27FC236}">
              <a16:creationId xmlns:a16="http://schemas.microsoft.com/office/drawing/2014/main" id="{0D88CEA4-7EDF-FDBB-8F32-8B4D9E9908C8}"/>
            </a:ext>
          </a:extLst>
        </xdr:cNvPr>
        <xdr:cNvSpPr/>
      </xdr:nvSpPr>
      <xdr:spPr>
        <a:xfrm>
          <a:off x="19915" y="28575"/>
          <a:ext cx="12181609" cy="419100"/>
        </a:xfrm>
        <a:prstGeom prst="rect">
          <a:avLst/>
        </a:prstGeom>
        <a:noFill/>
        <a:ln w="9525">
          <a:solidFill>
            <a:sysClr val="windowText" lastClr="000000"/>
          </a:solidFill>
          <a:extLst>
            <a:ext uri="{C807C97D-BFC1-408E-A445-0C87EB9F89A2}">
              <ask:lineSketchStyleProps xmlns:ask="http://schemas.microsoft.com/office/drawing/2018/sketchyshapes" sd="253508993">
                <a:custGeom>
                  <a:avLst/>
                  <a:gdLst>
                    <a:gd name="connsiteX0" fmla="*/ 0 w 12181609"/>
                    <a:gd name="connsiteY0" fmla="*/ 0 h 419100"/>
                    <a:gd name="connsiteX1" fmla="*/ 458261 w 12181609"/>
                    <a:gd name="connsiteY1" fmla="*/ 0 h 419100"/>
                    <a:gd name="connsiteX2" fmla="*/ 672889 w 12181609"/>
                    <a:gd name="connsiteY2" fmla="*/ 0 h 419100"/>
                    <a:gd name="connsiteX3" fmla="*/ 1496598 w 12181609"/>
                    <a:gd name="connsiteY3" fmla="*/ 0 h 419100"/>
                    <a:gd name="connsiteX4" fmla="*/ 2198490 w 12181609"/>
                    <a:gd name="connsiteY4" fmla="*/ 0 h 419100"/>
                    <a:gd name="connsiteX5" fmla="*/ 2900383 w 12181609"/>
                    <a:gd name="connsiteY5" fmla="*/ 0 h 419100"/>
                    <a:gd name="connsiteX6" fmla="*/ 3480460 w 12181609"/>
                    <a:gd name="connsiteY6" fmla="*/ 0 h 419100"/>
                    <a:gd name="connsiteX7" fmla="*/ 3695088 w 12181609"/>
                    <a:gd name="connsiteY7" fmla="*/ 0 h 419100"/>
                    <a:gd name="connsiteX8" fmla="*/ 4275165 w 12181609"/>
                    <a:gd name="connsiteY8" fmla="*/ 0 h 419100"/>
                    <a:gd name="connsiteX9" fmla="*/ 4611609 w 12181609"/>
                    <a:gd name="connsiteY9" fmla="*/ 0 h 419100"/>
                    <a:gd name="connsiteX10" fmla="*/ 5435318 w 12181609"/>
                    <a:gd name="connsiteY10" fmla="*/ 0 h 419100"/>
                    <a:gd name="connsiteX11" fmla="*/ 6015395 w 12181609"/>
                    <a:gd name="connsiteY11" fmla="*/ 0 h 419100"/>
                    <a:gd name="connsiteX12" fmla="*/ 6717287 w 12181609"/>
                    <a:gd name="connsiteY12" fmla="*/ 0 h 419100"/>
                    <a:gd name="connsiteX13" fmla="*/ 7175548 w 12181609"/>
                    <a:gd name="connsiteY13" fmla="*/ 0 h 419100"/>
                    <a:gd name="connsiteX14" fmla="*/ 7999257 w 12181609"/>
                    <a:gd name="connsiteY14" fmla="*/ 0 h 419100"/>
                    <a:gd name="connsiteX15" fmla="*/ 8701149 w 12181609"/>
                    <a:gd name="connsiteY15" fmla="*/ 0 h 419100"/>
                    <a:gd name="connsiteX16" fmla="*/ 8915778 w 12181609"/>
                    <a:gd name="connsiteY16" fmla="*/ 0 h 419100"/>
                    <a:gd name="connsiteX17" fmla="*/ 9495854 w 12181609"/>
                    <a:gd name="connsiteY17" fmla="*/ 0 h 419100"/>
                    <a:gd name="connsiteX18" fmla="*/ 9832299 w 12181609"/>
                    <a:gd name="connsiteY18" fmla="*/ 0 h 419100"/>
                    <a:gd name="connsiteX19" fmla="*/ 10290559 w 12181609"/>
                    <a:gd name="connsiteY19" fmla="*/ 0 h 419100"/>
                    <a:gd name="connsiteX20" fmla="*/ 10627004 w 12181609"/>
                    <a:gd name="connsiteY20" fmla="*/ 0 h 419100"/>
                    <a:gd name="connsiteX21" fmla="*/ 11085264 w 12181609"/>
                    <a:gd name="connsiteY21" fmla="*/ 0 h 419100"/>
                    <a:gd name="connsiteX22" fmla="*/ 11543525 w 12181609"/>
                    <a:gd name="connsiteY22" fmla="*/ 0 h 419100"/>
                    <a:gd name="connsiteX23" fmla="*/ 12181609 w 12181609"/>
                    <a:gd name="connsiteY23" fmla="*/ 0 h 419100"/>
                    <a:gd name="connsiteX24" fmla="*/ 12181609 w 12181609"/>
                    <a:gd name="connsiteY24" fmla="*/ 419100 h 419100"/>
                    <a:gd name="connsiteX25" fmla="*/ 11357900 w 12181609"/>
                    <a:gd name="connsiteY25" fmla="*/ 419100 h 419100"/>
                    <a:gd name="connsiteX26" fmla="*/ 11143272 w 12181609"/>
                    <a:gd name="connsiteY26" fmla="*/ 419100 h 419100"/>
                    <a:gd name="connsiteX27" fmla="*/ 10806827 w 12181609"/>
                    <a:gd name="connsiteY27" fmla="*/ 419100 h 419100"/>
                    <a:gd name="connsiteX28" fmla="*/ 10592199 w 12181609"/>
                    <a:gd name="connsiteY28" fmla="*/ 419100 h 419100"/>
                    <a:gd name="connsiteX29" fmla="*/ 10377571 w 12181609"/>
                    <a:gd name="connsiteY29" fmla="*/ 419100 h 419100"/>
                    <a:gd name="connsiteX30" fmla="*/ 9797494 w 12181609"/>
                    <a:gd name="connsiteY30" fmla="*/ 419100 h 419100"/>
                    <a:gd name="connsiteX31" fmla="*/ 9582866 w 12181609"/>
                    <a:gd name="connsiteY31" fmla="*/ 419100 h 419100"/>
                    <a:gd name="connsiteX32" fmla="*/ 9124605 w 12181609"/>
                    <a:gd name="connsiteY32" fmla="*/ 419100 h 419100"/>
                    <a:gd name="connsiteX33" fmla="*/ 8909977 w 12181609"/>
                    <a:gd name="connsiteY33" fmla="*/ 419100 h 419100"/>
                    <a:gd name="connsiteX34" fmla="*/ 8208084 w 12181609"/>
                    <a:gd name="connsiteY34" fmla="*/ 419100 h 419100"/>
                    <a:gd name="connsiteX35" fmla="*/ 7993456 w 12181609"/>
                    <a:gd name="connsiteY35" fmla="*/ 419100 h 419100"/>
                    <a:gd name="connsiteX36" fmla="*/ 7657011 w 12181609"/>
                    <a:gd name="connsiteY36" fmla="*/ 419100 h 419100"/>
                    <a:gd name="connsiteX37" fmla="*/ 6833303 w 12181609"/>
                    <a:gd name="connsiteY37" fmla="*/ 419100 h 419100"/>
                    <a:gd name="connsiteX38" fmla="*/ 6131410 w 12181609"/>
                    <a:gd name="connsiteY38" fmla="*/ 419100 h 419100"/>
                    <a:gd name="connsiteX39" fmla="*/ 5916782 w 12181609"/>
                    <a:gd name="connsiteY39" fmla="*/ 419100 h 419100"/>
                    <a:gd name="connsiteX40" fmla="*/ 5702153 w 12181609"/>
                    <a:gd name="connsiteY40" fmla="*/ 419100 h 419100"/>
                    <a:gd name="connsiteX41" fmla="*/ 5365709 w 12181609"/>
                    <a:gd name="connsiteY41" fmla="*/ 419100 h 419100"/>
                    <a:gd name="connsiteX42" fmla="*/ 4785632 w 12181609"/>
                    <a:gd name="connsiteY42" fmla="*/ 419100 h 419100"/>
                    <a:gd name="connsiteX43" fmla="*/ 4083739 w 12181609"/>
                    <a:gd name="connsiteY43" fmla="*/ 419100 h 419100"/>
                    <a:gd name="connsiteX44" fmla="*/ 3625479 w 12181609"/>
                    <a:gd name="connsiteY44" fmla="*/ 419100 h 419100"/>
                    <a:gd name="connsiteX45" fmla="*/ 2801770 w 12181609"/>
                    <a:gd name="connsiteY45" fmla="*/ 419100 h 419100"/>
                    <a:gd name="connsiteX46" fmla="*/ 2587142 w 12181609"/>
                    <a:gd name="connsiteY46" fmla="*/ 419100 h 419100"/>
                    <a:gd name="connsiteX47" fmla="*/ 1763433 w 12181609"/>
                    <a:gd name="connsiteY47" fmla="*/ 419100 h 419100"/>
                    <a:gd name="connsiteX48" fmla="*/ 939724 w 12181609"/>
                    <a:gd name="connsiteY48" fmla="*/ 419100 h 419100"/>
                    <a:gd name="connsiteX49" fmla="*/ 0 w 12181609"/>
                    <a:gd name="connsiteY49" fmla="*/ 419100 h 419100"/>
                    <a:gd name="connsiteX50" fmla="*/ 0 w 12181609"/>
                    <a:gd name="connsiteY50" fmla="*/ 0 h 4191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Lst>
                  <a:rect l="l" t="t" r="r" b="b"/>
                  <a:pathLst>
                    <a:path w="12181609" h="419100" extrusionOk="0">
                      <a:moveTo>
                        <a:pt x="0" y="0"/>
                      </a:moveTo>
                      <a:cubicBezTo>
                        <a:pt x="208065" y="-11050"/>
                        <a:pt x="259849" y="1060"/>
                        <a:pt x="458261" y="0"/>
                      </a:cubicBezTo>
                      <a:cubicBezTo>
                        <a:pt x="656673" y="-1060"/>
                        <a:pt x="588537" y="20724"/>
                        <a:pt x="672889" y="0"/>
                      </a:cubicBezTo>
                      <a:cubicBezTo>
                        <a:pt x="757241" y="-20724"/>
                        <a:pt x="1303698" y="32233"/>
                        <a:pt x="1496598" y="0"/>
                      </a:cubicBezTo>
                      <a:cubicBezTo>
                        <a:pt x="1689498" y="-32233"/>
                        <a:pt x="1919315" y="73474"/>
                        <a:pt x="2198490" y="0"/>
                      </a:cubicBezTo>
                      <a:cubicBezTo>
                        <a:pt x="2477665" y="-73474"/>
                        <a:pt x="2749269" y="44696"/>
                        <a:pt x="2900383" y="0"/>
                      </a:cubicBezTo>
                      <a:cubicBezTo>
                        <a:pt x="3051497" y="-44696"/>
                        <a:pt x="3214800" y="21761"/>
                        <a:pt x="3480460" y="0"/>
                      </a:cubicBezTo>
                      <a:cubicBezTo>
                        <a:pt x="3746120" y="-21761"/>
                        <a:pt x="3644911" y="9321"/>
                        <a:pt x="3695088" y="0"/>
                      </a:cubicBezTo>
                      <a:cubicBezTo>
                        <a:pt x="3745265" y="-9321"/>
                        <a:pt x="4131816" y="28366"/>
                        <a:pt x="4275165" y="0"/>
                      </a:cubicBezTo>
                      <a:cubicBezTo>
                        <a:pt x="4418514" y="-28366"/>
                        <a:pt x="4448570" y="16472"/>
                        <a:pt x="4611609" y="0"/>
                      </a:cubicBezTo>
                      <a:cubicBezTo>
                        <a:pt x="4774648" y="-16472"/>
                        <a:pt x="5143496" y="80541"/>
                        <a:pt x="5435318" y="0"/>
                      </a:cubicBezTo>
                      <a:cubicBezTo>
                        <a:pt x="5727140" y="-80541"/>
                        <a:pt x="5865895" y="29589"/>
                        <a:pt x="6015395" y="0"/>
                      </a:cubicBezTo>
                      <a:cubicBezTo>
                        <a:pt x="6164895" y="-29589"/>
                        <a:pt x="6371208" y="61802"/>
                        <a:pt x="6717287" y="0"/>
                      </a:cubicBezTo>
                      <a:cubicBezTo>
                        <a:pt x="7063366" y="-61802"/>
                        <a:pt x="7021036" y="53376"/>
                        <a:pt x="7175548" y="0"/>
                      </a:cubicBezTo>
                      <a:cubicBezTo>
                        <a:pt x="7330060" y="-53376"/>
                        <a:pt x="7705440" y="19606"/>
                        <a:pt x="7999257" y="0"/>
                      </a:cubicBezTo>
                      <a:cubicBezTo>
                        <a:pt x="8293074" y="-19606"/>
                        <a:pt x="8440157" y="65861"/>
                        <a:pt x="8701149" y="0"/>
                      </a:cubicBezTo>
                      <a:cubicBezTo>
                        <a:pt x="8962141" y="-65861"/>
                        <a:pt x="8830982" y="19158"/>
                        <a:pt x="8915778" y="0"/>
                      </a:cubicBezTo>
                      <a:cubicBezTo>
                        <a:pt x="9000574" y="-19158"/>
                        <a:pt x="9357777" y="57616"/>
                        <a:pt x="9495854" y="0"/>
                      </a:cubicBezTo>
                      <a:cubicBezTo>
                        <a:pt x="9633931" y="-57616"/>
                        <a:pt x="9763251" y="103"/>
                        <a:pt x="9832299" y="0"/>
                      </a:cubicBezTo>
                      <a:cubicBezTo>
                        <a:pt x="9901347" y="-103"/>
                        <a:pt x="10136447" y="41019"/>
                        <a:pt x="10290559" y="0"/>
                      </a:cubicBezTo>
                      <a:cubicBezTo>
                        <a:pt x="10444671" y="-41019"/>
                        <a:pt x="10476751" y="37179"/>
                        <a:pt x="10627004" y="0"/>
                      </a:cubicBezTo>
                      <a:cubicBezTo>
                        <a:pt x="10777258" y="-37179"/>
                        <a:pt x="10938540" y="40774"/>
                        <a:pt x="11085264" y="0"/>
                      </a:cubicBezTo>
                      <a:cubicBezTo>
                        <a:pt x="11231988" y="-40774"/>
                        <a:pt x="11449480" y="17812"/>
                        <a:pt x="11543525" y="0"/>
                      </a:cubicBezTo>
                      <a:cubicBezTo>
                        <a:pt x="11637570" y="-17812"/>
                        <a:pt x="12020736" y="51507"/>
                        <a:pt x="12181609" y="0"/>
                      </a:cubicBezTo>
                      <a:cubicBezTo>
                        <a:pt x="12189951" y="169558"/>
                        <a:pt x="12147593" y="238467"/>
                        <a:pt x="12181609" y="419100"/>
                      </a:cubicBezTo>
                      <a:cubicBezTo>
                        <a:pt x="11778006" y="510908"/>
                        <a:pt x="11570455" y="411589"/>
                        <a:pt x="11357900" y="419100"/>
                      </a:cubicBezTo>
                      <a:cubicBezTo>
                        <a:pt x="11145345" y="426611"/>
                        <a:pt x="11214212" y="400162"/>
                        <a:pt x="11143272" y="419100"/>
                      </a:cubicBezTo>
                      <a:cubicBezTo>
                        <a:pt x="11072332" y="438038"/>
                        <a:pt x="10921590" y="388627"/>
                        <a:pt x="10806827" y="419100"/>
                      </a:cubicBezTo>
                      <a:cubicBezTo>
                        <a:pt x="10692065" y="449573"/>
                        <a:pt x="10694874" y="413520"/>
                        <a:pt x="10592199" y="419100"/>
                      </a:cubicBezTo>
                      <a:cubicBezTo>
                        <a:pt x="10489524" y="424680"/>
                        <a:pt x="10466561" y="401546"/>
                        <a:pt x="10377571" y="419100"/>
                      </a:cubicBezTo>
                      <a:cubicBezTo>
                        <a:pt x="10288581" y="436654"/>
                        <a:pt x="10082884" y="388305"/>
                        <a:pt x="9797494" y="419100"/>
                      </a:cubicBezTo>
                      <a:cubicBezTo>
                        <a:pt x="9512104" y="449895"/>
                        <a:pt x="9681246" y="397311"/>
                        <a:pt x="9582866" y="419100"/>
                      </a:cubicBezTo>
                      <a:cubicBezTo>
                        <a:pt x="9484486" y="440889"/>
                        <a:pt x="9292541" y="375711"/>
                        <a:pt x="9124605" y="419100"/>
                      </a:cubicBezTo>
                      <a:cubicBezTo>
                        <a:pt x="8956669" y="462489"/>
                        <a:pt x="9003744" y="418083"/>
                        <a:pt x="8909977" y="419100"/>
                      </a:cubicBezTo>
                      <a:cubicBezTo>
                        <a:pt x="8816210" y="420117"/>
                        <a:pt x="8481450" y="374237"/>
                        <a:pt x="8208084" y="419100"/>
                      </a:cubicBezTo>
                      <a:cubicBezTo>
                        <a:pt x="7934718" y="463963"/>
                        <a:pt x="8059415" y="416244"/>
                        <a:pt x="7993456" y="419100"/>
                      </a:cubicBezTo>
                      <a:cubicBezTo>
                        <a:pt x="7927497" y="421956"/>
                        <a:pt x="7816995" y="418577"/>
                        <a:pt x="7657011" y="419100"/>
                      </a:cubicBezTo>
                      <a:cubicBezTo>
                        <a:pt x="7497027" y="419623"/>
                        <a:pt x="7121482" y="403204"/>
                        <a:pt x="6833303" y="419100"/>
                      </a:cubicBezTo>
                      <a:cubicBezTo>
                        <a:pt x="6545124" y="434996"/>
                        <a:pt x="6350323" y="368054"/>
                        <a:pt x="6131410" y="419100"/>
                      </a:cubicBezTo>
                      <a:cubicBezTo>
                        <a:pt x="5912497" y="470146"/>
                        <a:pt x="5988152" y="402483"/>
                        <a:pt x="5916782" y="419100"/>
                      </a:cubicBezTo>
                      <a:cubicBezTo>
                        <a:pt x="5845412" y="435717"/>
                        <a:pt x="5789540" y="395346"/>
                        <a:pt x="5702153" y="419100"/>
                      </a:cubicBezTo>
                      <a:cubicBezTo>
                        <a:pt x="5614766" y="442854"/>
                        <a:pt x="5496990" y="383323"/>
                        <a:pt x="5365709" y="419100"/>
                      </a:cubicBezTo>
                      <a:cubicBezTo>
                        <a:pt x="5234428" y="454877"/>
                        <a:pt x="5034299" y="394692"/>
                        <a:pt x="4785632" y="419100"/>
                      </a:cubicBezTo>
                      <a:cubicBezTo>
                        <a:pt x="4536965" y="443508"/>
                        <a:pt x="4377352" y="414412"/>
                        <a:pt x="4083739" y="419100"/>
                      </a:cubicBezTo>
                      <a:cubicBezTo>
                        <a:pt x="3790126" y="423788"/>
                        <a:pt x="3809418" y="384308"/>
                        <a:pt x="3625479" y="419100"/>
                      </a:cubicBezTo>
                      <a:cubicBezTo>
                        <a:pt x="3441540" y="453892"/>
                        <a:pt x="3009521" y="334980"/>
                        <a:pt x="2801770" y="419100"/>
                      </a:cubicBezTo>
                      <a:cubicBezTo>
                        <a:pt x="2594019" y="503220"/>
                        <a:pt x="2687777" y="413042"/>
                        <a:pt x="2587142" y="419100"/>
                      </a:cubicBezTo>
                      <a:cubicBezTo>
                        <a:pt x="2486507" y="425158"/>
                        <a:pt x="2141809" y="355791"/>
                        <a:pt x="1763433" y="419100"/>
                      </a:cubicBezTo>
                      <a:cubicBezTo>
                        <a:pt x="1385057" y="482409"/>
                        <a:pt x="1228371" y="341789"/>
                        <a:pt x="939724" y="419100"/>
                      </a:cubicBezTo>
                      <a:cubicBezTo>
                        <a:pt x="651077" y="496411"/>
                        <a:pt x="406186" y="360704"/>
                        <a:pt x="0" y="419100"/>
                      </a:cubicBezTo>
                      <a:cubicBezTo>
                        <a:pt x="-9381" y="213822"/>
                        <a:pt x="6872" y="188403"/>
                        <a:pt x="0" y="0"/>
                      </a:cubicBezTo>
                      <a:close/>
                    </a:path>
                  </a:pathLst>
                </a:custGeom>
                <ask:type>
                  <ask:lineSketchNone/>
                </ask:type>
              </ask:lineSketchStyleProps>
            </a:ext>
          </a:extLst>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accent1"/>
              </a:solidFill>
            </a:rPr>
            <a:t>Talent Acquisition &amp; Pipeline Conversion Console</a:t>
          </a:r>
        </a:p>
      </xdr:txBody>
    </xdr:sp>
    <xdr:clientData/>
  </xdr:twoCellAnchor>
  <xdr:twoCellAnchor editAs="absolute">
    <xdr:from>
      <xdr:col>0</xdr:col>
      <xdr:colOff>57150</xdr:colOff>
      <xdr:row>2</xdr:row>
      <xdr:rowOff>95250</xdr:rowOff>
    </xdr:from>
    <xdr:to>
      <xdr:col>1</xdr:col>
      <xdr:colOff>428625</xdr:colOff>
      <xdr:row>6</xdr:row>
      <xdr:rowOff>171450</xdr:rowOff>
    </xdr:to>
    <xdr:grpSp>
      <xdr:nvGrpSpPr>
        <xdr:cNvPr id="5" name="Group 4">
          <a:extLst>
            <a:ext uri="{FF2B5EF4-FFF2-40B4-BE49-F238E27FC236}">
              <a16:creationId xmlns:a16="http://schemas.microsoft.com/office/drawing/2014/main" id="{B069BA41-603C-C2CC-4A21-632066EE643F}"/>
            </a:ext>
          </a:extLst>
        </xdr:cNvPr>
        <xdr:cNvGrpSpPr/>
      </xdr:nvGrpSpPr>
      <xdr:grpSpPr>
        <a:xfrm>
          <a:off x="57150" y="476250"/>
          <a:ext cx="1276350" cy="838200"/>
          <a:chOff x="57150" y="476250"/>
          <a:chExt cx="1276350" cy="838200"/>
        </a:xfrm>
      </xdr:grpSpPr>
      <xdr:sp macro="" textlink="Staging_Pivot!A12">
        <xdr:nvSpPr>
          <xdr:cNvPr id="3" name="Rectangle: Rounded Corners 2">
            <a:extLst>
              <a:ext uri="{FF2B5EF4-FFF2-40B4-BE49-F238E27FC236}">
                <a16:creationId xmlns:a16="http://schemas.microsoft.com/office/drawing/2014/main" id="{9A0D7F4E-CCC4-0EF9-D4F8-104CE72DC6D4}"/>
              </a:ext>
            </a:extLst>
          </xdr:cNvPr>
          <xdr:cNvSpPr/>
        </xdr:nvSpPr>
        <xdr:spPr>
          <a:xfrm>
            <a:off x="57150" y="476250"/>
            <a:ext cx="1276350" cy="838200"/>
          </a:xfrm>
          <a:prstGeom prst="roundRect">
            <a:avLst/>
          </a:prstGeom>
          <a:noFill/>
          <a:ln>
            <a:solidFill>
              <a:schemeClr val="tx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nchorCtr="1"/>
          <a:lstStyle/>
          <a:p>
            <a:pPr algn="l"/>
            <a:fld id="{B644F868-EF9E-4A6E-B417-0EF41AA51686}" type="TxLink">
              <a:rPr lang="en-US" sz="2400" b="1" i="0" u="none" strike="noStrike">
                <a:solidFill>
                  <a:srgbClr val="8E9CAE"/>
                </a:solidFill>
                <a:latin typeface="Calibri"/>
                <a:cs typeface="Calibri"/>
              </a:rPr>
              <a:pPr algn="l"/>
              <a:t>50</a:t>
            </a:fld>
            <a:endParaRPr lang="en-IN" sz="2400" b="1">
              <a:solidFill>
                <a:srgbClr val="8E9CAE"/>
              </a:solidFill>
            </a:endParaRPr>
          </a:p>
        </xdr:txBody>
      </xdr:sp>
      <xdr:sp macro="" textlink="">
        <xdr:nvSpPr>
          <xdr:cNvPr id="4" name="TextBox 3">
            <a:extLst>
              <a:ext uri="{FF2B5EF4-FFF2-40B4-BE49-F238E27FC236}">
                <a16:creationId xmlns:a16="http://schemas.microsoft.com/office/drawing/2014/main" id="{C5EE5D9F-2C06-8C22-F76E-8CD28F0ED127}"/>
              </a:ext>
            </a:extLst>
          </xdr:cNvPr>
          <xdr:cNvSpPr txBox="1"/>
        </xdr:nvSpPr>
        <xdr:spPr>
          <a:xfrm>
            <a:off x="57150" y="552450"/>
            <a:ext cx="127634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r>
              <a:rPr lang="en-IN" sz="1100" b="1">
                <a:solidFill>
                  <a:srgbClr val="8E9CAE"/>
                </a:solidFill>
              </a:rPr>
              <a:t>Total Requisitions</a:t>
            </a:r>
          </a:p>
        </xdr:txBody>
      </xdr:sp>
    </xdr:grpSp>
    <xdr:clientData/>
  </xdr:twoCellAnchor>
  <xdr:twoCellAnchor editAs="absolute">
    <xdr:from>
      <xdr:col>2</xdr:col>
      <xdr:colOff>180975</xdr:colOff>
      <xdr:row>2</xdr:row>
      <xdr:rowOff>95250</xdr:rowOff>
    </xdr:from>
    <xdr:to>
      <xdr:col>3</xdr:col>
      <xdr:colOff>914400</xdr:colOff>
      <xdr:row>6</xdr:row>
      <xdr:rowOff>171450</xdr:rowOff>
    </xdr:to>
    <xdr:grpSp>
      <xdr:nvGrpSpPr>
        <xdr:cNvPr id="6" name="Group 5">
          <a:extLst>
            <a:ext uri="{FF2B5EF4-FFF2-40B4-BE49-F238E27FC236}">
              <a16:creationId xmlns:a16="http://schemas.microsoft.com/office/drawing/2014/main" id="{D6845C6C-AB5E-43CD-AE55-FD50BA06727F}"/>
            </a:ext>
          </a:extLst>
        </xdr:cNvPr>
        <xdr:cNvGrpSpPr/>
      </xdr:nvGrpSpPr>
      <xdr:grpSpPr>
        <a:xfrm>
          <a:off x="1905000" y="476250"/>
          <a:ext cx="1276350" cy="838200"/>
          <a:chOff x="57150" y="476250"/>
          <a:chExt cx="1276350" cy="838200"/>
        </a:xfrm>
      </xdr:grpSpPr>
      <xdr:sp macro="" textlink="Staging_Pivot!B12">
        <xdr:nvSpPr>
          <xdr:cNvPr id="7" name="Rectangle: Rounded Corners 6">
            <a:extLst>
              <a:ext uri="{FF2B5EF4-FFF2-40B4-BE49-F238E27FC236}">
                <a16:creationId xmlns:a16="http://schemas.microsoft.com/office/drawing/2014/main" id="{5282690D-401E-69C0-C04C-0F67ADED8098}"/>
              </a:ext>
            </a:extLst>
          </xdr:cNvPr>
          <xdr:cNvSpPr/>
        </xdr:nvSpPr>
        <xdr:spPr>
          <a:xfrm>
            <a:off x="57150" y="476250"/>
            <a:ext cx="1276350" cy="838200"/>
          </a:xfrm>
          <a:prstGeom prst="roundRect">
            <a:avLst/>
          </a:prstGeom>
          <a:noFill/>
          <a:ln>
            <a:solidFill>
              <a:schemeClr val="tx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nchorCtr="1"/>
          <a:lstStyle/>
          <a:p>
            <a:pPr algn="l"/>
            <a:fld id="{F35A1185-0D5F-478C-8295-D972653E5A70}" type="TxLink">
              <a:rPr lang="en-US" sz="2400" b="1" i="0" u="none" strike="noStrike">
                <a:solidFill>
                  <a:srgbClr val="8E9CAE"/>
                </a:solidFill>
                <a:latin typeface="Calibri"/>
                <a:cs typeface="Calibri"/>
              </a:rPr>
              <a:pPr algn="l"/>
              <a:t>1200</a:t>
            </a:fld>
            <a:endParaRPr lang="en-IN" sz="2400" b="1">
              <a:solidFill>
                <a:srgbClr val="8E9CAE"/>
              </a:solidFill>
            </a:endParaRPr>
          </a:p>
        </xdr:txBody>
      </xdr:sp>
      <xdr:sp macro="" textlink="">
        <xdr:nvSpPr>
          <xdr:cNvPr id="8" name="TextBox 7">
            <a:extLst>
              <a:ext uri="{FF2B5EF4-FFF2-40B4-BE49-F238E27FC236}">
                <a16:creationId xmlns:a16="http://schemas.microsoft.com/office/drawing/2014/main" id="{1C67D941-C187-3C7E-82E5-0FD15E9049EE}"/>
              </a:ext>
            </a:extLst>
          </xdr:cNvPr>
          <xdr:cNvSpPr txBox="1"/>
        </xdr:nvSpPr>
        <xdr:spPr>
          <a:xfrm>
            <a:off x="57150" y="552450"/>
            <a:ext cx="127634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r>
              <a:rPr lang="en-IN" sz="1100" b="1">
                <a:solidFill>
                  <a:srgbClr val="8E9CAE"/>
                </a:solidFill>
              </a:rPr>
              <a:t>Total Applications</a:t>
            </a:r>
          </a:p>
        </xdr:txBody>
      </xdr:sp>
    </xdr:grpSp>
    <xdr:clientData/>
  </xdr:twoCellAnchor>
  <xdr:twoCellAnchor editAs="absolute">
    <xdr:from>
      <xdr:col>4</xdr:col>
      <xdr:colOff>400050</xdr:colOff>
      <xdr:row>1</xdr:row>
      <xdr:rowOff>152400</xdr:rowOff>
    </xdr:from>
    <xdr:to>
      <xdr:col>6</xdr:col>
      <xdr:colOff>76199</xdr:colOff>
      <xdr:row>6</xdr:row>
      <xdr:rowOff>171450</xdr:rowOff>
    </xdr:to>
    <xdr:grpSp>
      <xdr:nvGrpSpPr>
        <xdr:cNvPr id="15" name="Group 14">
          <a:extLst>
            <a:ext uri="{FF2B5EF4-FFF2-40B4-BE49-F238E27FC236}">
              <a16:creationId xmlns:a16="http://schemas.microsoft.com/office/drawing/2014/main" id="{EE0C0AB1-6585-4881-D56B-E22EC2F415B6}"/>
            </a:ext>
          </a:extLst>
        </xdr:cNvPr>
        <xdr:cNvGrpSpPr/>
      </xdr:nvGrpSpPr>
      <xdr:grpSpPr>
        <a:xfrm>
          <a:off x="3800475" y="342900"/>
          <a:ext cx="1285874" cy="971550"/>
          <a:chOff x="57150" y="342900"/>
          <a:chExt cx="1285874" cy="971550"/>
        </a:xfrm>
      </xdr:grpSpPr>
      <xdr:sp macro="" textlink="Staging_Pivot!C12">
        <xdr:nvSpPr>
          <xdr:cNvPr id="16" name="Rectangle: Rounded Corners 15">
            <a:extLst>
              <a:ext uri="{FF2B5EF4-FFF2-40B4-BE49-F238E27FC236}">
                <a16:creationId xmlns:a16="http://schemas.microsoft.com/office/drawing/2014/main" id="{B3137EC8-D038-6770-7698-814D1BDCB702}"/>
              </a:ext>
            </a:extLst>
          </xdr:cNvPr>
          <xdr:cNvSpPr/>
        </xdr:nvSpPr>
        <xdr:spPr>
          <a:xfrm>
            <a:off x="57150" y="476250"/>
            <a:ext cx="1276350" cy="838200"/>
          </a:xfrm>
          <a:prstGeom prst="roundRect">
            <a:avLst/>
          </a:prstGeom>
          <a:noFill/>
          <a:ln>
            <a:solidFill>
              <a:schemeClr val="tx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nchorCtr="1"/>
          <a:lstStyle/>
          <a:p>
            <a:pPr algn="l"/>
            <a:fld id="{2F4AB48F-83A6-4AAE-A435-CB27C7EA7F05}" type="TxLink">
              <a:rPr lang="en-US" sz="2400" b="1" i="0" u="none" strike="noStrike">
                <a:solidFill>
                  <a:srgbClr val="8E9CAE"/>
                </a:solidFill>
                <a:latin typeface="Calibri"/>
                <a:cs typeface="Calibri"/>
              </a:rPr>
              <a:pPr algn="l"/>
              <a:t>6.00%</a:t>
            </a:fld>
            <a:endParaRPr lang="en-IN" sz="2400" b="1">
              <a:solidFill>
                <a:srgbClr val="8E9CAE"/>
              </a:solidFill>
            </a:endParaRPr>
          </a:p>
        </xdr:txBody>
      </xdr:sp>
      <xdr:sp macro="" textlink="">
        <xdr:nvSpPr>
          <xdr:cNvPr id="17" name="TextBox 16">
            <a:extLst>
              <a:ext uri="{FF2B5EF4-FFF2-40B4-BE49-F238E27FC236}">
                <a16:creationId xmlns:a16="http://schemas.microsoft.com/office/drawing/2014/main" id="{3BE23BC7-46A2-CF46-AF74-467047072605}"/>
              </a:ext>
            </a:extLst>
          </xdr:cNvPr>
          <xdr:cNvSpPr txBox="1"/>
        </xdr:nvSpPr>
        <xdr:spPr>
          <a:xfrm>
            <a:off x="66675" y="342900"/>
            <a:ext cx="1276349"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r>
              <a:rPr lang="en-IN" sz="1100" b="1">
                <a:solidFill>
                  <a:srgbClr val="8E9CAE"/>
                </a:solidFill>
              </a:rPr>
              <a:t>Overall Hire</a:t>
            </a:r>
            <a:r>
              <a:rPr lang="en-IN" sz="1100" b="1" baseline="0">
                <a:solidFill>
                  <a:srgbClr val="8E9CAE"/>
                </a:solidFill>
              </a:rPr>
              <a:t> Conversion</a:t>
            </a:r>
            <a:endParaRPr lang="en-IN" sz="1100" b="1">
              <a:solidFill>
                <a:srgbClr val="8E9CAE"/>
              </a:solidFill>
            </a:endParaRPr>
          </a:p>
        </xdr:txBody>
      </xdr:sp>
    </xdr:grpSp>
    <xdr:clientData/>
  </xdr:twoCellAnchor>
  <xdr:twoCellAnchor editAs="absolute">
    <xdr:from>
      <xdr:col>6</xdr:col>
      <xdr:colOff>638175</xdr:colOff>
      <xdr:row>2</xdr:row>
      <xdr:rowOff>95250</xdr:rowOff>
    </xdr:from>
    <xdr:to>
      <xdr:col>7</xdr:col>
      <xdr:colOff>1171574</xdr:colOff>
      <xdr:row>6</xdr:row>
      <xdr:rowOff>171450</xdr:rowOff>
    </xdr:to>
    <xdr:grpSp>
      <xdr:nvGrpSpPr>
        <xdr:cNvPr id="18" name="Group 17">
          <a:extLst>
            <a:ext uri="{FF2B5EF4-FFF2-40B4-BE49-F238E27FC236}">
              <a16:creationId xmlns:a16="http://schemas.microsoft.com/office/drawing/2014/main" id="{86771420-A49B-E942-DE6E-5ECF29865267}"/>
            </a:ext>
          </a:extLst>
        </xdr:cNvPr>
        <xdr:cNvGrpSpPr>
          <a:grpSpLocks/>
        </xdr:cNvGrpSpPr>
      </xdr:nvGrpSpPr>
      <xdr:grpSpPr>
        <a:xfrm>
          <a:off x="5648325" y="476250"/>
          <a:ext cx="1285874" cy="838200"/>
          <a:chOff x="57150" y="476250"/>
          <a:chExt cx="1285874" cy="838200"/>
        </a:xfrm>
      </xdr:grpSpPr>
      <xdr:sp macro="" textlink="Staging_Pivot!D12">
        <xdr:nvSpPr>
          <xdr:cNvPr id="19" name="Rectangle: Rounded Corners 18">
            <a:extLst>
              <a:ext uri="{FF2B5EF4-FFF2-40B4-BE49-F238E27FC236}">
                <a16:creationId xmlns:a16="http://schemas.microsoft.com/office/drawing/2014/main" id="{298B1339-E0AA-CBDE-9FCF-4CC27E86A25B}"/>
              </a:ext>
            </a:extLst>
          </xdr:cNvPr>
          <xdr:cNvSpPr/>
        </xdr:nvSpPr>
        <xdr:spPr>
          <a:xfrm>
            <a:off x="57150" y="476250"/>
            <a:ext cx="1276350" cy="838200"/>
          </a:xfrm>
          <a:prstGeom prst="roundRect">
            <a:avLst/>
          </a:prstGeom>
          <a:noFill/>
          <a:ln>
            <a:solidFill>
              <a:schemeClr val="tx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nchorCtr="1"/>
          <a:lstStyle/>
          <a:p>
            <a:pPr algn="l"/>
            <a:fld id="{0AAC9A44-BD72-4E15-AA7E-5B1ED0B62EEB}" type="TxLink">
              <a:rPr lang="en-US" sz="2400" b="1" i="0" u="none" strike="noStrike">
                <a:solidFill>
                  <a:srgbClr val="8E9CAE"/>
                </a:solidFill>
                <a:latin typeface="Calibri"/>
                <a:cs typeface="Calibri"/>
              </a:rPr>
              <a:pPr algn="l"/>
              <a:t>23.17</a:t>
            </a:fld>
            <a:endParaRPr lang="en-IN" sz="2400" b="1">
              <a:solidFill>
                <a:srgbClr val="8E9CAE"/>
              </a:solidFill>
            </a:endParaRPr>
          </a:p>
        </xdr:txBody>
      </xdr:sp>
      <xdr:sp macro="" textlink="">
        <xdr:nvSpPr>
          <xdr:cNvPr id="20" name="TextBox 19">
            <a:extLst>
              <a:ext uri="{FF2B5EF4-FFF2-40B4-BE49-F238E27FC236}">
                <a16:creationId xmlns:a16="http://schemas.microsoft.com/office/drawing/2014/main" id="{938494E8-615C-AEA8-67F8-A3F7051ABE80}"/>
              </a:ext>
            </a:extLst>
          </xdr:cNvPr>
          <xdr:cNvSpPr txBox="1"/>
        </xdr:nvSpPr>
        <xdr:spPr>
          <a:xfrm>
            <a:off x="66675" y="542925"/>
            <a:ext cx="127634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r>
              <a:rPr lang="en-IN" sz="1100" b="1">
                <a:solidFill>
                  <a:srgbClr val="8E9CAE"/>
                </a:solidFill>
              </a:rPr>
              <a:t>Avg. Time to Hire</a:t>
            </a:r>
          </a:p>
        </xdr:txBody>
      </xdr:sp>
    </xdr:grpSp>
    <xdr:clientData/>
  </xdr:twoCellAnchor>
  <xdr:twoCellAnchor editAs="absolute">
    <xdr:from>
      <xdr:col>5</xdr:col>
      <xdr:colOff>381000</xdr:colOff>
      <xdr:row>7</xdr:row>
      <xdr:rowOff>95250</xdr:rowOff>
    </xdr:from>
    <xdr:to>
      <xdr:col>11</xdr:col>
      <xdr:colOff>590550</xdr:colOff>
      <xdr:row>21</xdr:row>
      <xdr:rowOff>171450</xdr:rowOff>
    </xdr:to>
    <xdr:graphicFrame macro="">
      <xdr:nvGraphicFramePr>
        <xdr:cNvPr id="22" name="Chart 21">
          <a:extLst>
            <a:ext uri="{FF2B5EF4-FFF2-40B4-BE49-F238E27FC236}">
              <a16:creationId xmlns:a16="http://schemas.microsoft.com/office/drawing/2014/main" id="{F9DDEE89-65D3-486A-8A4A-A7EB5B63F3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7</xdr:row>
      <xdr:rowOff>95250</xdr:rowOff>
    </xdr:from>
    <xdr:to>
      <xdr:col>5</xdr:col>
      <xdr:colOff>171450</xdr:colOff>
      <xdr:row>21</xdr:row>
      <xdr:rowOff>171450</xdr:rowOff>
    </xdr:to>
    <xdr:graphicFrame macro="">
      <xdr:nvGraphicFramePr>
        <xdr:cNvPr id="23" name="Chart 22">
          <a:extLst>
            <a:ext uri="{FF2B5EF4-FFF2-40B4-BE49-F238E27FC236}">
              <a16:creationId xmlns:a16="http://schemas.microsoft.com/office/drawing/2014/main" id="{9D5AC09A-3294-4B73-A019-3B12BEF0D2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800100</xdr:colOff>
      <xdr:row>9</xdr:row>
      <xdr:rowOff>47625</xdr:rowOff>
    </xdr:from>
    <xdr:to>
      <xdr:col>16</xdr:col>
      <xdr:colOff>28575</xdr:colOff>
      <xdr:row>17</xdr:row>
      <xdr:rowOff>57150</xdr:rowOff>
    </xdr:to>
    <mc:AlternateContent xmlns:mc="http://schemas.openxmlformats.org/markup-compatibility/2006" xmlns:a14="http://schemas.microsoft.com/office/drawing/2010/main">
      <mc:Choice Requires="a14">
        <xdr:graphicFrame macro="">
          <xdr:nvGraphicFramePr>
            <xdr:cNvPr id="24" name="Recruiter_Name">
              <a:extLst>
                <a:ext uri="{FF2B5EF4-FFF2-40B4-BE49-F238E27FC236}">
                  <a16:creationId xmlns:a16="http://schemas.microsoft.com/office/drawing/2014/main" id="{2DB19C7F-8AEB-A17C-D2D1-A462F991F127}"/>
                </a:ext>
              </a:extLst>
            </xdr:cNvPr>
            <xdr:cNvGraphicFramePr/>
          </xdr:nvGraphicFramePr>
          <xdr:xfrm>
            <a:off x="0" y="0"/>
            <a:ext cx="0" cy="0"/>
          </xdr:xfrm>
          <a:graphic>
            <a:graphicData uri="http://schemas.microsoft.com/office/drawing/2010/slicer">
              <sle:slicer xmlns:sle="http://schemas.microsoft.com/office/drawing/2010/slicer" name="Recruiter_Name"/>
            </a:graphicData>
          </a:graphic>
        </xdr:graphicFrame>
      </mc:Choice>
      <mc:Fallback xmlns="">
        <xdr:sp macro="" textlink="">
          <xdr:nvSpPr>
            <xdr:cNvPr id="0" name=""/>
            <xdr:cNvSpPr>
              <a:spLocks noTextEdit="1"/>
            </xdr:cNvSpPr>
          </xdr:nvSpPr>
          <xdr:spPr>
            <a:xfrm>
              <a:off x="9563100" y="17621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8</xdr:col>
      <xdr:colOff>609599</xdr:colOff>
      <xdr:row>2</xdr:row>
      <xdr:rowOff>85725</xdr:rowOff>
    </xdr:from>
    <xdr:to>
      <xdr:col>11</xdr:col>
      <xdr:colOff>542925</xdr:colOff>
      <xdr:row>7</xdr:row>
      <xdr:rowOff>57150</xdr:rowOff>
    </xdr:to>
    <mc:AlternateContent xmlns:mc="http://schemas.openxmlformats.org/markup-compatibility/2006" xmlns:a14="http://schemas.microsoft.com/office/drawing/2010/main">
      <mc:Choice Requires="a14">
        <xdr:graphicFrame macro="">
          <xdr:nvGraphicFramePr>
            <xdr:cNvPr id="25" name="Seniority">
              <a:extLst>
                <a:ext uri="{FF2B5EF4-FFF2-40B4-BE49-F238E27FC236}">
                  <a16:creationId xmlns:a16="http://schemas.microsoft.com/office/drawing/2014/main" id="{F365BF90-BB80-9C3F-A353-E2CE8FC7C5A3}"/>
                </a:ext>
              </a:extLst>
            </xdr:cNvPr>
            <xdr:cNvGraphicFramePr/>
          </xdr:nvGraphicFramePr>
          <xdr:xfrm>
            <a:off x="0" y="0"/>
            <a:ext cx="0" cy="0"/>
          </xdr:xfrm>
          <a:graphic>
            <a:graphicData uri="http://schemas.microsoft.com/office/drawing/2010/slicer">
              <sle:slicer xmlns:sle="http://schemas.microsoft.com/office/drawing/2010/slicer" name="Seniority"/>
            </a:graphicData>
          </a:graphic>
        </xdr:graphicFrame>
      </mc:Choice>
      <mc:Fallback xmlns="">
        <xdr:sp macro="" textlink="">
          <xdr:nvSpPr>
            <xdr:cNvPr id="0" name=""/>
            <xdr:cNvSpPr>
              <a:spLocks noTextEdit="1"/>
            </xdr:cNvSpPr>
          </xdr:nvSpPr>
          <xdr:spPr>
            <a:xfrm>
              <a:off x="7572374" y="466725"/>
              <a:ext cx="1733551" cy="923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11</xdr:col>
      <xdr:colOff>800099</xdr:colOff>
      <xdr:row>2</xdr:row>
      <xdr:rowOff>85726</xdr:rowOff>
    </xdr:from>
    <xdr:to>
      <xdr:col>16</xdr:col>
      <xdr:colOff>38099</xdr:colOff>
      <xdr:row>9</xdr:row>
      <xdr:rowOff>0</xdr:rowOff>
    </xdr:to>
    <mc:AlternateContent xmlns:mc="http://schemas.openxmlformats.org/markup-compatibility/2006" xmlns:a14="http://schemas.microsoft.com/office/drawing/2010/main">
      <mc:Choice Requires="a14">
        <xdr:graphicFrame macro="">
          <xdr:nvGraphicFramePr>
            <xdr:cNvPr id="26" name="Department">
              <a:extLst>
                <a:ext uri="{FF2B5EF4-FFF2-40B4-BE49-F238E27FC236}">
                  <a16:creationId xmlns:a16="http://schemas.microsoft.com/office/drawing/2014/main" id="{BAC805EB-A30B-6622-210F-03349C44F30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563099" y="466726"/>
              <a:ext cx="2657475" cy="11525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hanshu" refreshedDate="46236.514927314813" backgroundQuery="1" createdVersion="8" refreshedVersion="8" minRefreshableVersion="3" recordCount="0" supportSubquery="1" supportAdvancedDrill="1" xr:uid="{91C1AD0D-F682-47BF-9774-CE9E330D7B48}">
  <cacheSource type="external" connectionId="1"/>
  <cacheFields count="7">
    <cacheField name="[Measures].[Total Job Requisitions]" caption="Total Job Requisitions" numFmtId="0" hierarchy="37" level="32767"/>
    <cacheField name="[Measures].[Total Applications]" caption="Total Applications" numFmtId="0" hierarchy="38" level="32767"/>
    <cacheField name="[Measures].[Overall Hire Conversion]" caption="Overall Hire Conversion" numFmtId="0" hierarchy="40" level="32767"/>
    <cacheField name="[Measures].[Avg Time to Hire]" caption="Avg Time to Hire" numFmtId="0" hierarchy="43" level="32767"/>
    <cacheField name="[Recruiters].[Recruiter_Name].[Recruiter_Name]" caption="Recruiter_Name" numFmtId="0" hierarchy="25" level="1">
      <sharedItems containsSemiMixedTypes="0" containsNonDate="0" containsString="0"/>
    </cacheField>
    <cacheField name="[Jobs].[Department].[Department]" caption="Department" numFmtId="0" hierarchy="17" level="1">
      <sharedItems containsSemiMixedTypes="0" containsNonDate="0" containsString="0"/>
    </cacheField>
    <cacheField name="[Recruiters].[Seniority].[Seniority]" caption="Seniority" numFmtId="0" hierarchy="27" level="1">
      <sharedItems containsSemiMixedTypes="0" containsNonDate="0" containsString="0"/>
    </cacheField>
  </cacheFields>
  <cacheHierarchies count="52">
    <cacheHierarchy uniqueName="[Applications].[ApplicationID]" caption="ApplicationID" attribute="1" defaultMemberUniqueName="[Applications].[ApplicationID].[All]" allUniqueName="[Applications].[ApplicationID].[All]" dimensionUniqueName="[Applications]" displayFolder="" count="0" memberValueDatatype="130" unbalanced="0"/>
    <cacheHierarchy uniqueName="[Applications].[CandidateID]" caption="CandidateID" attribute="1" defaultMemberUniqueName="[Applications].[CandidateID].[All]" allUniqueName="[Applications].[CandidateID].[All]" dimensionUniqueName="[Applications]" displayFolder="" count="0" memberValueDatatype="130" unbalanced="0"/>
    <cacheHierarchy uniqueName="[Applications].[JobID]" caption="JobID" attribute="1" defaultMemberUniqueName="[Applications].[JobID].[All]" allUniqueName="[Applications].[JobID].[All]" dimensionUniqueName="[Applications]" displayFolder="" count="0" memberValueDatatype="130" unbalanced="0"/>
    <cacheHierarchy uniqueName="[Applications].[RecruiterID]" caption="RecruiterID" attribute="1" defaultMemberUniqueName="[Applications].[RecruiterID].[All]" allUniqueName="[Applications].[RecruiterID].[All]" dimensionUniqueName="[Applications]" displayFolder="" count="0" memberValueDatatype="130" unbalanced="0"/>
    <cacheHierarchy uniqueName="[Applications].[Application_Date]" caption="Application_Date" attribute="1" defaultMemberUniqueName="[Applications].[Application_Date].[All]" allUniqueName="[Applications].[Application_Date].[All]" dimensionUniqueName="[Applications]" displayFolder="" count="0" memberValueDatatype="130" unbalanced="0"/>
    <cacheHierarchy uniqueName="[Applications].[Current_StageID]" caption="Current_StageID" attribute="1" defaultMemberUniqueName="[Applications].[Current_StageID].[All]" allUniqueName="[Applications].[Current_StageID].[All]" dimensionUniqueName="[Applications]" displayFolder="" count="0" memberValueDatatype="20" unbalanced="0"/>
    <cacheHierarchy uniqueName="[Applications].[Final_Status]" caption="Final_Status" attribute="1" defaultMemberUniqueName="[Applications].[Final_Status].[All]" allUniqueName="[Applications].[Final_Status].[All]" dimensionUniqueName="[Applications]" displayFolder="" count="0" memberValueDatatype="130" unbalanced="0"/>
    <cacheHierarchy uniqueName="[Applications].[Assessment_Score]" caption="Assessment_Score" attribute="1" defaultMemberUniqueName="[Applications].[Assessment_Score].[All]" allUniqueName="[Applications].[Assessment_Score].[All]" dimensionUniqueName="[Applications]" displayFolder="" count="0" memberValueDatatype="20" unbalanced="0"/>
    <cacheHierarchy uniqueName="[Applications].[Interview_Score]" caption="Interview_Score" attribute="1" defaultMemberUniqueName="[Applications].[Interview_Score].[All]" allUniqueName="[Applications].[Interview_Score].[All]" dimensionUniqueName="[Applications]" displayFolder="" count="0" memberValueDatatype="20" unbalanced="0"/>
    <cacheHierarchy uniqueName="[Applications].[Time_to_Hire_Days]" caption="Time_to_Hire_Days" attribute="1" defaultMemberUniqueName="[Applications].[Time_to_Hire_Days].[All]" allUniqueName="[Applications].[Time_to_Hire_Days].[All]" dimensionUniqueName="[Applications]" displayFolder="" count="0" memberValueDatatype="20" unbalanced="0"/>
    <cacheHierarchy uniqueName="[Applications].[Rejection_Reason]" caption="Rejection_Reason" attribute="1" defaultMemberUniqueName="[Applications].[Rejection_Reason].[All]" allUniqueName="[Applications].[Rejection_Reason].[All]" dimensionUniqueName="[Applications]" displayFolder="" count="0" memberValueDatatype="130" unbalanced="0"/>
    <cacheHierarchy uniqueName="[Candidates].[CandidateID]" caption="CandidateID" attribute="1" defaultMemberUniqueName="[Candidates].[CandidateID].[All]" allUniqueName="[Candidates].[CandidateID].[All]" dimensionUniqueName="[Candidates]" displayFolder="" count="0" memberValueDatatype="130" unbalanced="0"/>
    <cacheHierarchy uniqueName="[Candidates].[Candidate_Name]" caption="Candidate_Name" attribute="1" defaultMemberUniqueName="[Candidates].[Candidate_Name].[All]" allUniqueName="[Candidates].[Candidate_Name].[All]" dimensionUniqueName="[Candidates]" displayFolder="" count="0" memberValueDatatype="130" unbalanced="0"/>
    <cacheHierarchy uniqueName="[Candidates].[Education_Level]" caption="Education_Level" attribute="1" defaultMemberUniqueName="[Candidates].[Education_Level].[All]" allUniqueName="[Candidates].[Education_Level].[All]" dimensionUniqueName="[Candidates]" displayFolder="" count="0" memberValueDatatype="130" unbalanced="0"/>
    <cacheHierarchy uniqueName="[Candidates].[Experience_Years]" caption="Experience_Years" attribute="1" defaultMemberUniqueName="[Candidates].[Experience_Years].[All]" allUniqueName="[Candidates].[Experience_Years].[All]" dimensionUniqueName="[Candidates]" displayFolder="" count="0" memberValueDatatype="20" unbalanced="0"/>
    <cacheHierarchy uniqueName="[Candidates].[Sourcing_Channel]" caption="Sourcing_Channel" attribute="1" defaultMemberUniqueName="[Candidates].[Sourcing_Channel].[All]" allUniqueName="[Candidates].[Sourcing_Channel].[All]" dimensionUniqueName="[Candidates]" displayFolder="" count="0" memberValueDatatype="130" unbalanced="0"/>
    <cacheHierarchy uniqueName="[Jobs].[JobID]" caption="JobID" attribute="1" defaultMemberUniqueName="[Jobs].[JobID].[All]" allUniqueName="[Jobs].[JobID].[All]" dimensionUniqueName="[Jobs]" displayFolder="" count="0" memberValueDatatype="130" unbalanced="0"/>
    <cacheHierarchy uniqueName="[Jobs].[Department]" caption="Department" attribute="1" defaultMemberUniqueName="[Jobs].[Department].[All]" allUniqueName="[Jobs].[Department].[All]" dimensionUniqueName="[Jobs]" displayFolder="" count="2" memberValueDatatype="130" unbalanced="0">
      <fieldsUsage count="2">
        <fieldUsage x="-1"/>
        <fieldUsage x="5"/>
      </fieldsUsage>
    </cacheHierarchy>
    <cacheHierarchy uniqueName="[Jobs].[Job_Title]" caption="Job_Title" attribute="1" defaultMemberUniqueName="[Jobs].[Job_Title].[All]" allUniqueName="[Jobs].[Job_Title].[All]" dimensionUniqueName="[Jobs]" displayFolder="" count="0" memberValueDatatype="130" unbalanced="0"/>
    <cacheHierarchy uniqueName="[Jobs].[Level]" caption="Level" attribute="1" defaultMemberUniqueName="[Jobs].[Level].[All]" allUniqueName="[Jobs].[Level].[All]" dimensionUniqueName="[Jobs]" displayFolder="" count="0" memberValueDatatype="130" unbalanced="0"/>
    <cacheHierarchy uniqueName="[Jobs].[Hiring_Manager]" caption="Hiring_Manager" attribute="1" defaultMemberUniqueName="[Jobs].[Hiring_Manager].[All]" allUniqueName="[Jobs].[Hiring_Manager].[All]" dimensionUniqueName="[Jobs]" displayFolder="" count="0" memberValueDatatype="130" unbalanced="0"/>
    <cacheHierarchy uniqueName="[Jobs].[Date_Opened]" caption="Date_Opened" attribute="1" defaultMemberUniqueName="[Jobs].[Date_Opened].[All]" allUniqueName="[Jobs].[Date_Opened].[All]" dimensionUniqueName="[Jobs]" displayFolder="" count="0" memberValueDatatype="130" unbalanced="0"/>
    <cacheHierarchy uniqueName="[Jobs].[Target_SLA_Days]" caption="Target_SLA_Days" attribute="1" defaultMemberUniqueName="[Jobs].[Target_SLA_Days].[All]" allUniqueName="[Jobs].[Target_SLA_Days].[All]" dimensionUniqueName="[Jobs]" displayFolder="" count="0" memberValueDatatype="20" unbalanced="0"/>
    <cacheHierarchy uniqueName="[Jobs].[Budgeted_Salary]" caption="Budgeted_Salary" attribute="1" defaultMemberUniqueName="[Jobs].[Budgeted_Salary].[All]" allUniqueName="[Jobs].[Budgeted_Salary].[All]" dimensionUniqueName="[Jobs]" displayFolder="" count="0" memberValueDatatype="20" unbalanced="0"/>
    <cacheHierarchy uniqueName="[Recruiters].[RecruiterID]" caption="RecruiterID" attribute="1" defaultMemberUniqueName="[Recruiters].[RecruiterID].[All]" allUniqueName="[Recruiters].[RecruiterID].[All]" dimensionUniqueName="[Recruiters]" displayFolder="" count="0" memberValueDatatype="130" unbalanced="0"/>
    <cacheHierarchy uniqueName="[Recruiters].[Recruiter_Name]" caption="Recruiter_Name" attribute="1" defaultMemberUniqueName="[Recruiters].[Recruiter_Name].[All]" allUniqueName="[Recruiters].[Recruiter_Name].[All]" dimensionUniqueName="[Recruiters]" displayFolder="" count="2" memberValueDatatype="130" unbalanced="0">
      <fieldsUsage count="2">
        <fieldUsage x="-1"/>
        <fieldUsage x="4"/>
      </fieldsUsage>
    </cacheHierarchy>
    <cacheHierarchy uniqueName="[Recruiters].[Specialization]" caption="Specialization" attribute="1" defaultMemberUniqueName="[Recruiters].[Specialization].[All]" allUniqueName="[Recruiters].[Specialization].[All]" dimensionUniqueName="[Recruiters]" displayFolder="" count="0" memberValueDatatype="130" unbalanced="0"/>
    <cacheHierarchy uniqueName="[Recruiters].[Seniority]" caption="Seniority" attribute="1" defaultMemberUniqueName="[Recruiters].[Seniority].[All]" allUniqueName="[Recruiters].[Seniority].[All]" dimensionUniqueName="[Recruiters]" displayFolder="" count="2" memberValueDatatype="130" unbalanced="0">
      <fieldsUsage count="2">
        <fieldUsage x="-1"/>
        <fieldUsage x="6"/>
      </fieldsUsage>
    </cacheHierarchy>
    <cacheHierarchy uniqueName="[StageMovements].[ApplicationID]" caption="ApplicationID" attribute="1" defaultMemberUniqueName="[StageMovements].[ApplicationID].[All]" allUniqueName="[StageMovements].[ApplicationID].[All]" dimensionUniqueName="[StageMovements]" displayFolder="" count="0" memberValueDatatype="130" unbalanced="0"/>
    <cacheHierarchy uniqueName="[StageMovements].[CandidateID]" caption="CandidateID" attribute="1" defaultMemberUniqueName="[StageMovements].[CandidateID].[All]" allUniqueName="[StageMovements].[CandidateID].[All]" dimensionUniqueName="[StageMovements]" displayFolder="" count="0" memberValueDatatype="130" unbalanced="0"/>
    <cacheHierarchy uniqueName="[StageMovements].[JobID]" caption="JobID" attribute="1" defaultMemberUniqueName="[StageMovements].[JobID].[All]" allUniqueName="[StageMovements].[JobID].[All]" dimensionUniqueName="[StageMovements]" displayFolder="" count="0" memberValueDatatype="130" unbalanced="0"/>
    <cacheHierarchy uniqueName="[StageMovements].[StageID]" caption="StageID" attribute="1" defaultMemberUniqueName="[StageMovements].[StageID].[All]" allUniqueName="[StageMovements].[StageID].[All]" dimensionUniqueName="[StageMovements]" displayFolder="" count="0" memberValueDatatype="20" unbalanced="0"/>
    <cacheHierarchy uniqueName="[StageMovements].[Stage_Enter_Date]" caption="Stage_Enter_Date" attribute="1" defaultMemberUniqueName="[StageMovements].[Stage_Enter_Date].[All]" allUniqueName="[StageMovements].[Stage_Enter_Date].[All]" dimensionUniqueName="[StageMovements]" displayFolder="" count="0" memberValueDatatype="130" unbalanced="0"/>
    <cacheHierarchy uniqueName="[StageMovements].[Stage_Status]" caption="Stage_Status" attribute="1" defaultMemberUniqueName="[StageMovements].[Stage_Status].[All]" allUniqueName="[StageMovements].[Stage_Status].[All]" dimensionUniqueName="[StageMovements]" displayFolder="" count="0" memberValueDatatype="130" unbalanced="0"/>
    <cacheHierarchy uniqueName="[Stages].[StageID]" caption="StageID" attribute="1" defaultMemberUniqueName="[Stages].[StageID].[All]" allUniqueName="[Stages].[StageID].[All]" dimensionUniqueName="[Stages]" displayFolder="" count="0" memberValueDatatype="20" unbalanced="0"/>
    <cacheHierarchy uniqueName="[Stages].[Stage_Name]" caption="Stage_Name" attribute="1" defaultMemberUniqueName="[Stages].[Stage_Name].[All]" allUniqueName="[Stages].[Stage_Name].[All]" dimensionUniqueName="[Stages]" displayFolder="" count="0" memberValueDatatype="130" unbalanced="0"/>
    <cacheHierarchy uniqueName="[Stages].[Standard_SLA_Days]" caption="Standard_SLA_Days" attribute="1" defaultMemberUniqueName="[Stages].[Standard_SLA_Days].[All]" allUniqueName="[Stages].[Standard_SLA_Days].[All]" dimensionUniqueName="[Stages]" displayFolder="" count="0" memberValueDatatype="20" unbalanced="0"/>
    <cacheHierarchy uniqueName="[Measures].[Total Job Requisitions]" caption="Total Job Requisitions" measure="1" displayFolder="" measureGroup="Applications" count="0" oneField="1">
      <fieldsUsage count="1">
        <fieldUsage x="0"/>
      </fieldsUsage>
    </cacheHierarchy>
    <cacheHierarchy uniqueName="[Measures].[Total Applications]" caption="Total Applications" measure="1" displayFolder="" measureGroup="Applications" count="0" oneField="1">
      <fieldsUsage count="1">
        <fieldUsage x="1"/>
      </fieldsUsage>
    </cacheHierarchy>
    <cacheHierarchy uniqueName="[Measures].[Total Hired]" caption="Total Hired" measure="1" displayFolder="" measureGroup="Applications" count="0"/>
    <cacheHierarchy uniqueName="[Measures].[Overall Hire Conversion]" caption="Overall Hire Conversion" measure="1" displayFolder="" measureGroup="Applications" count="0" oneField="1">
      <fieldsUsage count="1">
        <fieldUsage x="2"/>
      </fieldsUsage>
    </cacheHierarchy>
    <cacheHierarchy uniqueName="[Measures].[Total Stage Entrants]" caption="Total Stage Entrants" measure="1" displayFolder="" measureGroup="StageMovements" count="0"/>
    <cacheHierarchy uniqueName="[Measures].[Stage Conversion Rate]" caption="Stage Conversion Rate" measure="1" displayFolder="" measureGroup="StageMovements" count="0"/>
    <cacheHierarchy uniqueName="[Measures].[Avg Time to Hire]" caption="Avg Time to Hire" measure="1" displayFolder="" measureGroup="Applications" count="0" oneField="1">
      <fieldsUsage count="1">
        <fieldUsage x="3"/>
      </fieldsUsage>
    </cacheHierarchy>
    <cacheHierarchy uniqueName="[Measures].[SLA Variance Days]" caption="SLA Variance Days" measure="1" displayFolder="" measureGroup="Applications" count="0"/>
    <cacheHierarchy uniqueName="[Measures].[__XL_Count Table1]" caption="__XL_Count Table1" measure="1" displayFolder="" measureGroup="Jobs" count="0" hidden="1"/>
    <cacheHierarchy uniqueName="[Measures].[__XL_Count Table4]" caption="__XL_Count Table4" measure="1" displayFolder="" measureGroup="Recruiters" count="0" hidden="1"/>
    <cacheHierarchy uniqueName="[Measures].[__XL_Count Stages]" caption="__XL_Count Stages" measure="1" displayFolder="" measureGroup="Stages" count="0" hidden="1"/>
    <cacheHierarchy uniqueName="[Measures].[__XL_Count Candidates]" caption="__XL_Count Candidates" measure="1" displayFolder="" measureGroup="Candidates" count="0" hidden="1"/>
    <cacheHierarchy uniqueName="[Measures].[__XL_Count Table8]" caption="__XL_Count Table8" measure="1" displayFolder="" measureGroup="Applications" count="0" hidden="1"/>
    <cacheHierarchy uniqueName="[Measures].[__XL_Count StageMovements]" caption="__XL_Count StageMovements" measure="1" displayFolder="" measureGroup="StageMovements" count="0" hidden="1"/>
    <cacheHierarchy uniqueName="[Measures].[__No measures defined]" caption="__No measures defined" measure="1" displayFolder="" count="0" hidden="1"/>
  </cacheHierarchies>
  <kpis count="0"/>
  <dimensions count="7">
    <dimension name="Applications" uniqueName="[Applications]" caption="Applications"/>
    <dimension name="Candidates" uniqueName="[Candidates]" caption="Candidates"/>
    <dimension name="Jobs" uniqueName="[Jobs]" caption="Jobs"/>
    <dimension measure="1" name="Measures" uniqueName="[Measures]" caption="Measures"/>
    <dimension name="Recruiters" uniqueName="[Recruiters]" caption="Recruiters"/>
    <dimension name="StageMovements" uniqueName="[StageMovements]" caption="StageMovements"/>
    <dimension name="Stages" uniqueName="[Stages]" caption="Stages"/>
  </dimensions>
  <measureGroups count="6">
    <measureGroup name="Applications" caption="Applications"/>
    <measureGroup name="Candidates" caption="Candidates"/>
    <measureGroup name="Jobs" caption="Jobs"/>
    <measureGroup name="Recruiters" caption="Recruiters"/>
    <measureGroup name="StageMovements" caption="StageMovements"/>
    <measureGroup name="Stages" caption="Stages"/>
  </measureGroups>
  <maps count="13">
    <map measureGroup="0" dimension="0"/>
    <map measureGroup="0" dimension="2"/>
    <map measureGroup="0" dimension="4"/>
    <map measureGroup="1" dimension="0"/>
    <map measureGroup="1" dimension="1"/>
    <map measureGroup="1" dimension="2"/>
    <map measureGroup="1" dimension="4"/>
    <map measureGroup="2" dimension="2"/>
    <map measureGroup="3" dimension="4"/>
    <map measureGroup="4" dimension="2"/>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hanshu" refreshedDate="46236.514931018515" backgroundQuery="1" createdVersion="8" refreshedVersion="8" minRefreshableVersion="3" recordCount="0" supportSubquery="1" supportAdvancedDrill="1" xr:uid="{5DC78D1D-C2B9-4E64-B59B-E5B53E3BAFF0}">
  <cacheSource type="external" connectionId="1"/>
  <cacheFields count="6">
    <cacheField name="[Stages].[Stage_Name].[Stage_Name]" caption="Stage_Name" numFmtId="0" hierarchy="35" level="1">
      <sharedItems count="7">
        <s v="1-Application Applied"/>
        <s v="2-Recruiter Screen"/>
        <s v="3-Technical Assessment"/>
        <s v="4-Panel Interview"/>
        <s v="5-HR Fit &amp; Negotiation"/>
        <s v="6-Offer Extended"/>
        <s v="7-Hired / Finalized"/>
      </sharedItems>
    </cacheField>
    <cacheField name="[Measures].[Total Stage Entrants]" caption="Total Stage Entrants" numFmtId="0" hierarchy="41" level="32767"/>
    <cacheField name="[Measures].[Stage Conversion Rate]" caption="Stage Conversion Rate" numFmtId="0" hierarchy="42" level="32767"/>
    <cacheField name="[Recruiters].[Recruiter_Name].[Recruiter_Name]" caption="Recruiter_Name" numFmtId="0" hierarchy="25" level="1">
      <sharedItems containsSemiMixedTypes="0" containsNonDate="0" containsString="0"/>
    </cacheField>
    <cacheField name="[Jobs].[Department].[Department]" caption="Department" numFmtId="0" hierarchy="17" level="1">
      <sharedItems containsSemiMixedTypes="0" containsNonDate="0" containsString="0"/>
    </cacheField>
    <cacheField name="[Recruiters].[Seniority].[Seniority]" caption="Seniority" numFmtId="0" hierarchy="27" level="1">
      <sharedItems containsSemiMixedTypes="0" containsNonDate="0" containsString="0"/>
    </cacheField>
  </cacheFields>
  <cacheHierarchies count="52">
    <cacheHierarchy uniqueName="[Applications].[ApplicationID]" caption="ApplicationID" attribute="1" defaultMemberUniqueName="[Applications].[ApplicationID].[All]" allUniqueName="[Applications].[ApplicationID].[All]" dimensionUniqueName="[Applications]" displayFolder="" count="0" memberValueDatatype="130" unbalanced="0"/>
    <cacheHierarchy uniqueName="[Applications].[CandidateID]" caption="CandidateID" attribute="1" defaultMemberUniqueName="[Applications].[CandidateID].[All]" allUniqueName="[Applications].[CandidateID].[All]" dimensionUniqueName="[Applications]" displayFolder="" count="0" memberValueDatatype="130" unbalanced="0"/>
    <cacheHierarchy uniqueName="[Applications].[JobID]" caption="JobID" attribute="1" defaultMemberUniqueName="[Applications].[JobID].[All]" allUniqueName="[Applications].[JobID].[All]" dimensionUniqueName="[Applications]" displayFolder="" count="0" memberValueDatatype="130" unbalanced="0"/>
    <cacheHierarchy uniqueName="[Applications].[RecruiterID]" caption="RecruiterID" attribute="1" defaultMemberUniqueName="[Applications].[RecruiterID].[All]" allUniqueName="[Applications].[RecruiterID].[All]" dimensionUniqueName="[Applications]" displayFolder="" count="0" memberValueDatatype="130" unbalanced="0"/>
    <cacheHierarchy uniqueName="[Applications].[Application_Date]" caption="Application_Date" attribute="1" defaultMemberUniqueName="[Applications].[Application_Date].[All]" allUniqueName="[Applications].[Application_Date].[All]" dimensionUniqueName="[Applications]" displayFolder="" count="0" memberValueDatatype="130" unbalanced="0"/>
    <cacheHierarchy uniqueName="[Applications].[Current_StageID]" caption="Current_StageID" attribute="1" defaultMemberUniqueName="[Applications].[Current_StageID].[All]" allUniqueName="[Applications].[Current_StageID].[All]" dimensionUniqueName="[Applications]" displayFolder="" count="0" memberValueDatatype="20" unbalanced="0"/>
    <cacheHierarchy uniqueName="[Applications].[Final_Status]" caption="Final_Status" attribute="1" defaultMemberUniqueName="[Applications].[Final_Status].[All]" allUniqueName="[Applications].[Final_Status].[All]" dimensionUniqueName="[Applications]" displayFolder="" count="0" memberValueDatatype="130" unbalanced="0"/>
    <cacheHierarchy uniqueName="[Applications].[Assessment_Score]" caption="Assessment_Score" attribute="1" defaultMemberUniqueName="[Applications].[Assessment_Score].[All]" allUniqueName="[Applications].[Assessment_Score].[All]" dimensionUniqueName="[Applications]" displayFolder="" count="0" memberValueDatatype="20" unbalanced="0"/>
    <cacheHierarchy uniqueName="[Applications].[Interview_Score]" caption="Interview_Score" attribute="1" defaultMemberUniqueName="[Applications].[Interview_Score].[All]" allUniqueName="[Applications].[Interview_Score].[All]" dimensionUniqueName="[Applications]" displayFolder="" count="0" memberValueDatatype="20" unbalanced="0"/>
    <cacheHierarchy uniqueName="[Applications].[Time_to_Hire_Days]" caption="Time_to_Hire_Days" attribute="1" defaultMemberUniqueName="[Applications].[Time_to_Hire_Days].[All]" allUniqueName="[Applications].[Time_to_Hire_Days].[All]" dimensionUniqueName="[Applications]" displayFolder="" count="0" memberValueDatatype="20" unbalanced="0"/>
    <cacheHierarchy uniqueName="[Applications].[Rejection_Reason]" caption="Rejection_Reason" attribute="1" defaultMemberUniqueName="[Applications].[Rejection_Reason].[All]" allUniqueName="[Applications].[Rejection_Reason].[All]" dimensionUniqueName="[Applications]" displayFolder="" count="0" memberValueDatatype="130" unbalanced="0"/>
    <cacheHierarchy uniqueName="[Candidates].[CandidateID]" caption="CandidateID" attribute="1" defaultMemberUniqueName="[Candidates].[CandidateID].[All]" allUniqueName="[Candidates].[CandidateID].[All]" dimensionUniqueName="[Candidates]" displayFolder="" count="0" memberValueDatatype="130" unbalanced="0"/>
    <cacheHierarchy uniqueName="[Candidates].[Candidate_Name]" caption="Candidate_Name" attribute="1" defaultMemberUniqueName="[Candidates].[Candidate_Name].[All]" allUniqueName="[Candidates].[Candidate_Name].[All]" dimensionUniqueName="[Candidates]" displayFolder="" count="0" memberValueDatatype="130" unbalanced="0"/>
    <cacheHierarchy uniqueName="[Candidates].[Education_Level]" caption="Education_Level" attribute="1" defaultMemberUniqueName="[Candidates].[Education_Level].[All]" allUniqueName="[Candidates].[Education_Level].[All]" dimensionUniqueName="[Candidates]" displayFolder="" count="0" memberValueDatatype="130" unbalanced="0"/>
    <cacheHierarchy uniqueName="[Candidates].[Experience_Years]" caption="Experience_Years" attribute="1" defaultMemberUniqueName="[Candidates].[Experience_Years].[All]" allUniqueName="[Candidates].[Experience_Years].[All]" dimensionUniqueName="[Candidates]" displayFolder="" count="0" memberValueDatatype="20" unbalanced="0"/>
    <cacheHierarchy uniqueName="[Candidates].[Sourcing_Channel]" caption="Sourcing_Channel" attribute="1" defaultMemberUniqueName="[Candidates].[Sourcing_Channel].[All]" allUniqueName="[Candidates].[Sourcing_Channel].[All]" dimensionUniqueName="[Candidates]" displayFolder="" count="0" memberValueDatatype="130" unbalanced="0"/>
    <cacheHierarchy uniqueName="[Jobs].[JobID]" caption="JobID" attribute="1" defaultMemberUniqueName="[Jobs].[JobID].[All]" allUniqueName="[Jobs].[JobID].[All]" dimensionUniqueName="[Jobs]" displayFolder="" count="0" memberValueDatatype="130" unbalanced="0"/>
    <cacheHierarchy uniqueName="[Jobs].[Department]" caption="Department" attribute="1" defaultMemberUniqueName="[Jobs].[Department].[All]" allUniqueName="[Jobs].[Department].[All]" dimensionUniqueName="[Jobs]" displayFolder="" count="2" memberValueDatatype="130" unbalanced="0">
      <fieldsUsage count="2">
        <fieldUsage x="-1"/>
        <fieldUsage x="4"/>
      </fieldsUsage>
    </cacheHierarchy>
    <cacheHierarchy uniqueName="[Jobs].[Job_Title]" caption="Job_Title" attribute="1" defaultMemberUniqueName="[Jobs].[Job_Title].[All]" allUniqueName="[Jobs].[Job_Title].[All]" dimensionUniqueName="[Jobs]" displayFolder="" count="0" memberValueDatatype="130" unbalanced="0"/>
    <cacheHierarchy uniqueName="[Jobs].[Level]" caption="Level" attribute="1" defaultMemberUniqueName="[Jobs].[Level].[All]" allUniqueName="[Jobs].[Level].[All]" dimensionUniqueName="[Jobs]" displayFolder="" count="0" memberValueDatatype="130" unbalanced="0"/>
    <cacheHierarchy uniqueName="[Jobs].[Hiring_Manager]" caption="Hiring_Manager" attribute="1" defaultMemberUniqueName="[Jobs].[Hiring_Manager].[All]" allUniqueName="[Jobs].[Hiring_Manager].[All]" dimensionUniqueName="[Jobs]" displayFolder="" count="0" memberValueDatatype="130" unbalanced="0"/>
    <cacheHierarchy uniqueName="[Jobs].[Date_Opened]" caption="Date_Opened" attribute="1" defaultMemberUniqueName="[Jobs].[Date_Opened].[All]" allUniqueName="[Jobs].[Date_Opened].[All]" dimensionUniqueName="[Jobs]" displayFolder="" count="0" memberValueDatatype="130" unbalanced="0"/>
    <cacheHierarchy uniqueName="[Jobs].[Target_SLA_Days]" caption="Target_SLA_Days" attribute="1" defaultMemberUniqueName="[Jobs].[Target_SLA_Days].[All]" allUniqueName="[Jobs].[Target_SLA_Days].[All]" dimensionUniqueName="[Jobs]" displayFolder="" count="0" memberValueDatatype="20" unbalanced="0"/>
    <cacheHierarchy uniqueName="[Jobs].[Budgeted_Salary]" caption="Budgeted_Salary" attribute="1" defaultMemberUniqueName="[Jobs].[Budgeted_Salary].[All]" allUniqueName="[Jobs].[Budgeted_Salary].[All]" dimensionUniqueName="[Jobs]" displayFolder="" count="0" memberValueDatatype="20" unbalanced="0"/>
    <cacheHierarchy uniqueName="[Recruiters].[RecruiterID]" caption="RecruiterID" attribute="1" defaultMemberUniqueName="[Recruiters].[RecruiterID].[All]" allUniqueName="[Recruiters].[RecruiterID].[All]" dimensionUniqueName="[Recruiters]" displayFolder="" count="0" memberValueDatatype="130" unbalanced="0"/>
    <cacheHierarchy uniqueName="[Recruiters].[Recruiter_Name]" caption="Recruiter_Name" attribute="1" defaultMemberUniqueName="[Recruiters].[Recruiter_Name].[All]" allUniqueName="[Recruiters].[Recruiter_Name].[All]" dimensionUniqueName="[Recruiters]" displayFolder="" count="2" memberValueDatatype="130" unbalanced="0">
      <fieldsUsage count="2">
        <fieldUsage x="-1"/>
        <fieldUsage x="3"/>
      </fieldsUsage>
    </cacheHierarchy>
    <cacheHierarchy uniqueName="[Recruiters].[Specialization]" caption="Specialization" attribute="1" defaultMemberUniqueName="[Recruiters].[Specialization].[All]" allUniqueName="[Recruiters].[Specialization].[All]" dimensionUniqueName="[Recruiters]" displayFolder="" count="0" memberValueDatatype="130" unbalanced="0"/>
    <cacheHierarchy uniqueName="[Recruiters].[Seniority]" caption="Seniority" attribute="1" defaultMemberUniqueName="[Recruiters].[Seniority].[All]" allUniqueName="[Recruiters].[Seniority].[All]" dimensionUniqueName="[Recruiters]" displayFolder="" count="2" memberValueDatatype="130" unbalanced="0">
      <fieldsUsage count="2">
        <fieldUsage x="-1"/>
        <fieldUsage x="5"/>
      </fieldsUsage>
    </cacheHierarchy>
    <cacheHierarchy uniqueName="[StageMovements].[ApplicationID]" caption="ApplicationID" attribute="1" defaultMemberUniqueName="[StageMovements].[ApplicationID].[All]" allUniqueName="[StageMovements].[ApplicationID].[All]" dimensionUniqueName="[StageMovements]" displayFolder="" count="0" memberValueDatatype="130" unbalanced="0"/>
    <cacheHierarchy uniqueName="[StageMovements].[CandidateID]" caption="CandidateID" attribute="1" defaultMemberUniqueName="[StageMovements].[CandidateID].[All]" allUniqueName="[StageMovements].[CandidateID].[All]" dimensionUniqueName="[StageMovements]" displayFolder="" count="0" memberValueDatatype="130" unbalanced="0"/>
    <cacheHierarchy uniqueName="[StageMovements].[JobID]" caption="JobID" attribute="1" defaultMemberUniqueName="[StageMovements].[JobID].[All]" allUniqueName="[StageMovements].[JobID].[All]" dimensionUniqueName="[StageMovements]" displayFolder="" count="0" memberValueDatatype="130" unbalanced="0"/>
    <cacheHierarchy uniqueName="[StageMovements].[StageID]" caption="StageID" attribute="1" defaultMemberUniqueName="[StageMovements].[StageID].[All]" allUniqueName="[StageMovements].[StageID].[All]" dimensionUniqueName="[StageMovements]" displayFolder="" count="0" memberValueDatatype="20" unbalanced="0"/>
    <cacheHierarchy uniqueName="[StageMovements].[Stage_Enter_Date]" caption="Stage_Enter_Date" attribute="1" defaultMemberUniqueName="[StageMovements].[Stage_Enter_Date].[All]" allUniqueName="[StageMovements].[Stage_Enter_Date].[All]" dimensionUniqueName="[StageMovements]" displayFolder="" count="0" memberValueDatatype="130" unbalanced="0"/>
    <cacheHierarchy uniqueName="[StageMovements].[Stage_Status]" caption="Stage_Status" attribute="1" defaultMemberUniqueName="[StageMovements].[Stage_Status].[All]" allUniqueName="[StageMovements].[Stage_Status].[All]" dimensionUniqueName="[StageMovements]" displayFolder="" count="0" memberValueDatatype="130" unbalanced="0"/>
    <cacheHierarchy uniqueName="[Stages].[StageID]" caption="StageID" attribute="1" defaultMemberUniqueName="[Stages].[StageID].[All]" allUniqueName="[Stages].[StageID].[All]" dimensionUniqueName="[Stages]" displayFolder="" count="0" memberValueDatatype="20" unbalanced="0"/>
    <cacheHierarchy uniqueName="[Stages].[Stage_Name]" caption="Stage_Name" attribute="1" defaultMemberUniqueName="[Stages].[Stage_Name].[All]" allUniqueName="[Stages].[Stage_Name].[All]" dimensionUniqueName="[Stages]" displayFolder="" count="2" memberValueDatatype="130" unbalanced="0">
      <fieldsUsage count="2">
        <fieldUsage x="-1"/>
        <fieldUsage x="0"/>
      </fieldsUsage>
    </cacheHierarchy>
    <cacheHierarchy uniqueName="[Stages].[Standard_SLA_Days]" caption="Standard_SLA_Days" attribute="1" defaultMemberUniqueName="[Stages].[Standard_SLA_Days].[All]" allUniqueName="[Stages].[Standard_SLA_Days].[All]" dimensionUniqueName="[Stages]" displayFolder="" count="0" memberValueDatatype="20" unbalanced="0"/>
    <cacheHierarchy uniqueName="[Measures].[Total Job Requisitions]" caption="Total Job Requisitions" measure="1" displayFolder="" measureGroup="Applications" count="0"/>
    <cacheHierarchy uniqueName="[Measures].[Total Applications]" caption="Total Applications" measure="1" displayFolder="" measureGroup="Applications" count="0"/>
    <cacheHierarchy uniqueName="[Measures].[Total Hired]" caption="Total Hired" measure="1" displayFolder="" measureGroup="Applications" count="0"/>
    <cacheHierarchy uniqueName="[Measures].[Overall Hire Conversion]" caption="Overall Hire Conversion" measure="1" displayFolder="" measureGroup="Applications" count="0"/>
    <cacheHierarchy uniqueName="[Measures].[Total Stage Entrants]" caption="Total Stage Entrants" measure="1" displayFolder="" measureGroup="StageMovements" count="0" oneField="1">
      <fieldsUsage count="1">
        <fieldUsage x="1"/>
      </fieldsUsage>
    </cacheHierarchy>
    <cacheHierarchy uniqueName="[Measures].[Stage Conversion Rate]" caption="Stage Conversion Rate" measure="1" displayFolder="" measureGroup="StageMovements" count="0" oneField="1">
      <fieldsUsage count="1">
        <fieldUsage x="2"/>
      </fieldsUsage>
    </cacheHierarchy>
    <cacheHierarchy uniqueName="[Measures].[Avg Time to Hire]" caption="Avg Time to Hire" measure="1" displayFolder="" measureGroup="Applications" count="0"/>
    <cacheHierarchy uniqueName="[Measures].[SLA Variance Days]" caption="SLA Variance Days" measure="1" displayFolder="" measureGroup="Applications" count="0"/>
    <cacheHierarchy uniqueName="[Measures].[__XL_Count Table1]" caption="__XL_Count Table1" measure="1" displayFolder="" measureGroup="Jobs" count="0" hidden="1"/>
    <cacheHierarchy uniqueName="[Measures].[__XL_Count Table4]" caption="__XL_Count Table4" measure="1" displayFolder="" measureGroup="Recruiters" count="0" hidden="1"/>
    <cacheHierarchy uniqueName="[Measures].[__XL_Count Stages]" caption="__XL_Count Stages" measure="1" displayFolder="" measureGroup="Stages" count="0" hidden="1"/>
    <cacheHierarchy uniqueName="[Measures].[__XL_Count Candidates]" caption="__XL_Count Candidates" measure="1" displayFolder="" measureGroup="Candidates" count="0" hidden="1"/>
    <cacheHierarchy uniqueName="[Measures].[__XL_Count Table8]" caption="__XL_Count Table8" measure="1" displayFolder="" measureGroup="Applications" count="0" hidden="1"/>
    <cacheHierarchy uniqueName="[Measures].[__XL_Count StageMovements]" caption="__XL_Count StageMovements" measure="1" displayFolder="" measureGroup="StageMovements" count="0" hidden="1"/>
    <cacheHierarchy uniqueName="[Measures].[__No measures defined]" caption="__No measures defined" measure="1" displayFolder="" count="0" hidden="1"/>
  </cacheHierarchies>
  <kpis count="0"/>
  <dimensions count="7">
    <dimension name="Applications" uniqueName="[Applications]" caption="Applications"/>
    <dimension name="Candidates" uniqueName="[Candidates]" caption="Candidates"/>
    <dimension name="Jobs" uniqueName="[Jobs]" caption="Jobs"/>
    <dimension measure="1" name="Measures" uniqueName="[Measures]" caption="Measures"/>
    <dimension name="Recruiters" uniqueName="[Recruiters]" caption="Recruiters"/>
    <dimension name="StageMovements" uniqueName="[StageMovements]" caption="StageMovements"/>
    <dimension name="Stages" uniqueName="[Stages]" caption="Stages"/>
  </dimensions>
  <measureGroups count="6">
    <measureGroup name="Applications" caption="Applications"/>
    <measureGroup name="Candidates" caption="Candidates"/>
    <measureGroup name="Jobs" caption="Jobs"/>
    <measureGroup name="Recruiters" caption="Recruiters"/>
    <measureGroup name="StageMovements" caption="StageMovements"/>
    <measureGroup name="Stages" caption="Stages"/>
  </measureGroups>
  <maps count="13">
    <map measureGroup="0" dimension="0"/>
    <map measureGroup="0" dimension="2"/>
    <map measureGroup="0" dimension="4"/>
    <map measureGroup="1" dimension="0"/>
    <map measureGroup="1" dimension="1"/>
    <map measureGroup="1" dimension="2"/>
    <map measureGroup="1" dimension="4"/>
    <map measureGroup="2" dimension="2"/>
    <map measureGroup="3" dimension="4"/>
    <map measureGroup="4" dimension="2"/>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hanshu" refreshedDate="46236.514939004628" backgroundQuery="1" createdVersion="8" refreshedVersion="8" minRefreshableVersion="3" recordCount="0" supportSubquery="1" supportAdvancedDrill="1" xr:uid="{7FC2C042-0BBD-4B76-AAB4-DAE302F74D97}">
  <cacheSource type="external" connectionId="1"/>
  <cacheFields count="5">
    <cacheField name="[Stages].[Stage_Name].[Stage_Name]" caption="Stage_Name" numFmtId="0" hierarchy="35" level="1">
      <sharedItems count="7">
        <s v="1-Application Applied"/>
        <s v="2-Recruiter Screen"/>
        <s v="3-Technical Assessment"/>
        <s v="4-Panel Interview"/>
        <s v="5-HR Fit &amp; Negotiation"/>
        <s v="6-Offer Extended"/>
        <s v="7-Hired / Finalized"/>
      </sharedItems>
    </cacheField>
    <cacheField name="[Measures].[Total Stage Entrants]" caption="Total Stage Entrants" numFmtId="0" hierarchy="41" level="32767"/>
    <cacheField name="[Recruiters].[Recruiter_Name].[Recruiter_Name]" caption="Recruiter_Name" numFmtId="0" hierarchy="25" level="1">
      <sharedItems containsSemiMixedTypes="0" containsNonDate="0" containsString="0"/>
    </cacheField>
    <cacheField name="[Jobs].[Department].[Department]" caption="Department" numFmtId="0" hierarchy="17" level="1">
      <sharedItems containsSemiMixedTypes="0" containsNonDate="0" containsString="0"/>
    </cacheField>
    <cacheField name="[Recruiters].[Seniority].[Seniority]" caption="Seniority" numFmtId="0" hierarchy="27" level="1">
      <sharedItems containsSemiMixedTypes="0" containsNonDate="0" containsString="0"/>
    </cacheField>
  </cacheFields>
  <cacheHierarchies count="52">
    <cacheHierarchy uniqueName="[Applications].[ApplicationID]" caption="ApplicationID" attribute="1" defaultMemberUniqueName="[Applications].[ApplicationID].[All]" allUniqueName="[Applications].[ApplicationID].[All]" dimensionUniqueName="[Applications]" displayFolder="" count="0" memberValueDatatype="130" unbalanced="0"/>
    <cacheHierarchy uniqueName="[Applications].[CandidateID]" caption="CandidateID" attribute="1" defaultMemberUniqueName="[Applications].[CandidateID].[All]" allUniqueName="[Applications].[CandidateID].[All]" dimensionUniqueName="[Applications]" displayFolder="" count="0" memberValueDatatype="130" unbalanced="0"/>
    <cacheHierarchy uniqueName="[Applications].[JobID]" caption="JobID" attribute="1" defaultMemberUniqueName="[Applications].[JobID].[All]" allUniqueName="[Applications].[JobID].[All]" dimensionUniqueName="[Applications]" displayFolder="" count="0" memberValueDatatype="130" unbalanced="0"/>
    <cacheHierarchy uniqueName="[Applications].[RecruiterID]" caption="RecruiterID" attribute="1" defaultMemberUniqueName="[Applications].[RecruiterID].[All]" allUniqueName="[Applications].[RecruiterID].[All]" dimensionUniqueName="[Applications]" displayFolder="" count="0" memberValueDatatype="130" unbalanced="0"/>
    <cacheHierarchy uniqueName="[Applications].[Application_Date]" caption="Application_Date" attribute="1" defaultMemberUniqueName="[Applications].[Application_Date].[All]" allUniqueName="[Applications].[Application_Date].[All]" dimensionUniqueName="[Applications]" displayFolder="" count="0" memberValueDatatype="130" unbalanced="0"/>
    <cacheHierarchy uniqueName="[Applications].[Current_StageID]" caption="Current_StageID" attribute="1" defaultMemberUniqueName="[Applications].[Current_StageID].[All]" allUniqueName="[Applications].[Current_StageID].[All]" dimensionUniqueName="[Applications]" displayFolder="" count="0" memberValueDatatype="20" unbalanced="0"/>
    <cacheHierarchy uniqueName="[Applications].[Final_Status]" caption="Final_Status" attribute="1" defaultMemberUniqueName="[Applications].[Final_Status].[All]" allUniqueName="[Applications].[Final_Status].[All]" dimensionUniqueName="[Applications]" displayFolder="" count="0" memberValueDatatype="130" unbalanced="0"/>
    <cacheHierarchy uniqueName="[Applications].[Assessment_Score]" caption="Assessment_Score" attribute="1" defaultMemberUniqueName="[Applications].[Assessment_Score].[All]" allUniqueName="[Applications].[Assessment_Score].[All]" dimensionUniqueName="[Applications]" displayFolder="" count="0" memberValueDatatype="20" unbalanced="0"/>
    <cacheHierarchy uniqueName="[Applications].[Interview_Score]" caption="Interview_Score" attribute="1" defaultMemberUniqueName="[Applications].[Interview_Score].[All]" allUniqueName="[Applications].[Interview_Score].[All]" dimensionUniqueName="[Applications]" displayFolder="" count="0" memberValueDatatype="20" unbalanced="0"/>
    <cacheHierarchy uniqueName="[Applications].[Time_to_Hire_Days]" caption="Time_to_Hire_Days" attribute="1" defaultMemberUniqueName="[Applications].[Time_to_Hire_Days].[All]" allUniqueName="[Applications].[Time_to_Hire_Days].[All]" dimensionUniqueName="[Applications]" displayFolder="" count="0" memberValueDatatype="20" unbalanced="0"/>
    <cacheHierarchy uniqueName="[Applications].[Rejection_Reason]" caption="Rejection_Reason" attribute="1" defaultMemberUniqueName="[Applications].[Rejection_Reason].[All]" allUniqueName="[Applications].[Rejection_Reason].[All]" dimensionUniqueName="[Applications]" displayFolder="" count="0" memberValueDatatype="130" unbalanced="0"/>
    <cacheHierarchy uniqueName="[Candidates].[CandidateID]" caption="CandidateID" attribute="1" defaultMemberUniqueName="[Candidates].[CandidateID].[All]" allUniqueName="[Candidates].[CandidateID].[All]" dimensionUniqueName="[Candidates]" displayFolder="" count="0" memberValueDatatype="130" unbalanced="0"/>
    <cacheHierarchy uniqueName="[Candidates].[Candidate_Name]" caption="Candidate_Name" attribute="1" defaultMemberUniqueName="[Candidates].[Candidate_Name].[All]" allUniqueName="[Candidates].[Candidate_Name].[All]" dimensionUniqueName="[Candidates]" displayFolder="" count="0" memberValueDatatype="130" unbalanced="0"/>
    <cacheHierarchy uniqueName="[Candidates].[Education_Level]" caption="Education_Level" attribute="1" defaultMemberUniqueName="[Candidates].[Education_Level].[All]" allUniqueName="[Candidates].[Education_Level].[All]" dimensionUniqueName="[Candidates]" displayFolder="" count="0" memberValueDatatype="130" unbalanced="0"/>
    <cacheHierarchy uniqueName="[Candidates].[Experience_Years]" caption="Experience_Years" attribute="1" defaultMemberUniqueName="[Candidates].[Experience_Years].[All]" allUniqueName="[Candidates].[Experience_Years].[All]" dimensionUniqueName="[Candidates]" displayFolder="" count="0" memberValueDatatype="20" unbalanced="0"/>
    <cacheHierarchy uniqueName="[Candidates].[Sourcing_Channel]" caption="Sourcing_Channel" attribute="1" defaultMemberUniqueName="[Candidates].[Sourcing_Channel].[All]" allUniqueName="[Candidates].[Sourcing_Channel].[All]" dimensionUniqueName="[Candidates]" displayFolder="" count="0" memberValueDatatype="130" unbalanced="0"/>
    <cacheHierarchy uniqueName="[Jobs].[JobID]" caption="JobID" attribute="1" defaultMemberUniqueName="[Jobs].[JobID].[All]" allUniqueName="[Jobs].[JobID].[All]" dimensionUniqueName="[Jobs]" displayFolder="" count="0" memberValueDatatype="130" unbalanced="0"/>
    <cacheHierarchy uniqueName="[Jobs].[Department]" caption="Department" attribute="1" defaultMemberUniqueName="[Jobs].[Department].[All]" allUniqueName="[Jobs].[Department].[All]" dimensionUniqueName="[Jobs]" displayFolder="" count="2" memberValueDatatype="130" unbalanced="0">
      <fieldsUsage count="2">
        <fieldUsage x="-1"/>
        <fieldUsage x="3"/>
      </fieldsUsage>
    </cacheHierarchy>
    <cacheHierarchy uniqueName="[Jobs].[Job_Title]" caption="Job_Title" attribute="1" defaultMemberUniqueName="[Jobs].[Job_Title].[All]" allUniqueName="[Jobs].[Job_Title].[All]" dimensionUniqueName="[Jobs]" displayFolder="" count="0" memberValueDatatype="130" unbalanced="0"/>
    <cacheHierarchy uniqueName="[Jobs].[Level]" caption="Level" attribute="1" defaultMemberUniqueName="[Jobs].[Level].[All]" allUniqueName="[Jobs].[Level].[All]" dimensionUniqueName="[Jobs]" displayFolder="" count="0" memberValueDatatype="130" unbalanced="0"/>
    <cacheHierarchy uniqueName="[Jobs].[Hiring_Manager]" caption="Hiring_Manager" attribute="1" defaultMemberUniqueName="[Jobs].[Hiring_Manager].[All]" allUniqueName="[Jobs].[Hiring_Manager].[All]" dimensionUniqueName="[Jobs]" displayFolder="" count="0" memberValueDatatype="130" unbalanced="0"/>
    <cacheHierarchy uniqueName="[Jobs].[Date_Opened]" caption="Date_Opened" attribute="1" defaultMemberUniqueName="[Jobs].[Date_Opened].[All]" allUniqueName="[Jobs].[Date_Opened].[All]" dimensionUniqueName="[Jobs]" displayFolder="" count="0" memberValueDatatype="130" unbalanced="0"/>
    <cacheHierarchy uniqueName="[Jobs].[Target_SLA_Days]" caption="Target_SLA_Days" attribute="1" defaultMemberUniqueName="[Jobs].[Target_SLA_Days].[All]" allUniqueName="[Jobs].[Target_SLA_Days].[All]" dimensionUniqueName="[Jobs]" displayFolder="" count="0" memberValueDatatype="20" unbalanced="0"/>
    <cacheHierarchy uniqueName="[Jobs].[Budgeted_Salary]" caption="Budgeted_Salary" attribute="1" defaultMemberUniqueName="[Jobs].[Budgeted_Salary].[All]" allUniqueName="[Jobs].[Budgeted_Salary].[All]" dimensionUniqueName="[Jobs]" displayFolder="" count="0" memberValueDatatype="20" unbalanced="0"/>
    <cacheHierarchy uniqueName="[Recruiters].[RecruiterID]" caption="RecruiterID" attribute="1" defaultMemberUniqueName="[Recruiters].[RecruiterID].[All]" allUniqueName="[Recruiters].[RecruiterID].[All]" dimensionUniqueName="[Recruiters]" displayFolder="" count="0" memberValueDatatype="130" unbalanced="0"/>
    <cacheHierarchy uniqueName="[Recruiters].[Recruiter_Name]" caption="Recruiter_Name" attribute="1" defaultMemberUniqueName="[Recruiters].[Recruiter_Name].[All]" allUniqueName="[Recruiters].[Recruiter_Name].[All]" dimensionUniqueName="[Recruiters]" displayFolder="" count="2" memberValueDatatype="130" unbalanced="0">
      <fieldsUsage count="2">
        <fieldUsage x="-1"/>
        <fieldUsage x="2"/>
      </fieldsUsage>
    </cacheHierarchy>
    <cacheHierarchy uniqueName="[Recruiters].[Specialization]" caption="Specialization" attribute="1" defaultMemberUniqueName="[Recruiters].[Specialization].[All]" allUniqueName="[Recruiters].[Specialization].[All]" dimensionUniqueName="[Recruiters]" displayFolder="" count="0" memberValueDatatype="130" unbalanced="0"/>
    <cacheHierarchy uniqueName="[Recruiters].[Seniority]" caption="Seniority" attribute="1" defaultMemberUniqueName="[Recruiters].[Seniority].[All]" allUniqueName="[Recruiters].[Seniority].[All]" dimensionUniqueName="[Recruiters]" displayFolder="" count="2" memberValueDatatype="130" unbalanced="0">
      <fieldsUsage count="2">
        <fieldUsage x="-1"/>
        <fieldUsage x="4"/>
      </fieldsUsage>
    </cacheHierarchy>
    <cacheHierarchy uniqueName="[StageMovements].[ApplicationID]" caption="ApplicationID" attribute="1" defaultMemberUniqueName="[StageMovements].[ApplicationID].[All]" allUniqueName="[StageMovements].[ApplicationID].[All]" dimensionUniqueName="[StageMovements]" displayFolder="" count="0" memberValueDatatype="130" unbalanced="0"/>
    <cacheHierarchy uniqueName="[StageMovements].[CandidateID]" caption="CandidateID" attribute="1" defaultMemberUniqueName="[StageMovements].[CandidateID].[All]" allUniqueName="[StageMovements].[CandidateID].[All]" dimensionUniqueName="[StageMovements]" displayFolder="" count="0" memberValueDatatype="130" unbalanced="0"/>
    <cacheHierarchy uniqueName="[StageMovements].[JobID]" caption="JobID" attribute="1" defaultMemberUniqueName="[StageMovements].[JobID].[All]" allUniqueName="[StageMovements].[JobID].[All]" dimensionUniqueName="[StageMovements]" displayFolder="" count="0" memberValueDatatype="130" unbalanced="0"/>
    <cacheHierarchy uniqueName="[StageMovements].[StageID]" caption="StageID" attribute="1" defaultMemberUniqueName="[StageMovements].[StageID].[All]" allUniqueName="[StageMovements].[StageID].[All]" dimensionUniqueName="[StageMovements]" displayFolder="" count="0" memberValueDatatype="20" unbalanced="0"/>
    <cacheHierarchy uniqueName="[StageMovements].[Stage_Enter_Date]" caption="Stage_Enter_Date" attribute="1" defaultMemberUniqueName="[StageMovements].[Stage_Enter_Date].[All]" allUniqueName="[StageMovements].[Stage_Enter_Date].[All]" dimensionUniqueName="[StageMovements]" displayFolder="" count="0" memberValueDatatype="130" unbalanced="0"/>
    <cacheHierarchy uniqueName="[StageMovements].[Stage_Status]" caption="Stage_Status" attribute="1" defaultMemberUniqueName="[StageMovements].[Stage_Status].[All]" allUniqueName="[StageMovements].[Stage_Status].[All]" dimensionUniqueName="[StageMovements]" displayFolder="" count="0" memberValueDatatype="130" unbalanced="0"/>
    <cacheHierarchy uniqueName="[Stages].[StageID]" caption="StageID" attribute="1" defaultMemberUniqueName="[Stages].[StageID].[All]" allUniqueName="[Stages].[StageID].[All]" dimensionUniqueName="[Stages]" displayFolder="" count="0" memberValueDatatype="20" unbalanced="0"/>
    <cacheHierarchy uniqueName="[Stages].[Stage_Name]" caption="Stage_Name" attribute="1" defaultMemberUniqueName="[Stages].[Stage_Name].[All]" allUniqueName="[Stages].[Stage_Name].[All]" dimensionUniqueName="[Stages]" displayFolder="" count="2" memberValueDatatype="130" unbalanced="0">
      <fieldsUsage count="2">
        <fieldUsage x="-1"/>
        <fieldUsage x="0"/>
      </fieldsUsage>
    </cacheHierarchy>
    <cacheHierarchy uniqueName="[Stages].[Standard_SLA_Days]" caption="Standard_SLA_Days" attribute="1" defaultMemberUniqueName="[Stages].[Standard_SLA_Days].[All]" allUniqueName="[Stages].[Standard_SLA_Days].[All]" dimensionUniqueName="[Stages]" displayFolder="" count="0" memberValueDatatype="20" unbalanced="0"/>
    <cacheHierarchy uniqueName="[Measures].[Total Job Requisitions]" caption="Total Job Requisitions" measure="1" displayFolder="" measureGroup="Applications" count="0"/>
    <cacheHierarchy uniqueName="[Measures].[Total Applications]" caption="Total Applications" measure="1" displayFolder="" measureGroup="Applications" count="0"/>
    <cacheHierarchy uniqueName="[Measures].[Total Hired]" caption="Total Hired" measure="1" displayFolder="" measureGroup="Applications" count="0"/>
    <cacheHierarchy uniqueName="[Measures].[Overall Hire Conversion]" caption="Overall Hire Conversion" measure="1" displayFolder="" measureGroup="Applications" count="0"/>
    <cacheHierarchy uniqueName="[Measures].[Total Stage Entrants]" caption="Total Stage Entrants" measure="1" displayFolder="" measureGroup="StageMovements" count="0" oneField="1">
      <fieldsUsage count="1">
        <fieldUsage x="1"/>
      </fieldsUsage>
    </cacheHierarchy>
    <cacheHierarchy uniqueName="[Measures].[Stage Conversion Rate]" caption="Stage Conversion Rate" measure="1" displayFolder="" measureGroup="StageMovements" count="0"/>
    <cacheHierarchy uniqueName="[Measures].[Avg Time to Hire]" caption="Avg Time to Hire" measure="1" displayFolder="" measureGroup="Applications" count="0"/>
    <cacheHierarchy uniqueName="[Measures].[SLA Variance Days]" caption="SLA Variance Days" measure="1" displayFolder="" measureGroup="Applications" count="0"/>
    <cacheHierarchy uniqueName="[Measures].[__XL_Count Table1]" caption="__XL_Count Table1" measure="1" displayFolder="" measureGroup="Jobs" count="0" hidden="1"/>
    <cacheHierarchy uniqueName="[Measures].[__XL_Count Table4]" caption="__XL_Count Table4" measure="1" displayFolder="" measureGroup="Recruiters" count="0" hidden="1"/>
    <cacheHierarchy uniqueName="[Measures].[__XL_Count Stages]" caption="__XL_Count Stages" measure="1" displayFolder="" measureGroup="Stages" count="0" hidden="1"/>
    <cacheHierarchy uniqueName="[Measures].[__XL_Count Candidates]" caption="__XL_Count Candidates" measure="1" displayFolder="" measureGroup="Candidates" count="0" hidden="1"/>
    <cacheHierarchy uniqueName="[Measures].[__XL_Count Table8]" caption="__XL_Count Table8" measure="1" displayFolder="" measureGroup="Applications" count="0" hidden="1"/>
    <cacheHierarchy uniqueName="[Measures].[__XL_Count StageMovements]" caption="__XL_Count StageMovements" measure="1" displayFolder="" measureGroup="StageMovements" count="0" hidden="1"/>
    <cacheHierarchy uniqueName="[Measures].[__No measures defined]" caption="__No measures defined" measure="1" displayFolder="" count="0" hidden="1"/>
  </cacheHierarchies>
  <kpis count="0"/>
  <dimensions count="7">
    <dimension name="Applications" uniqueName="[Applications]" caption="Applications"/>
    <dimension name="Candidates" uniqueName="[Candidates]" caption="Candidates"/>
    <dimension name="Jobs" uniqueName="[Jobs]" caption="Jobs"/>
    <dimension measure="1" name="Measures" uniqueName="[Measures]" caption="Measures"/>
    <dimension name="Recruiters" uniqueName="[Recruiters]" caption="Recruiters"/>
    <dimension name="StageMovements" uniqueName="[StageMovements]" caption="StageMovements"/>
    <dimension name="Stages" uniqueName="[Stages]" caption="Stages"/>
  </dimensions>
  <measureGroups count="6">
    <measureGroup name="Applications" caption="Applications"/>
    <measureGroup name="Candidates" caption="Candidates"/>
    <measureGroup name="Jobs" caption="Jobs"/>
    <measureGroup name="Recruiters" caption="Recruiters"/>
    <measureGroup name="StageMovements" caption="StageMovements"/>
    <measureGroup name="Stages" caption="Stages"/>
  </measureGroups>
  <maps count="13">
    <map measureGroup="0" dimension="0"/>
    <map measureGroup="0" dimension="2"/>
    <map measureGroup="0" dimension="4"/>
    <map measureGroup="1" dimension="0"/>
    <map measureGroup="1" dimension="1"/>
    <map measureGroup="1" dimension="2"/>
    <map measureGroup="1" dimension="4"/>
    <map measureGroup="2" dimension="2"/>
    <map measureGroup="3" dimension="4"/>
    <map measureGroup="4" dimension="2"/>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hanshu" refreshedDate="46236.514947222226" backgroundQuery="1" createdVersion="8" refreshedVersion="8" minRefreshableVersion="3" recordCount="0" supportSubquery="1" supportAdvancedDrill="1" xr:uid="{F874B9E3-1BF9-4BB1-A99E-2FF5F6176223}">
  <cacheSource type="external" connectionId="1"/>
  <cacheFields count="5">
    <cacheField name="[Recruiters].[Recruiter_Name].[Recruiter_Name]" caption="Recruiter_Name" numFmtId="0" hierarchy="25" level="1">
      <sharedItems count="8">
        <s v="Alex Mercer"/>
        <s v="Casey Ryans"/>
        <s v="Jamie Lee"/>
        <s v="Jordan Vance"/>
        <s v="Morgan Sterling"/>
        <s v="Quinn Fabray"/>
        <s v="Riley Thorne"/>
        <s v="Taylor Swift"/>
      </sharedItems>
    </cacheField>
    <cacheField name="[Measures].[Total Hired]" caption="Total Hired" numFmtId="0" hierarchy="39" level="32767"/>
    <cacheField name="[Measures].[SLA Variance Days]" caption="SLA Variance Days" numFmtId="0" hierarchy="44" level="32767"/>
    <cacheField name="[Jobs].[Department].[Department]" caption="Department" numFmtId="0" hierarchy="17" level="1">
      <sharedItems containsSemiMixedTypes="0" containsNonDate="0" containsString="0"/>
    </cacheField>
    <cacheField name="[Recruiters].[Seniority].[Seniority]" caption="Seniority" numFmtId="0" hierarchy="27" level="1">
      <sharedItems containsSemiMixedTypes="0" containsNonDate="0" containsString="0"/>
    </cacheField>
  </cacheFields>
  <cacheHierarchies count="52">
    <cacheHierarchy uniqueName="[Applications].[ApplicationID]" caption="ApplicationID" attribute="1" defaultMemberUniqueName="[Applications].[ApplicationID].[All]" allUniqueName="[Applications].[ApplicationID].[All]" dimensionUniqueName="[Applications]" displayFolder="" count="0" memberValueDatatype="130" unbalanced="0"/>
    <cacheHierarchy uniqueName="[Applications].[CandidateID]" caption="CandidateID" attribute="1" defaultMemberUniqueName="[Applications].[CandidateID].[All]" allUniqueName="[Applications].[CandidateID].[All]" dimensionUniqueName="[Applications]" displayFolder="" count="0" memberValueDatatype="130" unbalanced="0"/>
    <cacheHierarchy uniqueName="[Applications].[JobID]" caption="JobID" attribute="1" defaultMemberUniqueName="[Applications].[JobID].[All]" allUniqueName="[Applications].[JobID].[All]" dimensionUniqueName="[Applications]" displayFolder="" count="0" memberValueDatatype="130" unbalanced="0"/>
    <cacheHierarchy uniqueName="[Applications].[RecruiterID]" caption="RecruiterID" attribute="1" defaultMemberUniqueName="[Applications].[RecruiterID].[All]" allUniqueName="[Applications].[RecruiterID].[All]" dimensionUniqueName="[Applications]" displayFolder="" count="0" memberValueDatatype="130" unbalanced="0"/>
    <cacheHierarchy uniqueName="[Applications].[Application_Date]" caption="Application_Date" attribute="1" defaultMemberUniqueName="[Applications].[Application_Date].[All]" allUniqueName="[Applications].[Application_Date].[All]" dimensionUniqueName="[Applications]" displayFolder="" count="0" memberValueDatatype="130" unbalanced="0"/>
    <cacheHierarchy uniqueName="[Applications].[Current_StageID]" caption="Current_StageID" attribute="1" defaultMemberUniqueName="[Applications].[Current_StageID].[All]" allUniqueName="[Applications].[Current_StageID].[All]" dimensionUniqueName="[Applications]" displayFolder="" count="0" memberValueDatatype="20" unbalanced="0"/>
    <cacheHierarchy uniqueName="[Applications].[Final_Status]" caption="Final_Status" attribute="1" defaultMemberUniqueName="[Applications].[Final_Status].[All]" allUniqueName="[Applications].[Final_Status].[All]" dimensionUniqueName="[Applications]" displayFolder="" count="0" memberValueDatatype="130" unbalanced="0"/>
    <cacheHierarchy uniqueName="[Applications].[Assessment_Score]" caption="Assessment_Score" attribute="1" defaultMemberUniqueName="[Applications].[Assessment_Score].[All]" allUniqueName="[Applications].[Assessment_Score].[All]" dimensionUniqueName="[Applications]" displayFolder="" count="0" memberValueDatatype="20" unbalanced="0"/>
    <cacheHierarchy uniqueName="[Applications].[Interview_Score]" caption="Interview_Score" attribute="1" defaultMemberUniqueName="[Applications].[Interview_Score].[All]" allUniqueName="[Applications].[Interview_Score].[All]" dimensionUniqueName="[Applications]" displayFolder="" count="0" memberValueDatatype="20" unbalanced="0"/>
    <cacheHierarchy uniqueName="[Applications].[Time_to_Hire_Days]" caption="Time_to_Hire_Days" attribute="1" defaultMemberUniqueName="[Applications].[Time_to_Hire_Days].[All]" allUniqueName="[Applications].[Time_to_Hire_Days].[All]" dimensionUniqueName="[Applications]" displayFolder="" count="0" memberValueDatatype="20" unbalanced="0"/>
    <cacheHierarchy uniqueName="[Applications].[Rejection_Reason]" caption="Rejection_Reason" attribute="1" defaultMemberUniqueName="[Applications].[Rejection_Reason].[All]" allUniqueName="[Applications].[Rejection_Reason].[All]" dimensionUniqueName="[Applications]" displayFolder="" count="0" memberValueDatatype="130" unbalanced="0"/>
    <cacheHierarchy uniqueName="[Candidates].[CandidateID]" caption="CandidateID" attribute="1" defaultMemberUniqueName="[Candidates].[CandidateID].[All]" allUniqueName="[Candidates].[CandidateID].[All]" dimensionUniqueName="[Candidates]" displayFolder="" count="0" memberValueDatatype="130" unbalanced="0"/>
    <cacheHierarchy uniqueName="[Candidates].[Candidate_Name]" caption="Candidate_Name" attribute="1" defaultMemberUniqueName="[Candidates].[Candidate_Name].[All]" allUniqueName="[Candidates].[Candidate_Name].[All]" dimensionUniqueName="[Candidates]" displayFolder="" count="0" memberValueDatatype="130" unbalanced="0"/>
    <cacheHierarchy uniqueName="[Candidates].[Education_Level]" caption="Education_Level" attribute="1" defaultMemberUniqueName="[Candidates].[Education_Level].[All]" allUniqueName="[Candidates].[Education_Level].[All]" dimensionUniqueName="[Candidates]" displayFolder="" count="0" memberValueDatatype="130" unbalanced="0"/>
    <cacheHierarchy uniqueName="[Candidates].[Experience_Years]" caption="Experience_Years" attribute="1" defaultMemberUniqueName="[Candidates].[Experience_Years].[All]" allUniqueName="[Candidates].[Experience_Years].[All]" dimensionUniqueName="[Candidates]" displayFolder="" count="0" memberValueDatatype="20" unbalanced="0"/>
    <cacheHierarchy uniqueName="[Candidates].[Sourcing_Channel]" caption="Sourcing_Channel" attribute="1" defaultMemberUniqueName="[Candidates].[Sourcing_Channel].[All]" allUniqueName="[Candidates].[Sourcing_Channel].[All]" dimensionUniqueName="[Candidates]" displayFolder="" count="0" memberValueDatatype="130" unbalanced="0"/>
    <cacheHierarchy uniqueName="[Jobs].[JobID]" caption="JobID" attribute="1" defaultMemberUniqueName="[Jobs].[JobID].[All]" allUniqueName="[Jobs].[JobID].[All]" dimensionUniqueName="[Jobs]" displayFolder="" count="0" memberValueDatatype="130" unbalanced="0"/>
    <cacheHierarchy uniqueName="[Jobs].[Department]" caption="Department" attribute="1" defaultMemberUniqueName="[Jobs].[Department].[All]" allUniqueName="[Jobs].[Department].[All]" dimensionUniqueName="[Jobs]" displayFolder="" count="2" memberValueDatatype="130" unbalanced="0">
      <fieldsUsage count="2">
        <fieldUsage x="-1"/>
        <fieldUsage x="3"/>
      </fieldsUsage>
    </cacheHierarchy>
    <cacheHierarchy uniqueName="[Jobs].[Job_Title]" caption="Job_Title" attribute="1" defaultMemberUniqueName="[Jobs].[Job_Title].[All]" allUniqueName="[Jobs].[Job_Title].[All]" dimensionUniqueName="[Jobs]" displayFolder="" count="0" memberValueDatatype="130" unbalanced="0"/>
    <cacheHierarchy uniqueName="[Jobs].[Level]" caption="Level" attribute="1" defaultMemberUniqueName="[Jobs].[Level].[All]" allUniqueName="[Jobs].[Level].[All]" dimensionUniqueName="[Jobs]" displayFolder="" count="0" memberValueDatatype="130" unbalanced="0"/>
    <cacheHierarchy uniqueName="[Jobs].[Hiring_Manager]" caption="Hiring_Manager" attribute="1" defaultMemberUniqueName="[Jobs].[Hiring_Manager].[All]" allUniqueName="[Jobs].[Hiring_Manager].[All]" dimensionUniqueName="[Jobs]" displayFolder="" count="0" memberValueDatatype="130" unbalanced="0"/>
    <cacheHierarchy uniqueName="[Jobs].[Date_Opened]" caption="Date_Opened" attribute="1" defaultMemberUniqueName="[Jobs].[Date_Opened].[All]" allUniqueName="[Jobs].[Date_Opened].[All]" dimensionUniqueName="[Jobs]" displayFolder="" count="0" memberValueDatatype="130" unbalanced="0"/>
    <cacheHierarchy uniqueName="[Jobs].[Target_SLA_Days]" caption="Target_SLA_Days" attribute="1" defaultMemberUniqueName="[Jobs].[Target_SLA_Days].[All]" allUniqueName="[Jobs].[Target_SLA_Days].[All]" dimensionUniqueName="[Jobs]" displayFolder="" count="0" memberValueDatatype="20" unbalanced="0"/>
    <cacheHierarchy uniqueName="[Jobs].[Budgeted_Salary]" caption="Budgeted_Salary" attribute="1" defaultMemberUniqueName="[Jobs].[Budgeted_Salary].[All]" allUniqueName="[Jobs].[Budgeted_Salary].[All]" dimensionUniqueName="[Jobs]" displayFolder="" count="0" memberValueDatatype="20" unbalanced="0"/>
    <cacheHierarchy uniqueName="[Recruiters].[RecruiterID]" caption="RecruiterID" attribute="1" defaultMemberUniqueName="[Recruiters].[RecruiterID].[All]" allUniqueName="[Recruiters].[RecruiterID].[All]" dimensionUniqueName="[Recruiters]" displayFolder="" count="0" memberValueDatatype="130" unbalanced="0"/>
    <cacheHierarchy uniqueName="[Recruiters].[Recruiter_Name]" caption="Recruiter_Name" attribute="1" defaultMemberUniqueName="[Recruiters].[Recruiter_Name].[All]" allUniqueName="[Recruiters].[Recruiter_Name].[All]" dimensionUniqueName="[Recruiters]" displayFolder="" count="2" memberValueDatatype="130" unbalanced="0">
      <fieldsUsage count="2">
        <fieldUsage x="-1"/>
        <fieldUsage x="0"/>
      </fieldsUsage>
    </cacheHierarchy>
    <cacheHierarchy uniqueName="[Recruiters].[Specialization]" caption="Specialization" attribute="1" defaultMemberUniqueName="[Recruiters].[Specialization].[All]" allUniqueName="[Recruiters].[Specialization].[All]" dimensionUniqueName="[Recruiters]" displayFolder="" count="0" memberValueDatatype="130" unbalanced="0"/>
    <cacheHierarchy uniqueName="[Recruiters].[Seniority]" caption="Seniority" attribute="1" defaultMemberUniqueName="[Recruiters].[Seniority].[All]" allUniqueName="[Recruiters].[Seniority].[All]" dimensionUniqueName="[Recruiters]" displayFolder="" count="2" memberValueDatatype="130" unbalanced="0">
      <fieldsUsage count="2">
        <fieldUsage x="-1"/>
        <fieldUsage x="4"/>
      </fieldsUsage>
    </cacheHierarchy>
    <cacheHierarchy uniqueName="[StageMovements].[ApplicationID]" caption="ApplicationID" attribute="1" defaultMemberUniqueName="[StageMovements].[ApplicationID].[All]" allUniqueName="[StageMovements].[ApplicationID].[All]" dimensionUniqueName="[StageMovements]" displayFolder="" count="0" memberValueDatatype="130" unbalanced="0"/>
    <cacheHierarchy uniqueName="[StageMovements].[CandidateID]" caption="CandidateID" attribute="1" defaultMemberUniqueName="[StageMovements].[CandidateID].[All]" allUniqueName="[StageMovements].[CandidateID].[All]" dimensionUniqueName="[StageMovements]" displayFolder="" count="0" memberValueDatatype="130" unbalanced="0"/>
    <cacheHierarchy uniqueName="[StageMovements].[JobID]" caption="JobID" attribute="1" defaultMemberUniqueName="[StageMovements].[JobID].[All]" allUniqueName="[StageMovements].[JobID].[All]" dimensionUniqueName="[StageMovements]" displayFolder="" count="0" memberValueDatatype="130" unbalanced="0"/>
    <cacheHierarchy uniqueName="[StageMovements].[StageID]" caption="StageID" attribute="1" defaultMemberUniqueName="[StageMovements].[StageID].[All]" allUniqueName="[StageMovements].[StageID].[All]" dimensionUniqueName="[StageMovements]" displayFolder="" count="0" memberValueDatatype="20" unbalanced="0"/>
    <cacheHierarchy uniqueName="[StageMovements].[Stage_Enter_Date]" caption="Stage_Enter_Date" attribute="1" defaultMemberUniqueName="[StageMovements].[Stage_Enter_Date].[All]" allUniqueName="[StageMovements].[Stage_Enter_Date].[All]" dimensionUniqueName="[StageMovements]" displayFolder="" count="0" memberValueDatatype="130" unbalanced="0"/>
    <cacheHierarchy uniqueName="[StageMovements].[Stage_Status]" caption="Stage_Status" attribute="1" defaultMemberUniqueName="[StageMovements].[Stage_Status].[All]" allUniqueName="[StageMovements].[Stage_Status].[All]" dimensionUniqueName="[StageMovements]" displayFolder="" count="0" memberValueDatatype="130" unbalanced="0"/>
    <cacheHierarchy uniqueName="[Stages].[StageID]" caption="StageID" attribute="1" defaultMemberUniqueName="[Stages].[StageID].[All]" allUniqueName="[Stages].[StageID].[All]" dimensionUniqueName="[Stages]" displayFolder="" count="0" memberValueDatatype="20" unbalanced="0"/>
    <cacheHierarchy uniqueName="[Stages].[Stage_Name]" caption="Stage_Name" attribute="1" defaultMemberUniqueName="[Stages].[Stage_Name].[All]" allUniqueName="[Stages].[Stage_Name].[All]" dimensionUniqueName="[Stages]" displayFolder="" count="0" memberValueDatatype="130" unbalanced="0"/>
    <cacheHierarchy uniqueName="[Stages].[Standard_SLA_Days]" caption="Standard_SLA_Days" attribute="1" defaultMemberUniqueName="[Stages].[Standard_SLA_Days].[All]" allUniqueName="[Stages].[Standard_SLA_Days].[All]" dimensionUniqueName="[Stages]" displayFolder="" count="0" memberValueDatatype="20" unbalanced="0"/>
    <cacheHierarchy uniqueName="[Measures].[Total Job Requisitions]" caption="Total Job Requisitions" measure="1" displayFolder="" measureGroup="Applications" count="0"/>
    <cacheHierarchy uniqueName="[Measures].[Total Applications]" caption="Total Applications" measure="1" displayFolder="" measureGroup="Applications" count="0"/>
    <cacheHierarchy uniqueName="[Measures].[Total Hired]" caption="Total Hired" measure="1" displayFolder="" measureGroup="Applications" count="0" oneField="1">
      <fieldsUsage count="1">
        <fieldUsage x="1"/>
      </fieldsUsage>
    </cacheHierarchy>
    <cacheHierarchy uniqueName="[Measures].[Overall Hire Conversion]" caption="Overall Hire Conversion" measure="1" displayFolder="" measureGroup="Applications" count="0"/>
    <cacheHierarchy uniqueName="[Measures].[Total Stage Entrants]" caption="Total Stage Entrants" measure="1" displayFolder="" measureGroup="StageMovements" count="0"/>
    <cacheHierarchy uniqueName="[Measures].[Stage Conversion Rate]" caption="Stage Conversion Rate" measure="1" displayFolder="" measureGroup="StageMovements" count="0"/>
    <cacheHierarchy uniqueName="[Measures].[Avg Time to Hire]" caption="Avg Time to Hire" measure="1" displayFolder="" measureGroup="Applications" count="0"/>
    <cacheHierarchy uniqueName="[Measures].[SLA Variance Days]" caption="SLA Variance Days" measure="1" displayFolder="" measureGroup="Applications" count="0" oneField="1">
      <fieldsUsage count="1">
        <fieldUsage x="2"/>
      </fieldsUsage>
    </cacheHierarchy>
    <cacheHierarchy uniqueName="[Measures].[__XL_Count Table1]" caption="__XL_Count Table1" measure="1" displayFolder="" measureGroup="Jobs" count="0" hidden="1"/>
    <cacheHierarchy uniqueName="[Measures].[__XL_Count Table4]" caption="__XL_Count Table4" measure="1" displayFolder="" measureGroup="Recruiters" count="0" hidden="1"/>
    <cacheHierarchy uniqueName="[Measures].[__XL_Count Stages]" caption="__XL_Count Stages" measure="1" displayFolder="" measureGroup="Stages" count="0" hidden="1"/>
    <cacheHierarchy uniqueName="[Measures].[__XL_Count Candidates]" caption="__XL_Count Candidates" measure="1" displayFolder="" measureGroup="Candidates" count="0" hidden="1"/>
    <cacheHierarchy uniqueName="[Measures].[__XL_Count Table8]" caption="__XL_Count Table8" measure="1" displayFolder="" measureGroup="Applications" count="0" hidden="1"/>
    <cacheHierarchy uniqueName="[Measures].[__XL_Count StageMovements]" caption="__XL_Count StageMovements" measure="1" displayFolder="" measureGroup="StageMovements" count="0" hidden="1"/>
    <cacheHierarchy uniqueName="[Measures].[__No measures defined]" caption="__No measures defined" measure="1" displayFolder="" count="0" hidden="1"/>
  </cacheHierarchies>
  <kpis count="0"/>
  <dimensions count="7">
    <dimension name="Applications" uniqueName="[Applications]" caption="Applications"/>
    <dimension name="Candidates" uniqueName="[Candidates]" caption="Candidates"/>
    <dimension name="Jobs" uniqueName="[Jobs]" caption="Jobs"/>
    <dimension measure="1" name="Measures" uniqueName="[Measures]" caption="Measures"/>
    <dimension name="Recruiters" uniqueName="[Recruiters]" caption="Recruiters"/>
    <dimension name="StageMovements" uniqueName="[StageMovements]" caption="StageMovements"/>
    <dimension name="Stages" uniqueName="[Stages]" caption="Stages"/>
  </dimensions>
  <measureGroups count="6">
    <measureGroup name="Applications" caption="Applications"/>
    <measureGroup name="Candidates" caption="Candidates"/>
    <measureGroup name="Jobs" caption="Jobs"/>
    <measureGroup name="Recruiters" caption="Recruiters"/>
    <measureGroup name="StageMovements" caption="StageMovements"/>
    <measureGroup name="Stages" caption="Stages"/>
  </measureGroups>
  <maps count="13">
    <map measureGroup="0" dimension="0"/>
    <map measureGroup="0" dimension="2"/>
    <map measureGroup="0" dimension="4"/>
    <map measureGroup="1" dimension="0"/>
    <map measureGroup="1" dimension="1"/>
    <map measureGroup="1" dimension="2"/>
    <map measureGroup="1" dimension="4"/>
    <map measureGroup="2" dimension="2"/>
    <map measureGroup="3" dimension="4"/>
    <map measureGroup="4" dimension="2"/>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hanshu" refreshedDate="46236.514916435182" backgroundQuery="1" createdVersion="3" refreshedVersion="8" minRefreshableVersion="3" recordCount="0" supportSubquery="1" supportAdvancedDrill="1" xr:uid="{F769F415-BFBC-4B1C-9018-37051046CE64}">
  <cacheSource type="external" connectionId="1">
    <extLst>
      <ext xmlns:x14="http://schemas.microsoft.com/office/spreadsheetml/2009/9/main" uri="{F057638F-6D5F-4e77-A914-E7F072B9BCA8}">
        <x14:sourceConnection name="ThisWorkbookDataModel"/>
      </ext>
    </extLst>
  </cacheSource>
  <cacheFields count="0"/>
  <cacheHierarchies count="52">
    <cacheHierarchy uniqueName="[Applications].[ApplicationID]" caption="ApplicationID" attribute="1" defaultMemberUniqueName="[Applications].[ApplicationID].[All]" allUniqueName="[Applications].[ApplicationID].[All]" dimensionUniqueName="[Applications]" displayFolder="" count="0" memberValueDatatype="130" unbalanced="0"/>
    <cacheHierarchy uniqueName="[Applications].[CandidateID]" caption="CandidateID" attribute="1" defaultMemberUniqueName="[Applications].[CandidateID].[All]" allUniqueName="[Applications].[CandidateID].[All]" dimensionUniqueName="[Applications]" displayFolder="" count="0" memberValueDatatype="130" unbalanced="0"/>
    <cacheHierarchy uniqueName="[Applications].[JobID]" caption="JobID" attribute="1" defaultMemberUniqueName="[Applications].[JobID].[All]" allUniqueName="[Applications].[JobID].[All]" dimensionUniqueName="[Applications]" displayFolder="" count="0" memberValueDatatype="130" unbalanced="0"/>
    <cacheHierarchy uniqueName="[Applications].[RecruiterID]" caption="RecruiterID" attribute="1" defaultMemberUniqueName="[Applications].[RecruiterID].[All]" allUniqueName="[Applications].[RecruiterID].[All]" dimensionUniqueName="[Applications]" displayFolder="" count="0" memberValueDatatype="130" unbalanced="0"/>
    <cacheHierarchy uniqueName="[Applications].[Application_Date]" caption="Application_Date" attribute="1" defaultMemberUniqueName="[Applications].[Application_Date].[All]" allUniqueName="[Applications].[Application_Date].[All]" dimensionUniqueName="[Applications]" displayFolder="" count="0" memberValueDatatype="130" unbalanced="0"/>
    <cacheHierarchy uniqueName="[Applications].[Current_StageID]" caption="Current_StageID" attribute="1" defaultMemberUniqueName="[Applications].[Current_StageID].[All]" allUniqueName="[Applications].[Current_StageID].[All]" dimensionUniqueName="[Applications]" displayFolder="" count="0" memberValueDatatype="20" unbalanced="0"/>
    <cacheHierarchy uniqueName="[Applications].[Final_Status]" caption="Final_Status" attribute="1" defaultMemberUniqueName="[Applications].[Final_Status].[All]" allUniqueName="[Applications].[Final_Status].[All]" dimensionUniqueName="[Applications]" displayFolder="" count="0" memberValueDatatype="130" unbalanced="0"/>
    <cacheHierarchy uniqueName="[Applications].[Assessment_Score]" caption="Assessment_Score" attribute="1" defaultMemberUniqueName="[Applications].[Assessment_Score].[All]" allUniqueName="[Applications].[Assessment_Score].[All]" dimensionUniqueName="[Applications]" displayFolder="" count="0" memberValueDatatype="20" unbalanced="0"/>
    <cacheHierarchy uniqueName="[Applications].[Interview_Score]" caption="Interview_Score" attribute="1" defaultMemberUniqueName="[Applications].[Interview_Score].[All]" allUniqueName="[Applications].[Interview_Score].[All]" dimensionUniqueName="[Applications]" displayFolder="" count="0" memberValueDatatype="20" unbalanced="0"/>
    <cacheHierarchy uniqueName="[Applications].[Time_to_Hire_Days]" caption="Time_to_Hire_Days" attribute="1" defaultMemberUniqueName="[Applications].[Time_to_Hire_Days].[All]" allUniqueName="[Applications].[Time_to_Hire_Days].[All]" dimensionUniqueName="[Applications]" displayFolder="" count="0" memberValueDatatype="20" unbalanced="0"/>
    <cacheHierarchy uniqueName="[Applications].[Rejection_Reason]" caption="Rejection_Reason" attribute="1" defaultMemberUniqueName="[Applications].[Rejection_Reason].[All]" allUniqueName="[Applications].[Rejection_Reason].[All]" dimensionUniqueName="[Applications]" displayFolder="" count="0" memberValueDatatype="130" unbalanced="0"/>
    <cacheHierarchy uniqueName="[Candidates].[CandidateID]" caption="CandidateID" attribute="1" defaultMemberUniqueName="[Candidates].[CandidateID].[All]" allUniqueName="[Candidates].[CandidateID].[All]" dimensionUniqueName="[Candidates]" displayFolder="" count="0" memberValueDatatype="130" unbalanced="0"/>
    <cacheHierarchy uniqueName="[Candidates].[Candidate_Name]" caption="Candidate_Name" attribute="1" defaultMemberUniqueName="[Candidates].[Candidate_Name].[All]" allUniqueName="[Candidates].[Candidate_Name].[All]" dimensionUniqueName="[Candidates]" displayFolder="" count="0" memberValueDatatype="130" unbalanced="0"/>
    <cacheHierarchy uniqueName="[Candidates].[Education_Level]" caption="Education_Level" attribute="1" defaultMemberUniqueName="[Candidates].[Education_Level].[All]" allUniqueName="[Candidates].[Education_Level].[All]" dimensionUniqueName="[Candidates]" displayFolder="" count="0" memberValueDatatype="130" unbalanced="0"/>
    <cacheHierarchy uniqueName="[Candidates].[Experience_Years]" caption="Experience_Years" attribute="1" defaultMemberUniqueName="[Candidates].[Experience_Years].[All]" allUniqueName="[Candidates].[Experience_Years].[All]" dimensionUniqueName="[Candidates]" displayFolder="" count="0" memberValueDatatype="20" unbalanced="0"/>
    <cacheHierarchy uniqueName="[Candidates].[Sourcing_Channel]" caption="Sourcing_Channel" attribute="1" defaultMemberUniqueName="[Candidates].[Sourcing_Channel].[All]" allUniqueName="[Candidates].[Sourcing_Channel].[All]" dimensionUniqueName="[Candidates]" displayFolder="" count="0" memberValueDatatype="130" unbalanced="0"/>
    <cacheHierarchy uniqueName="[Jobs].[JobID]" caption="JobID" attribute="1" defaultMemberUniqueName="[Jobs].[JobID].[All]" allUniqueName="[Jobs].[JobID].[All]" dimensionUniqueName="[Jobs]" displayFolder="" count="0" memberValueDatatype="130" unbalanced="0"/>
    <cacheHierarchy uniqueName="[Jobs].[Department]" caption="Department" attribute="1" defaultMemberUniqueName="[Jobs].[Department].[All]" allUniqueName="[Jobs].[Department].[All]" dimensionUniqueName="[Jobs]" displayFolder="" count="2" memberValueDatatype="130" unbalanced="0"/>
    <cacheHierarchy uniqueName="[Jobs].[Job_Title]" caption="Job_Title" attribute="1" defaultMemberUniqueName="[Jobs].[Job_Title].[All]" allUniqueName="[Jobs].[Job_Title].[All]" dimensionUniqueName="[Jobs]" displayFolder="" count="0" memberValueDatatype="130" unbalanced="0"/>
    <cacheHierarchy uniqueName="[Jobs].[Level]" caption="Level" attribute="1" defaultMemberUniqueName="[Jobs].[Level].[All]" allUniqueName="[Jobs].[Level].[All]" dimensionUniqueName="[Jobs]" displayFolder="" count="0" memberValueDatatype="130" unbalanced="0"/>
    <cacheHierarchy uniqueName="[Jobs].[Hiring_Manager]" caption="Hiring_Manager" attribute="1" defaultMemberUniqueName="[Jobs].[Hiring_Manager].[All]" allUniqueName="[Jobs].[Hiring_Manager].[All]" dimensionUniqueName="[Jobs]" displayFolder="" count="0" memberValueDatatype="130" unbalanced="0"/>
    <cacheHierarchy uniqueName="[Jobs].[Date_Opened]" caption="Date_Opened" attribute="1" defaultMemberUniqueName="[Jobs].[Date_Opened].[All]" allUniqueName="[Jobs].[Date_Opened].[All]" dimensionUniqueName="[Jobs]" displayFolder="" count="0" memberValueDatatype="130" unbalanced="0"/>
    <cacheHierarchy uniqueName="[Jobs].[Target_SLA_Days]" caption="Target_SLA_Days" attribute="1" defaultMemberUniqueName="[Jobs].[Target_SLA_Days].[All]" allUniqueName="[Jobs].[Target_SLA_Days].[All]" dimensionUniqueName="[Jobs]" displayFolder="" count="0" memberValueDatatype="20" unbalanced="0"/>
    <cacheHierarchy uniqueName="[Jobs].[Budgeted_Salary]" caption="Budgeted_Salary" attribute="1" defaultMemberUniqueName="[Jobs].[Budgeted_Salary].[All]" allUniqueName="[Jobs].[Budgeted_Salary].[All]" dimensionUniqueName="[Jobs]" displayFolder="" count="0" memberValueDatatype="20" unbalanced="0"/>
    <cacheHierarchy uniqueName="[Recruiters].[RecruiterID]" caption="RecruiterID" attribute="1" defaultMemberUniqueName="[Recruiters].[RecruiterID].[All]" allUniqueName="[Recruiters].[RecruiterID].[All]" dimensionUniqueName="[Recruiters]" displayFolder="" count="0" memberValueDatatype="130" unbalanced="0"/>
    <cacheHierarchy uniqueName="[Recruiters].[Recruiter_Name]" caption="Recruiter_Name" attribute="1" defaultMemberUniqueName="[Recruiters].[Recruiter_Name].[All]" allUniqueName="[Recruiters].[Recruiter_Name].[All]" dimensionUniqueName="[Recruiters]" displayFolder="" count="2" memberValueDatatype="130" unbalanced="0"/>
    <cacheHierarchy uniqueName="[Recruiters].[Specialization]" caption="Specialization" attribute="1" defaultMemberUniqueName="[Recruiters].[Specialization].[All]" allUniqueName="[Recruiters].[Specialization].[All]" dimensionUniqueName="[Recruiters]" displayFolder="" count="0" memberValueDatatype="130" unbalanced="0"/>
    <cacheHierarchy uniqueName="[Recruiters].[Seniority]" caption="Seniority" attribute="1" defaultMemberUniqueName="[Recruiters].[Seniority].[All]" allUniqueName="[Recruiters].[Seniority].[All]" dimensionUniqueName="[Recruiters]" displayFolder="" count="2" memberValueDatatype="130" unbalanced="0"/>
    <cacheHierarchy uniqueName="[StageMovements].[ApplicationID]" caption="ApplicationID" attribute="1" defaultMemberUniqueName="[StageMovements].[ApplicationID].[All]" allUniqueName="[StageMovements].[ApplicationID].[All]" dimensionUniqueName="[StageMovements]" displayFolder="" count="0" memberValueDatatype="130" unbalanced="0"/>
    <cacheHierarchy uniqueName="[StageMovements].[CandidateID]" caption="CandidateID" attribute="1" defaultMemberUniqueName="[StageMovements].[CandidateID].[All]" allUniqueName="[StageMovements].[CandidateID].[All]" dimensionUniqueName="[StageMovements]" displayFolder="" count="0" memberValueDatatype="130" unbalanced="0"/>
    <cacheHierarchy uniqueName="[StageMovements].[JobID]" caption="JobID" attribute="1" defaultMemberUniqueName="[StageMovements].[JobID].[All]" allUniqueName="[StageMovements].[JobID].[All]" dimensionUniqueName="[StageMovements]" displayFolder="" count="0" memberValueDatatype="130" unbalanced="0"/>
    <cacheHierarchy uniqueName="[StageMovements].[StageID]" caption="StageID" attribute="1" defaultMemberUniqueName="[StageMovements].[StageID].[All]" allUniqueName="[StageMovements].[StageID].[All]" dimensionUniqueName="[StageMovements]" displayFolder="" count="0" memberValueDatatype="20" unbalanced="0"/>
    <cacheHierarchy uniqueName="[StageMovements].[Stage_Enter_Date]" caption="Stage_Enter_Date" attribute="1" defaultMemberUniqueName="[StageMovements].[Stage_Enter_Date].[All]" allUniqueName="[StageMovements].[Stage_Enter_Date].[All]" dimensionUniqueName="[StageMovements]" displayFolder="" count="0" memberValueDatatype="130" unbalanced="0"/>
    <cacheHierarchy uniqueName="[StageMovements].[Stage_Status]" caption="Stage_Status" attribute="1" defaultMemberUniqueName="[StageMovements].[Stage_Status].[All]" allUniqueName="[StageMovements].[Stage_Status].[All]" dimensionUniqueName="[StageMovements]" displayFolder="" count="0" memberValueDatatype="130" unbalanced="0"/>
    <cacheHierarchy uniqueName="[Stages].[StageID]" caption="StageID" attribute="1" defaultMemberUniqueName="[Stages].[StageID].[All]" allUniqueName="[Stages].[StageID].[All]" dimensionUniqueName="[Stages]" displayFolder="" count="0" memberValueDatatype="20" unbalanced="0"/>
    <cacheHierarchy uniqueName="[Stages].[Stage_Name]" caption="Stage_Name" attribute="1" defaultMemberUniqueName="[Stages].[Stage_Name].[All]" allUniqueName="[Stages].[Stage_Name].[All]" dimensionUniqueName="[Stages]" displayFolder="" count="0" memberValueDatatype="130" unbalanced="0"/>
    <cacheHierarchy uniqueName="[Stages].[Standard_SLA_Days]" caption="Standard_SLA_Days" attribute="1" defaultMemberUniqueName="[Stages].[Standard_SLA_Days].[All]" allUniqueName="[Stages].[Standard_SLA_Days].[All]" dimensionUniqueName="[Stages]" displayFolder="" count="0" memberValueDatatype="20" unbalanced="0"/>
    <cacheHierarchy uniqueName="[Measures].[Total Job Requisitions]" caption="Total Job Requisitions" measure="1" displayFolder="" measureGroup="Applications" count="0"/>
    <cacheHierarchy uniqueName="[Measures].[Total Applications]" caption="Total Applications" measure="1" displayFolder="" measureGroup="Applications" count="0"/>
    <cacheHierarchy uniqueName="[Measures].[Total Hired]" caption="Total Hired" measure="1" displayFolder="" measureGroup="Applications" count="0"/>
    <cacheHierarchy uniqueName="[Measures].[Overall Hire Conversion]" caption="Overall Hire Conversion" measure="1" displayFolder="" measureGroup="Applications" count="0"/>
    <cacheHierarchy uniqueName="[Measures].[Total Stage Entrants]" caption="Total Stage Entrants" measure="1" displayFolder="" measureGroup="StageMovements" count="0"/>
    <cacheHierarchy uniqueName="[Measures].[Stage Conversion Rate]" caption="Stage Conversion Rate" measure="1" displayFolder="" measureGroup="StageMovements" count="0"/>
    <cacheHierarchy uniqueName="[Measures].[Avg Time to Hire]" caption="Avg Time to Hire" measure="1" displayFolder="" measureGroup="Applications" count="0"/>
    <cacheHierarchy uniqueName="[Measures].[SLA Variance Days]" caption="SLA Variance Days" measure="1" displayFolder="" measureGroup="Applications" count="0"/>
    <cacheHierarchy uniqueName="[Measures].[__XL_Count Table1]" caption="__XL_Count Table1" measure="1" displayFolder="" measureGroup="Jobs" count="0" hidden="1"/>
    <cacheHierarchy uniqueName="[Measures].[__XL_Count Table4]" caption="__XL_Count Table4" measure="1" displayFolder="" measureGroup="Recruiters" count="0" hidden="1"/>
    <cacheHierarchy uniqueName="[Measures].[__XL_Count Stages]" caption="__XL_Count Stages" measure="1" displayFolder="" measureGroup="Stages" count="0" hidden="1"/>
    <cacheHierarchy uniqueName="[Measures].[__XL_Count Candidates]" caption="__XL_Count Candidates" measure="1" displayFolder="" measureGroup="Candidates" count="0" hidden="1"/>
    <cacheHierarchy uniqueName="[Measures].[__XL_Count Table8]" caption="__XL_Count Table8" measure="1" displayFolder="" measureGroup="Applications" count="0" hidden="1"/>
    <cacheHierarchy uniqueName="[Measures].[__XL_Count StageMovements]" caption="__XL_Count StageMovements" measure="1" displayFolder="" measureGroup="StageMovemen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3406319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2BA55B-B594-4AF4-9563-4745E6559CBF}" name="PivotTable2" cacheId="11" applyNumberFormats="0" applyBorderFormats="0" applyFontFormats="0" applyPatternFormats="0" applyAlignmentFormats="0" applyWidthHeightFormats="1" dataCaption="Values" tag="91224d32-cc57-4c51-904e-a3bcb5ffc6d1" updatedVersion="8" minRefreshableVersion="3" useAutoFormatting="1" rowGrandTotals="0" colGrandTotals="0" itemPrintTitles="1" createdVersion="8" indent="0" outline="1" outlineData="1" multipleFieldFilters="0" chartFormat="10">
  <location ref="F1:H8" firstHeaderRow="0" firstDataRow="1" firstDataCol="1"/>
  <pivotFields count="6">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x v="6"/>
    </i>
  </rowItems>
  <colFields count="1">
    <field x="-2"/>
  </colFields>
  <colItems count="2">
    <i>
      <x/>
    </i>
    <i i="1">
      <x v="1"/>
    </i>
  </colItems>
  <dataFields count="2">
    <dataField fld="1" subtotal="count" baseField="0" baseItem="0"/>
    <dataField fld="2" subtotal="count" baseField="0" baseItem="0" numFmtId="2"/>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ges]"/>
        <x15:activeTabTopLevelEntity name="[StageMove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DCCADB-5194-4681-8480-FF20233C50BC}" name="PivotTable1" cacheId="8" applyNumberFormats="0" applyBorderFormats="0" applyFontFormats="0" applyPatternFormats="0" applyAlignmentFormats="0" applyWidthHeightFormats="1" dataCaption="Values" tag="ab286245-de87-4219-9e43-756207369677" updatedVersion="8" minRefreshableVersion="3" useAutoFormatting="1" itemPrintTitles="1" createdVersion="8" indent="0" outline="1" outlineData="1" multipleFieldFilters="0">
  <location ref="A1:D2"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pplic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8E6AFA-A12A-4988-B647-A20C9547471F}" name="PivotTable4" cacheId="14" applyNumberFormats="0" applyBorderFormats="0" applyFontFormats="0" applyPatternFormats="0" applyAlignmentFormats="0" applyWidthHeightFormats="1" dataCaption="Values" tag="65343bdf-3f71-4bf5-b046-f8f7a5c292d7" updatedVersion="8" minRefreshableVersion="3" useAutoFormatting="1" rowGrandTotals="0" colGrandTotals="0" itemPrintTitles="1" createdVersion="8" indent="0" outline="1" outlineData="1" multipleFieldFilters="0" chartFormat="16">
  <location ref="AA1:AB8" firstHeaderRow="1" firstDataRow="1" firstDataCol="1"/>
  <pivotFields count="5">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x v="6"/>
    </i>
  </rowItems>
  <colItems count="1">
    <i/>
  </colItems>
  <dataFields count="1">
    <dataField fld="1" subtotal="count" baseField="0" baseItem="0"/>
  </dataFields>
  <chartFormats count="7">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0" count="1" selected="0">
            <x v="2"/>
          </reference>
        </references>
      </pivotArea>
    </chartFormat>
    <chartFormat chart="13" format="4">
      <pivotArea type="data" outline="0" fieldPosition="0">
        <references count="2">
          <reference field="4294967294" count="1" selected="0">
            <x v="0"/>
          </reference>
          <reference field="0" count="1" selected="0">
            <x v="3"/>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ges]"/>
        <x15:activeTabTopLevelEntity name="[StageMove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B073BE-D89D-4813-B3DA-1CECDA26B050}" name="PivotTable3" cacheId="17" applyNumberFormats="0" applyBorderFormats="0" applyFontFormats="0" applyPatternFormats="0" applyAlignmentFormats="0" applyWidthHeightFormats="1" dataCaption="Values" tag="210da72b-229a-4d86-ba8f-f6ff2d4e78ab" updatedVersion="8" minRefreshableVersion="3" useAutoFormatting="1" subtotalHiddenItems="1" itemPrintTitles="1" createdVersion="8" indent="0" outline="1" outlineData="1" multipleFieldFilters="0" chartFormat="11">
  <location ref="J1:L10" firstHeaderRow="0" firstDataRow="1" firstDataCol="1"/>
  <pivotFields count="5">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Fields count="1">
    <field x="-2"/>
  </colFields>
  <colItems count="2">
    <i>
      <x/>
    </i>
    <i i="1">
      <x v="1"/>
    </i>
  </colItems>
  <dataFields count="2">
    <dataField fld="1" subtotal="count" baseField="0" baseItem="0"/>
    <dataField fld="2" subtotal="count" baseField="0" baseItem="0"/>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cruiters]"/>
        <x15:activeTabTopLevelEntity name="[Application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cruiter_Name" xr10:uid="{47702E38-3D1E-4263-BE8A-B8F362725650}" sourceName="[Recruiters].[Recruiter_Name]">
  <pivotTables>
    <pivotTable tabId="8" name="PivotTable3"/>
    <pivotTable tabId="8" name="PivotTable1"/>
    <pivotTable tabId="8" name="PivotTable2"/>
    <pivotTable tabId="8" name="PivotTable4"/>
  </pivotTables>
  <data>
    <olap pivotCacheId="434063197">
      <levels count="2">
        <level uniqueName="[Recruiters].[Recruiter_Name].[(All)]" sourceCaption="(All)" count="0"/>
        <level uniqueName="[Recruiters].[Recruiter_Name].[Recruiter_Name]" sourceCaption="Recruiter_Name" count="8">
          <ranges>
            <range startItem="0">
              <i n="[Recruiters].[Recruiter_Name].&amp;[Alex Mercer]" c="Alex Mercer"/>
              <i n="[Recruiters].[Recruiter_Name].&amp;[Casey Ryans]" c="Casey Ryans"/>
              <i n="[Recruiters].[Recruiter_Name].&amp;[Jamie Lee]" c="Jamie Lee"/>
              <i n="[Recruiters].[Recruiter_Name].&amp;[Jordan Vance]" c="Jordan Vance"/>
              <i n="[Recruiters].[Recruiter_Name].&amp;[Morgan Sterling]" c="Morgan Sterling"/>
              <i n="[Recruiters].[Recruiter_Name].&amp;[Quinn Fabray]" c="Quinn Fabray"/>
              <i n="[Recruiters].[Recruiter_Name].&amp;[Riley Thorne]" c="Riley Thorne"/>
              <i n="[Recruiters].[Recruiter_Name].&amp;[Taylor Swift]" c="Taylor Swift"/>
            </range>
          </ranges>
        </level>
      </levels>
      <selections count="1">
        <selection n="[Recruiters].[Recruiter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59E1E3C-EBA5-4CC9-AB59-F2EE8BC14989}" sourceName="[Jobs].[Department]">
  <pivotTables>
    <pivotTable tabId="8" name="PivotTable3"/>
    <pivotTable tabId="8" name="PivotTable1"/>
    <pivotTable tabId="8" name="PivotTable2"/>
    <pivotTable tabId="8" name="PivotTable4"/>
  </pivotTables>
  <data>
    <olap pivotCacheId="434063197">
      <levels count="2">
        <level uniqueName="[Jobs].[Department].[(All)]" sourceCaption="(All)" count="0"/>
        <level uniqueName="[Jobs].[Department].[Department]" sourceCaption="Department" count="6">
          <ranges>
            <range startItem="0">
              <i n="[Jobs].[Department].&amp;[Data &amp; BI]" c="Data &amp; BI"/>
              <i n="[Jobs].[Department].&amp;[Engineering]" c="Engineering"/>
              <i n="[Jobs].[Department].&amp;[HR &amp; Operations]" c="HR &amp; Operations"/>
              <i n="[Jobs].[Department].&amp;[Marketing]" c="Marketing"/>
              <i n="[Jobs].[Department].&amp;[Product]" c="Product"/>
              <i n="[Jobs].[Department].&amp;[Sales]" c="Sales"/>
            </range>
          </ranges>
        </level>
      </levels>
      <selections count="1">
        <selection n="[Jobs].[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iority" xr10:uid="{7A49036B-E76B-427F-A116-155665FDA8F5}" sourceName="[Recruiters].[Seniority]">
  <pivotTables>
    <pivotTable tabId="8" name="PivotTable3"/>
    <pivotTable tabId="8" name="PivotTable1"/>
    <pivotTable tabId="8" name="PivotTable2"/>
    <pivotTable tabId="8" name="PivotTable4"/>
  </pivotTables>
  <data>
    <olap pivotCacheId="434063197">
      <levels count="2">
        <level uniqueName="[Recruiters].[Seniority].[(All)]" sourceCaption="(All)" count="0"/>
        <level uniqueName="[Recruiters].[Seniority].[Seniority]" sourceCaption="Seniority" count="4">
          <ranges>
            <range startItem="0">
              <i n="[Recruiters].[Seniority].&amp;[Junior]" c="Junior"/>
              <i n="[Recruiters].[Seniority].&amp;[Lead]" c="Lead"/>
              <i n="[Recruiters].[Seniority].&amp;[Mid]" c="Mid"/>
              <i n="[Recruiters].[Seniority].&amp;[Senior]" c="Senior"/>
            </range>
          </ranges>
        </level>
      </levels>
      <selections count="1">
        <selection n="[Recruiters].[Senior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cruiter_Name" xr10:uid="{3DF067BF-BA01-4A55-83CA-987B9B49DD89}" cache="Slicer_Recruiter_Name" caption="Recruiter_Name" columnCount="2" level="1" rowHeight="241300"/>
  <slicer name="Department" xr10:uid="{1CF4C7DC-53B3-49B8-94F7-F3482B07E8B6}" cache="Slicer_Department" caption="Department" columnCount="2" level="1" rowHeight="241300"/>
  <slicer name="Seniority" xr10:uid="{759DC640-8FC6-4B60-84F9-D3BFD41A5544}" cache="Slicer_Seniority" caption="Seniority" columnCount="2"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BE24B3-19C0-4286-A2A6-65AA563C8097}" name="Jobs" displayName="Jobs" ref="A1:H51" totalsRowShown="0">
  <autoFilter ref="A1:H51" xr:uid="{11BE24B3-19C0-4286-A2A6-65AA563C8097}"/>
  <tableColumns count="8">
    <tableColumn id="1" xr3:uid="{04CB8B25-C651-4B8B-A36E-67D4F0459EFE}" name="JobID"/>
    <tableColumn id="2" xr3:uid="{5B68CF67-2141-4B5E-93EE-14BCE2678B6C}" name="Department"/>
    <tableColumn id="3" xr3:uid="{D3D952E9-F76B-4796-9C1B-633467403F8B}" name="Job_Title"/>
    <tableColumn id="4" xr3:uid="{FC39A6AC-DAF4-4457-B887-9B01B50709AA}" name="Level"/>
    <tableColumn id="5" xr3:uid="{CDC66539-9ADB-4C6C-857A-A6A966EE88C1}" name="Hiring_Manager"/>
    <tableColumn id="6" xr3:uid="{6E89DFDB-DABB-4581-9DD5-92540B93E06E}" name="Date_Opened"/>
    <tableColumn id="7" xr3:uid="{821C5C6A-02DF-4418-9BF7-06EC767FDCD1}" name="Target_SLA_Days"/>
    <tableColumn id="8" xr3:uid="{D687F7EE-B126-44E8-8062-6AD8A38CF14A}" name="Budgeted_Salary"/>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648AE49-18A5-44C7-83CD-073C8479ABB2}" name="Recruiters" displayName="Recruiters" ref="A1:D9" totalsRowShown="0" headerRowDxfId="11" dataDxfId="10" tableBorderDxfId="9">
  <autoFilter ref="A1:D9" xr:uid="{A648AE49-18A5-44C7-83CD-073C8479ABB2}"/>
  <tableColumns count="4">
    <tableColumn id="1" xr3:uid="{CCD54FED-531B-453E-88F4-7A1B9F2D1F30}" name="RecruiterID" dataDxfId="8"/>
    <tableColumn id="2" xr3:uid="{B2BF4324-2620-4E52-A843-802998EE9292}" name="Recruiter_Name" dataDxfId="7"/>
    <tableColumn id="3" xr3:uid="{94FDA714-ABD3-47A2-B61B-002303438FE4}" name="Specialization" dataDxfId="6"/>
    <tableColumn id="4" xr3:uid="{BF8EBC37-BBC9-4C3D-AAB0-963C9F0282CA}" name="Seniority" dataDxfId="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48A1517-6B4C-47CC-879D-918848CBB249}" name="Stages" displayName="Stages" ref="A1:C8" totalsRowShown="0">
  <autoFilter ref="A1:C8" xr:uid="{D48A1517-6B4C-47CC-879D-918848CBB249}"/>
  <tableColumns count="3">
    <tableColumn id="1" xr3:uid="{A0D71523-53A9-4A09-9B11-C862E799C40F}" name="StageID"/>
    <tableColumn id="2" xr3:uid="{90F8BF34-844C-4662-AAA1-6D8F400AA239}" name="Stage_Name"/>
    <tableColumn id="3" xr3:uid="{01320119-7012-41AB-901A-4411C38D73E5}" name="Standard_SLA_Days"/>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03D9AFA-9F15-4E2F-8E11-99B13DB122ED}" name="Candidates" displayName="Candidates" ref="A1:E1201" totalsRowShown="0">
  <autoFilter ref="A1:E1201" xr:uid="{503D9AFA-9F15-4E2F-8E11-99B13DB122ED}"/>
  <tableColumns count="5">
    <tableColumn id="1" xr3:uid="{8A250AA5-9FE2-46B4-9B67-AFF40A8AEC51}" name="CandidateID"/>
    <tableColumn id="2" xr3:uid="{B104E8F4-17B1-4C2E-B728-E91372A3DD69}" name="Candidate_Name"/>
    <tableColumn id="3" xr3:uid="{3645F190-EED8-4771-AAF2-790A82132024}" name="Education_Level"/>
    <tableColumn id="4" xr3:uid="{C07B5C46-574B-4705-8C8C-F737AB0FFCD9}" name="Experience_Years"/>
    <tableColumn id="5" xr3:uid="{453F147C-42ED-4A87-A801-EBC485D3EA1F}" name="Sourcing_Channel"/>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B7AE1F-20F2-474E-97F3-BC392A5E5404}" name="Applications" displayName="Applications" ref="A1:K1201" totalsRowShown="0">
  <autoFilter ref="A1:K1201" xr:uid="{CEB7AE1F-20F2-474E-97F3-BC392A5E5404}"/>
  <tableColumns count="11">
    <tableColumn id="1" xr3:uid="{3C032B11-C724-4746-A070-4C8317F9766A}" name="ApplicationID"/>
    <tableColumn id="2" xr3:uid="{4A78B864-87AE-49AD-9C7A-4595894F9886}" name="CandidateID"/>
    <tableColumn id="3" xr3:uid="{6B97998F-5D7F-466B-AE5B-82B5B7CA02D2}" name="JobID"/>
    <tableColumn id="4" xr3:uid="{B7CB6577-8620-4195-9800-0DBE01763668}" name="RecruiterID"/>
    <tableColumn id="5" xr3:uid="{B804BE10-AF4D-4B8C-A275-C9129EE94ABB}" name="Application_Date"/>
    <tableColumn id="6" xr3:uid="{6D722C52-D034-4391-A04A-6F086AE369DF}" name="Current_StageID"/>
    <tableColumn id="7" xr3:uid="{2F2E0FC4-A168-474A-9EE5-DB9B7DE562B5}" name="Final_Status"/>
    <tableColumn id="8" xr3:uid="{6410857C-B095-48EC-8356-AB08FD77537D}" name="Assessment_Score"/>
    <tableColumn id="9" xr3:uid="{7FEB4FDB-C14B-495F-9127-35D3CC819F57}" name="Interview_Score"/>
    <tableColumn id="10" xr3:uid="{9D957ABC-8AC9-4409-B284-AFFDEFFF2B5D}" name="Time_to_Hire_Days"/>
    <tableColumn id="11" xr3:uid="{9DFB447B-8206-4028-93A1-8344781B6EAD}" name="Rejection_Reason"/>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A69D89-1BF1-4CD3-8219-BA851FA29D88}" name="StageMovements" displayName="StageMovements" ref="A1:F3160" totalsRowShown="0">
  <autoFilter ref="A1:F3160" xr:uid="{6DA69D89-1BF1-4CD3-8219-BA851FA29D88}"/>
  <tableColumns count="6">
    <tableColumn id="1" xr3:uid="{4AB6CD45-481C-4A6D-8B50-AEB26260F9EF}" name="ApplicationID"/>
    <tableColumn id="2" xr3:uid="{C2F4AD84-B547-42A5-B176-E2C157209DEF}" name="CandidateID"/>
    <tableColumn id="3" xr3:uid="{5E998E29-42BE-4726-8CC6-B645428B3E0B}" name="JobID"/>
    <tableColumn id="4" xr3:uid="{10EF59BF-D52C-46AC-B8E5-EE99E8B40DC6}" name="StageID"/>
    <tableColumn id="5" xr3:uid="{F1AAB6BA-602C-4C04-8FC0-AEC67FC31EEB}" name="Stage_Enter_Date"/>
    <tableColumn id="6" xr3:uid="{4B66A152-CD93-4809-96C8-6D085962CB5C}" name="Stage_Status"/>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F485F87-B45F-4B54-A7CB-327240ED449B}" name="SortCount" displayName="SortCount" ref="A9:F59" totalsRowShown="0" dataDxfId="4" dataCellStyle="Percent">
  <autoFilter ref="A9:F59" xr:uid="{EF485F87-B45F-4B54-A7CB-327240ED449B}">
    <filterColumn colId="0" hiddenButton="1"/>
    <filterColumn colId="1" hiddenButton="1"/>
    <filterColumn colId="2" hiddenButton="1"/>
    <filterColumn colId="3" hiddenButton="1"/>
    <filterColumn colId="4" hiddenButton="1"/>
    <filterColumn colId="5" hiddenButton="1"/>
  </autoFilter>
  <tableColumns count="6">
    <tableColumn id="1" xr3:uid="{6A0AA74C-85FF-4D1D-A5EE-A4EA1B9C3F7A}" name="Job ID"/>
    <tableColumn id="2" xr3:uid="{64DAC120-B132-4EC9-91AF-DF61B6245F5E}" name="Applications Count"/>
    <tableColumn id="3" xr3:uid="{FFD31EFC-687B-4CB1-94A3-47ECEC002569}" name="Contribution" dataDxfId="3" dataCellStyle="Percent"/>
    <tableColumn id="4" xr3:uid="{FD7B994E-1F4B-4C32-AA6E-90900C90672F}" name="Hired" dataDxfId="2" dataCellStyle="Percent"/>
    <tableColumn id="5" xr3:uid="{9C1858A5-CE16-4C30-AE8E-F5FC35428A2F}" name="Rejected" dataDxfId="1" dataCellStyle="Percent"/>
    <tableColumn id="6" xr3:uid="{EA9FE8DE-28DD-4408-8E5C-EB1AC5D64A98}" name="Offer declined" dataDxfId="0" dataCellStyle="Percent"/>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workbookViewId="0">
      <selection activeCell="A2" sqref="A2"/>
    </sheetView>
  </sheetViews>
  <sheetFormatPr defaultRowHeight="15" x14ac:dyDescent="0.25"/>
  <cols>
    <col min="2" max="2" width="13.85546875" customWidth="1"/>
    <col min="3" max="3" width="11.140625" customWidth="1"/>
    <col min="5" max="5" width="17.28515625" customWidth="1"/>
    <col min="6" max="6" width="15.42578125" customWidth="1"/>
    <col min="7" max="8" width="18" customWidth="1"/>
  </cols>
  <sheetData>
    <row r="1" spans="1:8" x14ac:dyDescent="0.25">
      <c r="A1" t="s">
        <v>0</v>
      </c>
      <c r="B1" t="s">
        <v>1</v>
      </c>
      <c r="C1" t="s">
        <v>2</v>
      </c>
      <c r="D1" t="s">
        <v>3</v>
      </c>
      <c r="E1" t="s">
        <v>4</v>
      </c>
      <c r="F1" t="s">
        <v>5</v>
      </c>
      <c r="G1" t="s">
        <v>6</v>
      </c>
      <c r="H1" t="s">
        <v>7</v>
      </c>
    </row>
    <row r="2" spans="1:8" x14ac:dyDescent="0.25">
      <c r="A2" t="s">
        <v>8</v>
      </c>
      <c r="B2" t="s">
        <v>9</v>
      </c>
      <c r="C2" t="s">
        <v>10</v>
      </c>
      <c r="D2" t="s">
        <v>11</v>
      </c>
      <c r="E2" t="s">
        <v>12</v>
      </c>
      <c r="F2" t="s">
        <v>13</v>
      </c>
      <c r="G2">
        <v>45</v>
      </c>
      <c r="H2">
        <v>85000</v>
      </c>
    </row>
    <row r="3" spans="1:8" x14ac:dyDescent="0.25">
      <c r="A3" t="s">
        <v>14</v>
      </c>
      <c r="B3" t="s">
        <v>15</v>
      </c>
      <c r="C3" t="s">
        <v>16</v>
      </c>
      <c r="D3" t="s">
        <v>17</v>
      </c>
      <c r="E3" t="s">
        <v>18</v>
      </c>
      <c r="F3" t="s">
        <v>19</v>
      </c>
      <c r="G3">
        <v>60</v>
      </c>
      <c r="H3">
        <v>85000</v>
      </c>
    </row>
    <row r="4" spans="1:8" x14ac:dyDescent="0.25">
      <c r="A4" t="s">
        <v>20</v>
      </c>
      <c r="B4" t="s">
        <v>15</v>
      </c>
      <c r="C4" t="s">
        <v>21</v>
      </c>
      <c r="D4" t="s">
        <v>11</v>
      </c>
      <c r="E4" t="s">
        <v>18</v>
      </c>
      <c r="F4" t="s">
        <v>22</v>
      </c>
      <c r="G4">
        <v>30</v>
      </c>
      <c r="H4">
        <v>95000</v>
      </c>
    </row>
    <row r="5" spans="1:8" x14ac:dyDescent="0.25">
      <c r="A5" t="s">
        <v>23</v>
      </c>
      <c r="B5" t="s">
        <v>9</v>
      </c>
      <c r="C5" t="s">
        <v>24</v>
      </c>
      <c r="D5" t="s">
        <v>25</v>
      </c>
      <c r="E5" t="s">
        <v>18</v>
      </c>
      <c r="F5" t="s">
        <v>26</v>
      </c>
      <c r="G5">
        <v>45</v>
      </c>
      <c r="H5">
        <v>80000</v>
      </c>
    </row>
    <row r="6" spans="1:8" x14ac:dyDescent="0.25">
      <c r="A6" t="s">
        <v>27</v>
      </c>
      <c r="B6" t="s">
        <v>28</v>
      </c>
      <c r="C6" t="s">
        <v>29</v>
      </c>
      <c r="D6" t="s">
        <v>25</v>
      </c>
      <c r="E6" t="s">
        <v>18</v>
      </c>
      <c r="F6" t="s">
        <v>30</v>
      </c>
      <c r="G6">
        <v>45</v>
      </c>
      <c r="H6">
        <v>105000</v>
      </c>
    </row>
    <row r="7" spans="1:8" x14ac:dyDescent="0.25">
      <c r="A7" t="s">
        <v>31</v>
      </c>
      <c r="B7" t="s">
        <v>9</v>
      </c>
      <c r="C7" t="s">
        <v>24</v>
      </c>
      <c r="D7" t="s">
        <v>25</v>
      </c>
      <c r="E7" t="s">
        <v>32</v>
      </c>
      <c r="F7" t="s">
        <v>33</v>
      </c>
      <c r="G7">
        <v>45</v>
      </c>
      <c r="H7">
        <v>115000</v>
      </c>
    </row>
    <row r="8" spans="1:8" x14ac:dyDescent="0.25">
      <c r="A8" t="s">
        <v>34</v>
      </c>
      <c r="B8" t="s">
        <v>9</v>
      </c>
      <c r="C8" t="s">
        <v>24</v>
      </c>
      <c r="D8" t="s">
        <v>25</v>
      </c>
      <c r="E8" t="s">
        <v>35</v>
      </c>
      <c r="F8" t="s">
        <v>36</v>
      </c>
      <c r="G8">
        <v>45</v>
      </c>
      <c r="H8">
        <v>115000</v>
      </c>
    </row>
    <row r="9" spans="1:8" x14ac:dyDescent="0.25">
      <c r="A9" t="s">
        <v>37</v>
      </c>
      <c r="B9" t="s">
        <v>28</v>
      </c>
      <c r="C9" t="s">
        <v>29</v>
      </c>
      <c r="D9" t="s">
        <v>25</v>
      </c>
      <c r="E9" t="s">
        <v>32</v>
      </c>
      <c r="F9" t="s">
        <v>38</v>
      </c>
      <c r="G9">
        <v>60</v>
      </c>
      <c r="H9">
        <v>130000</v>
      </c>
    </row>
    <row r="10" spans="1:8" x14ac:dyDescent="0.25">
      <c r="A10" t="s">
        <v>39</v>
      </c>
      <c r="B10" t="s">
        <v>9</v>
      </c>
      <c r="C10" t="s">
        <v>40</v>
      </c>
      <c r="D10" t="s">
        <v>41</v>
      </c>
      <c r="E10" t="s">
        <v>35</v>
      </c>
      <c r="F10" t="s">
        <v>42</v>
      </c>
      <c r="G10">
        <v>30</v>
      </c>
      <c r="H10">
        <v>110000</v>
      </c>
    </row>
    <row r="11" spans="1:8" x14ac:dyDescent="0.25">
      <c r="A11" t="s">
        <v>43</v>
      </c>
      <c r="B11" t="s">
        <v>15</v>
      </c>
      <c r="C11" t="s">
        <v>44</v>
      </c>
      <c r="D11" t="s">
        <v>25</v>
      </c>
      <c r="E11" t="s">
        <v>32</v>
      </c>
      <c r="F11" t="s">
        <v>45</v>
      </c>
      <c r="G11">
        <v>60</v>
      </c>
      <c r="H11">
        <v>95000</v>
      </c>
    </row>
    <row r="12" spans="1:8" x14ac:dyDescent="0.25">
      <c r="A12" t="s">
        <v>46</v>
      </c>
      <c r="B12" t="s">
        <v>28</v>
      </c>
      <c r="C12" t="s">
        <v>47</v>
      </c>
      <c r="D12" t="s">
        <v>41</v>
      </c>
      <c r="E12" t="s">
        <v>35</v>
      </c>
      <c r="F12" t="s">
        <v>48</v>
      </c>
      <c r="G12">
        <v>45</v>
      </c>
      <c r="H12">
        <v>70000</v>
      </c>
    </row>
    <row r="13" spans="1:8" x14ac:dyDescent="0.25">
      <c r="A13" t="s">
        <v>49</v>
      </c>
      <c r="B13" t="s">
        <v>15</v>
      </c>
      <c r="C13" t="s">
        <v>50</v>
      </c>
      <c r="D13" t="s">
        <v>41</v>
      </c>
      <c r="E13" t="s">
        <v>32</v>
      </c>
      <c r="F13" t="s">
        <v>51</v>
      </c>
      <c r="G13">
        <v>30</v>
      </c>
      <c r="H13">
        <v>80000</v>
      </c>
    </row>
    <row r="14" spans="1:8" x14ac:dyDescent="0.25">
      <c r="A14" t="s">
        <v>52</v>
      </c>
      <c r="B14" t="s">
        <v>28</v>
      </c>
      <c r="C14" t="s">
        <v>53</v>
      </c>
      <c r="D14" t="s">
        <v>54</v>
      </c>
      <c r="E14" t="s">
        <v>12</v>
      </c>
      <c r="F14" t="s">
        <v>55</v>
      </c>
      <c r="G14">
        <v>60</v>
      </c>
      <c r="H14">
        <v>100000</v>
      </c>
    </row>
    <row r="15" spans="1:8" x14ac:dyDescent="0.25">
      <c r="A15" t="s">
        <v>56</v>
      </c>
      <c r="B15" t="s">
        <v>57</v>
      </c>
      <c r="C15" t="s">
        <v>58</v>
      </c>
      <c r="D15" t="s">
        <v>17</v>
      </c>
      <c r="E15" t="s">
        <v>18</v>
      </c>
      <c r="F15" t="s">
        <v>55</v>
      </c>
      <c r="G15">
        <v>30</v>
      </c>
      <c r="H15">
        <v>105000</v>
      </c>
    </row>
    <row r="16" spans="1:8" x14ac:dyDescent="0.25">
      <c r="A16" t="s">
        <v>59</v>
      </c>
      <c r="B16" t="s">
        <v>9</v>
      </c>
      <c r="C16" t="s">
        <v>40</v>
      </c>
      <c r="D16" t="s">
        <v>41</v>
      </c>
      <c r="E16" t="s">
        <v>12</v>
      </c>
      <c r="F16" t="s">
        <v>19</v>
      </c>
      <c r="G16">
        <v>45</v>
      </c>
      <c r="H16">
        <v>55000</v>
      </c>
    </row>
    <row r="17" spans="1:8" x14ac:dyDescent="0.25">
      <c r="A17" t="s">
        <v>60</v>
      </c>
      <c r="B17" t="s">
        <v>61</v>
      </c>
      <c r="C17" t="s">
        <v>62</v>
      </c>
      <c r="D17" t="s">
        <v>17</v>
      </c>
      <c r="E17" t="s">
        <v>63</v>
      </c>
      <c r="F17" t="s">
        <v>64</v>
      </c>
      <c r="G17">
        <v>45</v>
      </c>
      <c r="H17">
        <v>120000</v>
      </c>
    </row>
    <row r="18" spans="1:8" x14ac:dyDescent="0.25">
      <c r="A18" t="s">
        <v>65</v>
      </c>
      <c r="B18" t="s">
        <v>9</v>
      </c>
      <c r="C18" t="s">
        <v>40</v>
      </c>
      <c r="D18" t="s">
        <v>41</v>
      </c>
      <c r="E18" t="s">
        <v>35</v>
      </c>
      <c r="F18" t="s">
        <v>48</v>
      </c>
      <c r="G18">
        <v>30</v>
      </c>
      <c r="H18">
        <v>95000</v>
      </c>
    </row>
    <row r="19" spans="1:8" x14ac:dyDescent="0.25">
      <c r="A19" t="s">
        <v>66</v>
      </c>
      <c r="B19" t="s">
        <v>9</v>
      </c>
      <c r="C19" t="s">
        <v>40</v>
      </c>
      <c r="D19" t="s">
        <v>41</v>
      </c>
      <c r="E19" t="s">
        <v>67</v>
      </c>
      <c r="F19" t="s">
        <v>68</v>
      </c>
      <c r="G19">
        <v>60</v>
      </c>
      <c r="H19">
        <v>85000</v>
      </c>
    </row>
    <row r="20" spans="1:8" x14ac:dyDescent="0.25">
      <c r="A20" t="s">
        <v>69</v>
      </c>
      <c r="B20" t="s">
        <v>15</v>
      </c>
      <c r="C20" t="s">
        <v>44</v>
      </c>
      <c r="D20" t="s">
        <v>25</v>
      </c>
      <c r="E20" t="s">
        <v>12</v>
      </c>
      <c r="F20" t="s">
        <v>70</v>
      </c>
      <c r="G20">
        <v>60</v>
      </c>
      <c r="H20">
        <v>55000</v>
      </c>
    </row>
    <row r="21" spans="1:8" x14ac:dyDescent="0.25">
      <c r="A21" t="s">
        <v>71</v>
      </c>
      <c r="B21" t="s">
        <v>15</v>
      </c>
      <c r="C21" t="s">
        <v>50</v>
      </c>
      <c r="D21" t="s">
        <v>41</v>
      </c>
      <c r="E21" t="s">
        <v>18</v>
      </c>
      <c r="F21" t="s">
        <v>72</v>
      </c>
      <c r="G21">
        <v>45</v>
      </c>
      <c r="H21">
        <v>115000</v>
      </c>
    </row>
    <row r="22" spans="1:8" x14ac:dyDescent="0.25">
      <c r="A22" t="s">
        <v>73</v>
      </c>
      <c r="B22" t="s">
        <v>57</v>
      </c>
      <c r="C22" t="s">
        <v>74</v>
      </c>
      <c r="D22" t="s">
        <v>41</v>
      </c>
      <c r="E22" t="s">
        <v>18</v>
      </c>
      <c r="F22" t="s">
        <v>75</v>
      </c>
      <c r="G22">
        <v>45</v>
      </c>
      <c r="H22">
        <v>125000</v>
      </c>
    </row>
    <row r="23" spans="1:8" x14ac:dyDescent="0.25">
      <c r="A23" t="s">
        <v>76</v>
      </c>
      <c r="B23" t="s">
        <v>57</v>
      </c>
      <c r="C23" t="s">
        <v>77</v>
      </c>
      <c r="D23" t="s">
        <v>25</v>
      </c>
      <c r="E23" t="s">
        <v>12</v>
      </c>
      <c r="F23" t="s">
        <v>78</v>
      </c>
      <c r="G23">
        <v>45</v>
      </c>
      <c r="H23">
        <v>85000</v>
      </c>
    </row>
    <row r="24" spans="1:8" x14ac:dyDescent="0.25">
      <c r="A24" t="s">
        <v>79</v>
      </c>
      <c r="B24" t="s">
        <v>80</v>
      </c>
      <c r="C24" t="s">
        <v>81</v>
      </c>
      <c r="D24" t="s">
        <v>41</v>
      </c>
      <c r="E24" t="s">
        <v>12</v>
      </c>
      <c r="F24" t="s">
        <v>82</v>
      </c>
      <c r="G24">
        <v>45</v>
      </c>
      <c r="H24">
        <v>55000</v>
      </c>
    </row>
    <row r="25" spans="1:8" x14ac:dyDescent="0.25">
      <c r="A25" t="s">
        <v>83</v>
      </c>
      <c r="B25" t="s">
        <v>15</v>
      </c>
      <c r="C25" t="s">
        <v>50</v>
      </c>
      <c r="D25" t="s">
        <v>41</v>
      </c>
      <c r="E25" t="s">
        <v>18</v>
      </c>
      <c r="F25" t="s">
        <v>84</v>
      </c>
      <c r="G25">
        <v>45</v>
      </c>
      <c r="H25">
        <v>125000</v>
      </c>
    </row>
    <row r="26" spans="1:8" x14ac:dyDescent="0.25">
      <c r="A26" t="s">
        <v>85</v>
      </c>
      <c r="B26" t="s">
        <v>9</v>
      </c>
      <c r="C26" t="s">
        <v>40</v>
      </c>
      <c r="D26" t="s">
        <v>41</v>
      </c>
      <c r="E26" t="s">
        <v>32</v>
      </c>
      <c r="F26" t="s">
        <v>86</v>
      </c>
      <c r="G26">
        <v>90</v>
      </c>
      <c r="H26">
        <v>80000</v>
      </c>
    </row>
    <row r="27" spans="1:8" x14ac:dyDescent="0.25">
      <c r="A27" t="s">
        <v>87</v>
      </c>
      <c r="B27" t="s">
        <v>9</v>
      </c>
      <c r="C27" t="s">
        <v>88</v>
      </c>
      <c r="D27" t="s">
        <v>54</v>
      </c>
      <c r="E27" t="s">
        <v>67</v>
      </c>
      <c r="F27" t="s">
        <v>89</v>
      </c>
      <c r="G27">
        <v>45</v>
      </c>
      <c r="H27">
        <v>90000</v>
      </c>
    </row>
    <row r="28" spans="1:8" x14ac:dyDescent="0.25">
      <c r="A28" t="s">
        <v>90</v>
      </c>
      <c r="B28" t="s">
        <v>9</v>
      </c>
      <c r="C28" t="s">
        <v>88</v>
      </c>
      <c r="D28" t="s">
        <v>54</v>
      </c>
      <c r="E28" t="s">
        <v>18</v>
      </c>
      <c r="F28" t="s">
        <v>91</v>
      </c>
      <c r="G28">
        <v>45</v>
      </c>
      <c r="H28">
        <v>90000</v>
      </c>
    </row>
    <row r="29" spans="1:8" x14ac:dyDescent="0.25">
      <c r="A29" t="s">
        <v>92</v>
      </c>
      <c r="B29" t="s">
        <v>61</v>
      </c>
      <c r="C29" t="s">
        <v>93</v>
      </c>
      <c r="D29" t="s">
        <v>41</v>
      </c>
      <c r="E29" t="s">
        <v>32</v>
      </c>
      <c r="F29" t="s">
        <v>48</v>
      </c>
      <c r="G29">
        <v>45</v>
      </c>
      <c r="H29">
        <v>130000</v>
      </c>
    </row>
    <row r="30" spans="1:8" x14ac:dyDescent="0.25">
      <c r="A30" t="s">
        <v>94</v>
      </c>
      <c r="B30" t="s">
        <v>80</v>
      </c>
      <c r="C30" t="s">
        <v>95</v>
      </c>
      <c r="D30" t="s">
        <v>17</v>
      </c>
      <c r="E30" t="s">
        <v>18</v>
      </c>
      <c r="F30" t="s">
        <v>96</v>
      </c>
      <c r="G30">
        <v>60</v>
      </c>
      <c r="H30">
        <v>80000</v>
      </c>
    </row>
    <row r="31" spans="1:8" x14ac:dyDescent="0.25">
      <c r="A31" t="s">
        <v>97</v>
      </c>
      <c r="B31" t="s">
        <v>15</v>
      </c>
      <c r="C31" t="s">
        <v>16</v>
      </c>
      <c r="D31" t="s">
        <v>17</v>
      </c>
      <c r="E31" t="s">
        <v>35</v>
      </c>
      <c r="F31" t="s">
        <v>19</v>
      </c>
      <c r="G31">
        <v>30</v>
      </c>
      <c r="H31">
        <v>120000</v>
      </c>
    </row>
    <row r="32" spans="1:8" x14ac:dyDescent="0.25">
      <c r="A32" t="s">
        <v>98</v>
      </c>
      <c r="B32" t="s">
        <v>9</v>
      </c>
      <c r="C32" t="s">
        <v>24</v>
      </c>
      <c r="D32" t="s">
        <v>25</v>
      </c>
      <c r="E32" t="s">
        <v>67</v>
      </c>
      <c r="F32" t="s">
        <v>99</v>
      </c>
      <c r="G32">
        <v>45</v>
      </c>
      <c r="H32">
        <v>120000</v>
      </c>
    </row>
    <row r="33" spans="1:8" x14ac:dyDescent="0.25">
      <c r="A33" t="s">
        <v>100</v>
      </c>
      <c r="B33" t="s">
        <v>80</v>
      </c>
      <c r="C33" t="s">
        <v>81</v>
      </c>
      <c r="D33" t="s">
        <v>41</v>
      </c>
      <c r="E33" t="s">
        <v>35</v>
      </c>
      <c r="F33" t="s">
        <v>75</v>
      </c>
      <c r="G33">
        <v>30</v>
      </c>
      <c r="H33">
        <v>105000</v>
      </c>
    </row>
    <row r="34" spans="1:8" x14ac:dyDescent="0.25">
      <c r="A34" t="s">
        <v>101</v>
      </c>
      <c r="B34" t="s">
        <v>57</v>
      </c>
      <c r="C34" t="s">
        <v>58</v>
      </c>
      <c r="D34" t="s">
        <v>17</v>
      </c>
      <c r="E34" t="s">
        <v>12</v>
      </c>
      <c r="F34" t="s">
        <v>102</v>
      </c>
      <c r="G34">
        <v>45</v>
      </c>
      <c r="H34">
        <v>115000</v>
      </c>
    </row>
    <row r="35" spans="1:8" x14ac:dyDescent="0.25">
      <c r="A35" t="s">
        <v>103</v>
      </c>
      <c r="B35" t="s">
        <v>57</v>
      </c>
      <c r="C35" t="s">
        <v>74</v>
      </c>
      <c r="D35" t="s">
        <v>41</v>
      </c>
      <c r="E35" t="s">
        <v>32</v>
      </c>
      <c r="F35" t="s">
        <v>104</v>
      </c>
      <c r="G35">
        <v>30</v>
      </c>
      <c r="H35">
        <v>105000</v>
      </c>
    </row>
    <row r="36" spans="1:8" x14ac:dyDescent="0.25">
      <c r="A36" t="s">
        <v>105</v>
      </c>
      <c r="B36" t="s">
        <v>15</v>
      </c>
      <c r="C36" t="s">
        <v>16</v>
      </c>
      <c r="D36" t="s">
        <v>17</v>
      </c>
      <c r="E36" t="s">
        <v>18</v>
      </c>
      <c r="F36" t="s">
        <v>106</v>
      </c>
      <c r="G36">
        <v>30</v>
      </c>
      <c r="H36">
        <v>95000</v>
      </c>
    </row>
    <row r="37" spans="1:8" x14ac:dyDescent="0.25">
      <c r="A37" t="s">
        <v>107</v>
      </c>
      <c r="B37" t="s">
        <v>80</v>
      </c>
      <c r="C37" t="s">
        <v>108</v>
      </c>
      <c r="D37" t="s">
        <v>54</v>
      </c>
      <c r="E37" t="s">
        <v>32</v>
      </c>
      <c r="F37" t="s">
        <v>109</v>
      </c>
      <c r="G37">
        <v>45</v>
      </c>
      <c r="H37">
        <v>60000</v>
      </c>
    </row>
    <row r="38" spans="1:8" x14ac:dyDescent="0.25">
      <c r="A38" t="s">
        <v>110</v>
      </c>
      <c r="B38" t="s">
        <v>9</v>
      </c>
      <c r="C38" t="s">
        <v>88</v>
      </c>
      <c r="D38" t="s">
        <v>54</v>
      </c>
      <c r="E38" t="s">
        <v>12</v>
      </c>
      <c r="F38" t="s">
        <v>111</v>
      </c>
      <c r="G38">
        <v>45</v>
      </c>
      <c r="H38">
        <v>110000</v>
      </c>
    </row>
    <row r="39" spans="1:8" x14ac:dyDescent="0.25">
      <c r="A39" t="s">
        <v>112</v>
      </c>
      <c r="B39" t="s">
        <v>80</v>
      </c>
      <c r="C39" t="s">
        <v>81</v>
      </c>
      <c r="D39" t="s">
        <v>41</v>
      </c>
      <c r="E39" t="s">
        <v>67</v>
      </c>
      <c r="F39" t="s">
        <v>22</v>
      </c>
      <c r="G39">
        <v>90</v>
      </c>
      <c r="H39">
        <v>170000</v>
      </c>
    </row>
    <row r="40" spans="1:8" x14ac:dyDescent="0.25">
      <c r="A40" t="s">
        <v>113</v>
      </c>
      <c r="B40" t="s">
        <v>9</v>
      </c>
      <c r="C40" t="s">
        <v>114</v>
      </c>
      <c r="D40" t="s">
        <v>17</v>
      </c>
      <c r="E40" t="s">
        <v>12</v>
      </c>
      <c r="F40" t="s">
        <v>115</v>
      </c>
      <c r="G40">
        <v>45</v>
      </c>
      <c r="H40">
        <v>85000</v>
      </c>
    </row>
    <row r="41" spans="1:8" x14ac:dyDescent="0.25">
      <c r="A41" t="s">
        <v>116</v>
      </c>
      <c r="B41" t="s">
        <v>15</v>
      </c>
      <c r="C41" t="s">
        <v>117</v>
      </c>
      <c r="D41" t="s">
        <v>54</v>
      </c>
      <c r="E41" t="s">
        <v>12</v>
      </c>
      <c r="F41" t="s">
        <v>42</v>
      </c>
      <c r="G41">
        <v>30</v>
      </c>
      <c r="H41">
        <v>160000</v>
      </c>
    </row>
    <row r="42" spans="1:8" x14ac:dyDescent="0.25">
      <c r="A42" t="s">
        <v>118</v>
      </c>
      <c r="B42" t="s">
        <v>80</v>
      </c>
      <c r="C42" t="s">
        <v>119</v>
      </c>
      <c r="D42" t="s">
        <v>25</v>
      </c>
      <c r="E42" t="s">
        <v>18</v>
      </c>
      <c r="F42" t="s">
        <v>120</v>
      </c>
      <c r="G42">
        <v>90</v>
      </c>
      <c r="H42">
        <v>90000</v>
      </c>
    </row>
    <row r="43" spans="1:8" x14ac:dyDescent="0.25">
      <c r="A43" t="s">
        <v>121</v>
      </c>
      <c r="B43" t="s">
        <v>61</v>
      </c>
      <c r="C43" t="s">
        <v>122</v>
      </c>
      <c r="D43" t="s">
        <v>11</v>
      </c>
      <c r="E43" t="s">
        <v>32</v>
      </c>
      <c r="F43" t="s">
        <v>104</v>
      </c>
      <c r="G43">
        <v>45</v>
      </c>
      <c r="H43">
        <v>110000</v>
      </c>
    </row>
    <row r="44" spans="1:8" x14ac:dyDescent="0.25">
      <c r="A44" t="s">
        <v>123</v>
      </c>
      <c r="B44" t="s">
        <v>9</v>
      </c>
      <c r="C44" t="s">
        <v>114</v>
      </c>
      <c r="D44" t="s">
        <v>17</v>
      </c>
      <c r="E44" t="s">
        <v>12</v>
      </c>
      <c r="F44" t="s">
        <v>124</v>
      </c>
      <c r="G44">
        <v>45</v>
      </c>
      <c r="H44">
        <v>120000</v>
      </c>
    </row>
    <row r="45" spans="1:8" x14ac:dyDescent="0.25">
      <c r="A45" t="s">
        <v>125</v>
      </c>
      <c r="B45" t="s">
        <v>57</v>
      </c>
      <c r="C45" t="s">
        <v>77</v>
      </c>
      <c r="D45" t="s">
        <v>25</v>
      </c>
      <c r="E45" t="s">
        <v>35</v>
      </c>
      <c r="F45" t="s">
        <v>126</v>
      </c>
      <c r="G45">
        <v>60</v>
      </c>
      <c r="H45">
        <v>85000</v>
      </c>
    </row>
    <row r="46" spans="1:8" x14ac:dyDescent="0.25">
      <c r="A46" t="s">
        <v>127</v>
      </c>
      <c r="B46" t="s">
        <v>9</v>
      </c>
      <c r="C46" t="s">
        <v>40</v>
      </c>
      <c r="D46" t="s">
        <v>41</v>
      </c>
      <c r="E46" t="s">
        <v>35</v>
      </c>
      <c r="F46" t="s">
        <v>89</v>
      </c>
      <c r="G46">
        <v>45</v>
      </c>
      <c r="H46">
        <v>105000</v>
      </c>
    </row>
    <row r="47" spans="1:8" x14ac:dyDescent="0.25">
      <c r="A47" t="s">
        <v>128</v>
      </c>
      <c r="B47" t="s">
        <v>15</v>
      </c>
      <c r="C47" t="s">
        <v>50</v>
      </c>
      <c r="D47" t="s">
        <v>41</v>
      </c>
      <c r="E47" t="s">
        <v>35</v>
      </c>
      <c r="F47" t="s">
        <v>129</v>
      </c>
      <c r="G47">
        <v>30</v>
      </c>
      <c r="H47">
        <v>135000</v>
      </c>
    </row>
    <row r="48" spans="1:8" x14ac:dyDescent="0.25">
      <c r="A48" t="s">
        <v>130</v>
      </c>
      <c r="B48" t="s">
        <v>15</v>
      </c>
      <c r="C48" t="s">
        <v>117</v>
      </c>
      <c r="D48" t="s">
        <v>54</v>
      </c>
      <c r="E48" t="s">
        <v>18</v>
      </c>
      <c r="F48" t="s">
        <v>131</v>
      </c>
      <c r="G48">
        <v>30</v>
      </c>
      <c r="H48">
        <v>80000</v>
      </c>
    </row>
    <row r="49" spans="1:8" x14ac:dyDescent="0.25">
      <c r="A49" t="s">
        <v>132</v>
      </c>
      <c r="B49" t="s">
        <v>57</v>
      </c>
      <c r="C49" t="s">
        <v>77</v>
      </c>
      <c r="D49" t="s">
        <v>25</v>
      </c>
      <c r="E49" t="s">
        <v>35</v>
      </c>
      <c r="F49" t="s">
        <v>133</v>
      </c>
      <c r="G49">
        <v>45</v>
      </c>
      <c r="H49">
        <v>90000</v>
      </c>
    </row>
    <row r="50" spans="1:8" x14ac:dyDescent="0.25">
      <c r="A50" t="s">
        <v>134</v>
      </c>
      <c r="B50" t="s">
        <v>80</v>
      </c>
      <c r="C50" t="s">
        <v>81</v>
      </c>
      <c r="D50" t="s">
        <v>41</v>
      </c>
      <c r="E50" t="s">
        <v>35</v>
      </c>
      <c r="F50" t="s">
        <v>135</v>
      </c>
      <c r="G50">
        <v>90</v>
      </c>
      <c r="H50">
        <v>95000</v>
      </c>
    </row>
    <row r="51" spans="1:8" x14ac:dyDescent="0.25">
      <c r="A51" t="s">
        <v>136</v>
      </c>
      <c r="B51" t="s">
        <v>15</v>
      </c>
      <c r="C51" t="s">
        <v>44</v>
      </c>
      <c r="D51" t="s">
        <v>25</v>
      </c>
      <c r="E51" t="s">
        <v>67</v>
      </c>
      <c r="F51" t="s">
        <v>137</v>
      </c>
      <c r="G51">
        <v>45</v>
      </c>
      <c r="H51">
        <v>95000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
  <sheetViews>
    <sheetView workbookViewId="0">
      <selection activeCell="B11" sqref="B11"/>
    </sheetView>
  </sheetViews>
  <sheetFormatPr defaultRowHeight="15" x14ac:dyDescent="0.25"/>
  <cols>
    <col min="1" max="1" width="13.140625" customWidth="1"/>
    <col min="2" max="2" width="17.5703125" customWidth="1"/>
    <col min="3" max="3" width="15.42578125" customWidth="1"/>
    <col min="4" max="4" width="11.140625" customWidth="1"/>
  </cols>
  <sheetData>
    <row r="1" spans="1:4" x14ac:dyDescent="0.25">
      <c r="A1" s="3" t="s">
        <v>138</v>
      </c>
      <c r="B1" s="4" t="s">
        <v>139</v>
      </c>
      <c r="C1" s="4" t="s">
        <v>140</v>
      </c>
      <c r="D1" s="4" t="s">
        <v>141</v>
      </c>
    </row>
    <row r="2" spans="1:4" x14ac:dyDescent="0.25">
      <c r="A2" s="1" t="s">
        <v>142</v>
      </c>
      <c r="B2" s="2" t="s">
        <v>143</v>
      </c>
      <c r="C2" s="2" t="s">
        <v>15</v>
      </c>
      <c r="D2" s="2" t="s">
        <v>144</v>
      </c>
    </row>
    <row r="3" spans="1:4" x14ac:dyDescent="0.25">
      <c r="A3" s="1" t="s">
        <v>145</v>
      </c>
      <c r="B3" s="2" t="s">
        <v>146</v>
      </c>
      <c r="C3" s="2" t="s">
        <v>9</v>
      </c>
      <c r="D3" s="2" t="s">
        <v>144</v>
      </c>
    </row>
    <row r="4" spans="1:4" x14ac:dyDescent="0.25">
      <c r="A4" s="1" t="s">
        <v>147</v>
      </c>
      <c r="B4" s="2" t="s">
        <v>148</v>
      </c>
      <c r="C4" s="2" t="s">
        <v>28</v>
      </c>
      <c r="D4" s="2" t="s">
        <v>149</v>
      </c>
    </row>
    <row r="5" spans="1:4" x14ac:dyDescent="0.25">
      <c r="A5" s="1" t="s">
        <v>150</v>
      </c>
      <c r="B5" s="2" t="s">
        <v>151</v>
      </c>
      <c r="C5" s="2" t="s">
        <v>80</v>
      </c>
      <c r="D5" s="2" t="s">
        <v>152</v>
      </c>
    </row>
    <row r="6" spans="1:4" x14ac:dyDescent="0.25">
      <c r="A6" s="1" t="s">
        <v>153</v>
      </c>
      <c r="B6" s="2" t="s">
        <v>154</v>
      </c>
      <c r="C6" s="2" t="s">
        <v>57</v>
      </c>
      <c r="D6" s="2" t="s">
        <v>155</v>
      </c>
    </row>
    <row r="7" spans="1:4" x14ac:dyDescent="0.25">
      <c r="A7" s="1" t="s">
        <v>156</v>
      </c>
      <c r="B7" s="2" t="s">
        <v>157</v>
      </c>
      <c r="C7" s="2" t="s">
        <v>61</v>
      </c>
      <c r="D7" s="2" t="s">
        <v>149</v>
      </c>
    </row>
    <row r="8" spans="1:4" x14ac:dyDescent="0.25">
      <c r="A8" s="1" t="s">
        <v>158</v>
      </c>
      <c r="B8" s="2" t="s">
        <v>159</v>
      </c>
      <c r="C8" s="2" t="s">
        <v>15</v>
      </c>
      <c r="D8" s="2" t="s">
        <v>155</v>
      </c>
    </row>
    <row r="9" spans="1:4" x14ac:dyDescent="0.25">
      <c r="A9" s="1" t="s">
        <v>160</v>
      </c>
      <c r="B9" s="2" t="s">
        <v>161</v>
      </c>
      <c r="C9" s="2" t="s">
        <v>9</v>
      </c>
      <c r="D9" s="2" t="s">
        <v>149</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
  <sheetViews>
    <sheetView workbookViewId="0">
      <selection sqref="A1:C8"/>
    </sheetView>
  </sheetViews>
  <sheetFormatPr defaultRowHeight="15" x14ac:dyDescent="0.25"/>
  <cols>
    <col min="1" max="1" width="9.85546875" customWidth="1"/>
    <col min="2" max="2" width="14.28515625" customWidth="1"/>
    <col min="3" max="3" width="20.28515625" customWidth="1"/>
  </cols>
  <sheetData>
    <row r="1" spans="1:3" x14ac:dyDescent="0.25">
      <c r="A1" t="s">
        <v>162</v>
      </c>
      <c r="B1" t="s">
        <v>163</v>
      </c>
      <c r="C1" t="s">
        <v>164</v>
      </c>
    </row>
    <row r="2" spans="1:3" x14ac:dyDescent="0.25">
      <c r="A2">
        <v>1</v>
      </c>
      <c r="B2" t="s">
        <v>165</v>
      </c>
      <c r="C2">
        <v>2</v>
      </c>
    </row>
    <row r="3" spans="1:3" x14ac:dyDescent="0.25">
      <c r="A3">
        <v>2</v>
      </c>
      <c r="B3" t="s">
        <v>166</v>
      </c>
      <c r="C3">
        <v>5</v>
      </c>
    </row>
    <row r="4" spans="1:3" x14ac:dyDescent="0.25">
      <c r="A4">
        <v>3</v>
      </c>
      <c r="B4" t="s">
        <v>167</v>
      </c>
      <c r="C4">
        <v>7</v>
      </c>
    </row>
    <row r="5" spans="1:3" x14ac:dyDescent="0.25">
      <c r="A5">
        <v>4</v>
      </c>
      <c r="B5" t="s">
        <v>168</v>
      </c>
      <c r="C5">
        <v>10</v>
      </c>
    </row>
    <row r="6" spans="1:3" x14ac:dyDescent="0.25">
      <c r="A6">
        <v>5</v>
      </c>
      <c r="B6" t="s">
        <v>169</v>
      </c>
      <c r="C6">
        <v>5</v>
      </c>
    </row>
    <row r="7" spans="1:3" x14ac:dyDescent="0.25">
      <c r="A7">
        <v>6</v>
      </c>
      <c r="B7" t="s">
        <v>170</v>
      </c>
      <c r="C7">
        <v>3</v>
      </c>
    </row>
    <row r="8" spans="1:3" x14ac:dyDescent="0.25">
      <c r="A8">
        <v>7</v>
      </c>
      <c r="B8" t="s">
        <v>171</v>
      </c>
      <c r="C8">
        <v>0</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201"/>
  <sheetViews>
    <sheetView workbookViewId="0">
      <selection activeCell="C21" sqref="C21"/>
    </sheetView>
  </sheetViews>
  <sheetFormatPr defaultRowHeight="15" x14ac:dyDescent="0.25"/>
  <cols>
    <col min="1" max="1" width="14" customWidth="1"/>
    <col min="2" max="2" width="18.42578125" customWidth="1"/>
    <col min="3" max="3" width="17.5703125" customWidth="1"/>
    <col min="4" max="4" width="18.85546875" customWidth="1"/>
    <col min="5" max="5" width="19" customWidth="1"/>
  </cols>
  <sheetData>
    <row r="1" spans="1:5" x14ac:dyDescent="0.25">
      <c r="A1" t="s">
        <v>172</v>
      </c>
      <c r="B1" t="s">
        <v>173</v>
      </c>
      <c r="C1" t="s">
        <v>174</v>
      </c>
      <c r="D1" t="s">
        <v>175</v>
      </c>
      <c r="E1" t="s">
        <v>176</v>
      </c>
    </row>
    <row r="2" spans="1:5" x14ac:dyDescent="0.25">
      <c r="A2" t="s">
        <v>177</v>
      </c>
      <c r="B2" t="s">
        <v>178</v>
      </c>
      <c r="C2" t="s">
        <v>179</v>
      </c>
      <c r="D2">
        <v>5</v>
      </c>
      <c r="E2" t="s">
        <v>180</v>
      </c>
    </row>
    <row r="3" spans="1:5" x14ac:dyDescent="0.25">
      <c r="A3" t="s">
        <v>181</v>
      </c>
      <c r="B3" t="s">
        <v>182</v>
      </c>
      <c r="C3" t="s">
        <v>179</v>
      </c>
      <c r="D3">
        <v>14</v>
      </c>
      <c r="E3" t="s">
        <v>183</v>
      </c>
    </row>
    <row r="4" spans="1:5" x14ac:dyDescent="0.25">
      <c r="A4" t="s">
        <v>184</v>
      </c>
      <c r="B4" t="s">
        <v>185</v>
      </c>
      <c r="C4" t="s">
        <v>179</v>
      </c>
      <c r="D4">
        <v>9</v>
      </c>
      <c r="E4" t="s">
        <v>183</v>
      </c>
    </row>
    <row r="5" spans="1:5" x14ac:dyDescent="0.25">
      <c r="A5" t="s">
        <v>186</v>
      </c>
      <c r="B5" t="s">
        <v>187</v>
      </c>
      <c r="C5" t="s">
        <v>179</v>
      </c>
      <c r="D5">
        <v>7</v>
      </c>
      <c r="E5" t="s">
        <v>188</v>
      </c>
    </row>
    <row r="6" spans="1:5" x14ac:dyDescent="0.25">
      <c r="A6" t="s">
        <v>189</v>
      </c>
      <c r="B6" t="s">
        <v>190</v>
      </c>
      <c r="C6" t="s">
        <v>191</v>
      </c>
      <c r="D6">
        <v>14</v>
      </c>
      <c r="E6" t="s">
        <v>180</v>
      </c>
    </row>
    <row r="7" spans="1:5" x14ac:dyDescent="0.25">
      <c r="A7" t="s">
        <v>192</v>
      </c>
      <c r="B7" t="s">
        <v>193</v>
      </c>
      <c r="C7" t="s">
        <v>179</v>
      </c>
      <c r="D7">
        <v>5</v>
      </c>
      <c r="E7" t="s">
        <v>183</v>
      </c>
    </row>
    <row r="8" spans="1:5" x14ac:dyDescent="0.25">
      <c r="A8" t="s">
        <v>194</v>
      </c>
      <c r="B8" t="s">
        <v>195</v>
      </c>
      <c r="C8" t="s">
        <v>196</v>
      </c>
      <c r="D8">
        <v>8</v>
      </c>
      <c r="E8" t="s">
        <v>183</v>
      </c>
    </row>
    <row r="9" spans="1:5" x14ac:dyDescent="0.25">
      <c r="A9" t="s">
        <v>197</v>
      </c>
      <c r="B9" t="s">
        <v>198</v>
      </c>
      <c r="C9" t="s">
        <v>179</v>
      </c>
      <c r="D9">
        <v>8</v>
      </c>
      <c r="E9" t="s">
        <v>199</v>
      </c>
    </row>
    <row r="10" spans="1:5" x14ac:dyDescent="0.25">
      <c r="A10" t="s">
        <v>200</v>
      </c>
      <c r="B10" t="s">
        <v>201</v>
      </c>
      <c r="C10" t="s">
        <v>179</v>
      </c>
      <c r="D10">
        <v>10</v>
      </c>
      <c r="E10" t="s">
        <v>180</v>
      </c>
    </row>
    <row r="11" spans="1:5" x14ac:dyDescent="0.25">
      <c r="A11" t="s">
        <v>202</v>
      </c>
      <c r="B11" t="s">
        <v>203</v>
      </c>
      <c r="C11" t="s">
        <v>179</v>
      </c>
      <c r="D11">
        <v>6</v>
      </c>
      <c r="E11" t="s">
        <v>183</v>
      </c>
    </row>
    <row r="12" spans="1:5" x14ac:dyDescent="0.25">
      <c r="A12" t="s">
        <v>204</v>
      </c>
      <c r="B12" t="s">
        <v>205</v>
      </c>
      <c r="C12" t="s">
        <v>191</v>
      </c>
      <c r="D12">
        <v>9</v>
      </c>
      <c r="E12" t="s">
        <v>199</v>
      </c>
    </row>
    <row r="13" spans="1:5" x14ac:dyDescent="0.25">
      <c r="A13" t="s">
        <v>206</v>
      </c>
      <c r="B13" t="s">
        <v>195</v>
      </c>
      <c r="C13" t="s">
        <v>196</v>
      </c>
      <c r="D13">
        <v>4</v>
      </c>
      <c r="E13" t="s">
        <v>188</v>
      </c>
    </row>
    <row r="14" spans="1:5" x14ac:dyDescent="0.25">
      <c r="A14" t="s">
        <v>207</v>
      </c>
      <c r="B14" t="s">
        <v>208</v>
      </c>
      <c r="C14" t="s">
        <v>191</v>
      </c>
      <c r="D14">
        <v>10</v>
      </c>
      <c r="E14" t="s">
        <v>183</v>
      </c>
    </row>
    <row r="15" spans="1:5" x14ac:dyDescent="0.25">
      <c r="A15" t="s">
        <v>209</v>
      </c>
      <c r="B15" t="s">
        <v>210</v>
      </c>
      <c r="C15" t="s">
        <v>179</v>
      </c>
      <c r="D15">
        <v>4</v>
      </c>
      <c r="E15" t="s">
        <v>180</v>
      </c>
    </row>
    <row r="16" spans="1:5" x14ac:dyDescent="0.25">
      <c r="A16" t="s">
        <v>211</v>
      </c>
      <c r="B16" t="s">
        <v>212</v>
      </c>
      <c r="C16" t="s">
        <v>179</v>
      </c>
      <c r="D16">
        <v>1</v>
      </c>
      <c r="E16" t="s">
        <v>180</v>
      </c>
    </row>
    <row r="17" spans="1:5" x14ac:dyDescent="0.25">
      <c r="A17" t="s">
        <v>213</v>
      </c>
      <c r="B17" t="s">
        <v>214</v>
      </c>
      <c r="C17" t="s">
        <v>179</v>
      </c>
      <c r="D17">
        <v>14</v>
      </c>
      <c r="E17" t="s">
        <v>180</v>
      </c>
    </row>
    <row r="18" spans="1:5" x14ac:dyDescent="0.25">
      <c r="A18" t="s">
        <v>215</v>
      </c>
      <c r="B18" t="s">
        <v>216</v>
      </c>
      <c r="C18" t="s">
        <v>179</v>
      </c>
      <c r="D18">
        <v>4</v>
      </c>
      <c r="E18" t="s">
        <v>183</v>
      </c>
    </row>
    <row r="19" spans="1:5" x14ac:dyDescent="0.25">
      <c r="A19" t="s">
        <v>217</v>
      </c>
      <c r="B19" t="s">
        <v>218</v>
      </c>
      <c r="C19" t="s">
        <v>219</v>
      </c>
      <c r="D19">
        <v>2</v>
      </c>
      <c r="E19" t="s">
        <v>180</v>
      </c>
    </row>
    <row r="20" spans="1:5" x14ac:dyDescent="0.25">
      <c r="A20" t="s">
        <v>220</v>
      </c>
      <c r="B20" t="s">
        <v>221</v>
      </c>
      <c r="C20" t="s">
        <v>219</v>
      </c>
      <c r="D20">
        <v>4</v>
      </c>
      <c r="E20" t="s">
        <v>199</v>
      </c>
    </row>
    <row r="21" spans="1:5" x14ac:dyDescent="0.25">
      <c r="A21" t="s">
        <v>222</v>
      </c>
      <c r="B21" t="s">
        <v>223</v>
      </c>
      <c r="C21" t="s">
        <v>191</v>
      </c>
      <c r="D21">
        <v>6</v>
      </c>
      <c r="E21" t="s">
        <v>188</v>
      </c>
    </row>
    <row r="22" spans="1:5" x14ac:dyDescent="0.25">
      <c r="A22" t="s">
        <v>224</v>
      </c>
      <c r="B22" t="s">
        <v>225</v>
      </c>
      <c r="C22" t="s">
        <v>191</v>
      </c>
      <c r="D22">
        <v>8</v>
      </c>
      <c r="E22" t="s">
        <v>199</v>
      </c>
    </row>
    <row r="23" spans="1:5" x14ac:dyDescent="0.25">
      <c r="A23" t="s">
        <v>226</v>
      </c>
      <c r="B23" t="s">
        <v>227</v>
      </c>
      <c r="C23" t="s">
        <v>179</v>
      </c>
      <c r="D23">
        <v>10</v>
      </c>
      <c r="E23" t="s">
        <v>199</v>
      </c>
    </row>
    <row r="24" spans="1:5" x14ac:dyDescent="0.25">
      <c r="A24" t="s">
        <v>228</v>
      </c>
      <c r="B24" t="s">
        <v>229</v>
      </c>
      <c r="C24" t="s">
        <v>179</v>
      </c>
      <c r="D24">
        <v>1</v>
      </c>
      <c r="E24" t="s">
        <v>183</v>
      </c>
    </row>
    <row r="25" spans="1:5" x14ac:dyDescent="0.25">
      <c r="A25" t="s">
        <v>230</v>
      </c>
      <c r="B25" t="s">
        <v>231</v>
      </c>
      <c r="C25" t="s">
        <v>179</v>
      </c>
      <c r="D25">
        <v>8</v>
      </c>
      <c r="E25" t="s">
        <v>199</v>
      </c>
    </row>
    <row r="26" spans="1:5" x14ac:dyDescent="0.25">
      <c r="A26" t="s">
        <v>232</v>
      </c>
      <c r="B26" t="s">
        <v>233</v>
      </c>
      <c r="C26" t="s">
        <v>179</v>
      </c>
      <c r="D26">
        <v>8</v>
      </c>
      <c r="E26" t="s">
        <v>234</v>
      </c>
    </row>
    <row r="27" spans="1:5" x14ac:dyDescent="0.25">
      <c r="A27" t="s">
        <v>235</v>
      </c>
      <c r="B27" t="s">
        <v>236</v>
      </c>
      <c r="C27" t="s">
        <v>191</v>
      </c>
      <c r="D27">
        <v>14</v>
      </c>
      <c r="E27" t="s">
        <v>199</v>
      </c>
    </row>
    <row r="28" spans="1:5" x14ac:dyDescent="0.25">
      <c r="A28" t="s">
        <v>237</v>
      </c>
      <c r="B28" t="s">
        <v>238</v>
      </c>
      <c r="C28" t="s">
        <v>191</v>
      </c>
      <c r="D28">
        <v>11</v>
      </c>
      <c r="E28" t="s">
        <v>199</v>
      </c>
    </row>
    <row r="29" spans="1:5" x14ac:dyDescent="0.25">
      <c r="A29" t="s">
        <v>239</v>
      </c>
      <c r="B29" t="s">
        <v>240</v>
      </c>
      <c r="C29" t="s">
        <v>179</v>
      </c>
      <c r="D29">
        <v>2</v>
      </c>
      <c r="E29" t="s">
        <v>183</v>
      </c>
    </row>
    <row r="30" spans="1:5" x14ac:dyDescent="0.25">
      <c r="A30" t="s">
        <v>241</v>
      </c>
      <c r="B30" t="s">
        <v>242</v>
      </c>
      <c r="C30" t="s">
        <v>179</v>
      </c>
      <c r="D30">
        <v>11</v>
      </c>
      <c r="E30" t="s">
        <v>183</v>
      </c>
    </row>
    <row r="31" spans="1:5" x14ac:dyDescent="0.25">
      <c r="A31" t="s">
        <v>243</v>
      </c>
      <c r="B31" t="s">
        <v>244</v>
      </c>
      <c r="C31" t="s">
        <v>179</v>
      </c>
      <c r="D31">
        <v>10</v>
      </c>
      <c r="E31" t="s">
        <v>183</v>
      </c>
    </row>
    <row r="32" spans="1:5" x14ac:dyDescent="0.25">
      <c r="A32" t="s">
        <v>245</v>
      </c>
      <c r="B32" t="s">
        <v>246</v>
      </c>
      <c r="C32" t="s">
        <v>191</v>
      </c>
      <c r="D32">
        <v>1</v>
      </c>
      <c r="E32" t="s">
        <v>183</v>
      </c>
    </row>
    <row r="33" spans="1:5" x14ac:dyDescent="0.25">
      <c r="A33" t="s">
        <v>247</v>
      </c>
      <c r="B33" t="s">
        <v>248</v>
      </c>
      <c r="C33" t="s">
        <v>179</v>
      </c>
      <c r="D33">
        <v>6</v>
      </c>
      <c r="E33" t="s">
        <v>199</v>
      </c>
    </row>
    <row r="34" spans="1:5" x14ac:dyDescent="0.25">
      <c r="A34" t="s">
        <v>249</v>
      </c>
      <c r="B34" t="s">
        <v>250</v>
      </c>
      <c r="C34" t="s">
        <v>219</v>
      </c>
      <c r="D34">
        <v>9</v>
      </c>
      <c r="E34" t="s">
        <v>180</v>
      </c>
    </row>
    <row r="35" spans="1:5" x14ac:dyDescent="0.25">
      <c r="A35" t="s">
        <v>251</v>
      </c>
      <c r="B35" t="s">
        <v>252</v>
      </c>
      <c r="C35" t="s">
        <v>179</v>
      </c>
      <c r="D35">
        <v>8</v>
      </c>
      <c r="E35" t="s">
        <v>180</v>
      </c>
    </row>
    <row r="36" spans="1:5" x14ac:dyDescent="0.25">
      <c r="A36" t="s">
        <v>253</v>
      </c>
      <c r="B36" t="s">
        <v>212</v>
      </c>
      <c r="C36" t="s">
        <v>196</v>
      </c>
      <c r="D36">
        <v>14</v>
      </c>
      <c r="E36" t="s">
        <v>183</v>
      </c>
    </row>
    <row r="37" spans="1:5" x14ac:dyDescent="0.25">
      <c r="A37" t="s">
        <v>254</v>
      </c>
      <c r="B37" t="s">
        <v>255</v>
      </c>
      <c r="C37" t="s">
        <v>179</v>
      </c>
      <c r="D37">
        <v>1</v>
      </c>
      <c r="E37" t="s">
        <v>183</v>
      </c>
    </row>
    <row r="38" spans="1:5" x14ac:dyDescent="0.25">
      <c r="A38" t="s">
        <v>256</v>
      </c>
      <c r="B38" t="s">
        <v>257</v>
      </c>
      <c r="C38" t="s">
        <v>179</v>
      </c>
      <c r="D38">
        <v>12</v>
      </c>
      <c r="E38" t="s">
        <v>234</v>
      </c>
    </row>
    <row r="39" spans="1:5" x14ac:dyDescent="0.25">
      <c r="A39" t="s">
        <v>258</v>
      </c>
      <c r="B39" t="s">
        <v>259</v>
      </c>
      <c r="C39" t="s">
        <v>191</v>
      </c>
      <c r="D39">
        <v>12</v>
      </c>
      <c r="E39" t="s">
        <v>199</v>
      </c>
    </row>
    <row r="40" spans="1:5" x14ac:dyDescent="0.25">
      <c r="A40" t="s">
        <v>260</v>
      </c>
      <c r="B40" t="s">
        <v>252</v>
      </c>
      <c r="C40" t="s">
        <v>179</v>
      </c>
      <c r="D40">
        <v>4</v>
      </c>
      <c r="E40" t="s">
        <v>199</v>
      </c>
    </row>
    <row r="41" spans="1:5" x14ac:dyDescent="0.25">
      <c r="A41" t="s">
        <v>261</v>
      </c>
      <c r="B41" t="s">
        <v>262</v>
      </c>
      <c r="C41" t="s">
        <v>179</v>
      </c>
      <c r="D41">
        <v>11</v>
      </c>
      <c r="E41" t="s">
        <v>183</v>
      </c>
    </row>
    <row r="42" spans="1:5" x14ac:dyDescent="0.25">
      <c r="A42" t="s">
        <v>263</v>
      </c>
      <c r="B42" t="s">
        <v>264</v>
      </c>
      <c r="C42" t="s">
        <v>179</v>
      </c>
      <c r="D42">
        <v>12</v>
      </c>
      <c r="E42" t="s">
        <v>199</v>
      </c>
    </row>
    <row r="43" spans="1:5" x14ac:dyDescent="0.25">
      <c r="A43" t="s">
        <v>265</v>
      </c>
      <c r="B43" t="s">
        <v>266</v>
      </c>
      <c r="C43" t="s">
        <v>179</v>
      </c>
      <c r="D43">
        <v>9</v>
      </c>
      <c r="E43" t="s">
        <v>234</v>
      </c>
    </row>
    <row r="44" spans="1:5" x14ac:dyDescent="0.25">
      <c r="A44" t="s">
        <v>267</v>
      </c>
      <c r="B44" t="s">
        <v>268</v>
      </c>
      <c r="C44" t="s">
        <v>179</v>
      </c>
      <c r="D44">
        <v>13</v>
      </c>
      <c r="E44" t="s">
        <v>180</v>
      </c>
    </row>
    <row r="45" spans="1:5" x14ac:dyDescent="0.25">
      <c r="A45" t="s">
        <v>269</v>
      </c>
      <c r="B45" t="s">
        <v>270</v>
      </c>
      <c r="C45" t="s">
        <v>179</v>
      </c>
      <c r="D45">
        <v>6</v>
      </c>
      <c r="E45" t="s">
        <v>188</v>
      </c>
    </row>
    <row r="46" spans="1:5" x14ac:dyDescent="0.25">
      <c r="A46" t="s">
        <v>271</v>
      </c>
      <c r="B46" t="s">
        <v>272</v>
      </c>
      <c r="C46" t="s">
        <v>191</v>
      </c>
      <c r="D46">
        <v>7</v>
      </c>
      <c r="E46" t="s">
        <v>183</v>
      </c>
    </row>
    <row r="47" spans="1:5" x14ac:dyDescent="0.25">
      <c r="A47" t="s">
        <v>273</v>
      </c>
      <c r="B47" t="s">
        <v>274</v>
      </c>
      <c r="C47" t="s">
        <v>219</v>
      </c>
      <c r="D47">
        <v>3</v>
      </c>
      <c r="E47" t="s">
        <v>183</v>
      </c>
    </row>
    <row r="48" spans="1:5" x14ac:dyDescent="0.25">
      <c r="A48" t="s">
        <v>275</v>
      </c>
      <c r="B48" t="s">
        <v>276</v>
      </c>
      <c r="C48" t="s">
        <v>196</v>
      </c>
      <c r="D48">
        <v>1</v>
      </c>
      <c r="E48" t="s">
        <v>199</v>
      </c>
    </row>
    <row r="49" spans="1:5" x14ac:dyDescent="0.25">
      <c r="A49" t="s">
        <v>277</v>
      </c>
      <c r="B49" t="s">
        <v>278</v>
      </c>
      <c r="C49" t="s">
        <v>179</v>
      </c>
      <c r="D49">
        <v>11</v>
      </c>
      <c r="E49" t="s">
        <v>183</v>
      </c>
    </row>
    <row r="50" spans="1:5" x14ac:dyDescent="0.25">
      <c r="A50" t="s">
        <v>279</v>
      </c>
      <c r="B50" t="s">
        <v>280</v>
      </c>
      <c r="C50" t="s">
        <v>179</v>
      </c>
      <c r="D50">
        <v>4</v>
      </c>
      <c r="E50" t="s">
        <v>234</v>
      </c>
    </row>
    <row r="51" spans="1:5" x14ac:dyDescent="0.25">
      <c r="A51" t="s">
        <v>281</v>
      </c>
      <c r="B51" t="s">
        <v>282</v>
      </c>
      <c r="C51" t="s">
        <v>196</v>
      </c>
      <c r="D51">
        <v>9</v>
      </c>
      <c r="E51" t="s">
        <v>180</v>
      </c>
    </row>
    <row r="52" spans="1:5" x14ac:dyDescent="0.25">
      <c r="A52" t="s">
        <v>283</v>
      </c>
      <c r="B52" t="s">
        <v>284</v>
      </c>
      <c r="C52" t="s">
        <v>179</v>
      </c>
      <c r="D52">
        <v>11</v>
      </c>
      <c r="E52" t="s">
        <v>199</v>
      </c>
    </row>
    <row r="53" spans="1:5" x14ac:dyDescent="0.25">
      <c r="A53" t="s">
        <v>285</v>
      </c>
      <c r="B53" t="s">
        <v>223</v>
      </c>
      <c r="C53" t="s">
        <v>191</v>
      </c>
      <c r="D53">
        <v>10</v>
      </c>
      <c r="E53" t="s">
        <v>180</v>
      </c>
    </row>
    <row r="54" spans="1:5" x14ac:dyDescent="0.25">
      <c r="A54" t="s">
        <v>286</v>
      </c>
      <c r="B54" t="s">
        <v>287</v>
      </c>
      <c r="C54" t="s">
        <v>179</v>
      </c>
      <c r="D54">
        <v>13</v>
      </c>
      <c r="E54" t="s">
        <v>180</v>
      </c>
    </row>
    <row r="55" spans="1:5" x14ac:dyDescent="0.25">
      <c r="A55" t="s">
        <v>288</v>
      </c>
      <c r="B55" t="s">
        <v>289</v>
      </c>
      <c r="C55" t="s">
        <v>179</v>
      </c>
      <c r="D55">
        <v>6</v>
      </c>
      <c r="E55" t="s">
        <v>199</v>
      </c>
    </row>
    <row r="56" spans="1:5" x14ac:dyDescent="0.25">
      <c r="A56" t="s">
        <v>290</v>
      </c>
      <c r="B56" t="s">
        <v>291</v>
      </c>
      <c r="C56" t="s">
        <v>191</v>
      </c>
      <c r="D56">
        <v>4</v>
      </c>
      <c r="E56" t="s">
        <v>199</v>
      </c>
    </row>
    <row r="57" spans="1:5" x14ac:dyDescent="0.25">
      <c r="A57" t="s">
        <v>292</v>
      </c>
      <c r="B57" t="s">
        <v>293</v>
      </c>
      <c r="C57" t="s">
        <v>179</v>
      </c>
      <c r="D57">
        <v>5</v>
      </c>
      <c r="E57" t="s">
        <v>234</v>
      </c>
    </row>
    <row r="58" spans="1:5" x14ac:dyDescent="0.25">
      <c r="A58" t="s">
        <v>294</v>
      </c>
      <c r="B58" t="s">
        <v>295</v>
      </c>
      <c r="C58" t="s">
        <v>179</v>
      </c>
      <c r="D58">
        <v>3</v>
      </c>
      <c r="E58" t="s">
        <v>183</v>
      </c>
    </row>
    <row r="59" spans="1:5" x14ac:dyDescent="0.25">
      <c r="A59" t="s">
        <v>296</v>
      </c>
      <c r="B59" t="s">
        <v>297</v>
      </c>
      <c r="C59" t="s">
        <v>179</v>
      </c>
      <c r="D59">
        <v>12</v>
      </c>
      <c r="E59" t="s">
        <v>180</v>
      </c>
    </row>
    <row r="60" spans="1:5" x14ac:dyDescent="0.25">
      <c r="A60" t="s">
        <v>298</v>
      </c>
      <c r="B60" t="s">
        <v>262</v>
      </c>
      <c r="C60" t="s">
        <v>179</v>
      </c>
      <c r="D60">
        <v>10</v>
      </c>
      <c r="E60" t="s">
        <v>183</v>
      </c>
    </row>
    <row r="61" spans="1:5" x14ac:dyDescent="0.25">
      <c r="A61" t="s">
        <v>299</v>
      </c>
      <c r="B61" t="s">
        <v>278</v>
      </c>
      <c r="C61" t="s">
        <v>179</v>
      </c>
      <c r="D61">
        <v>1</v>
      </c>
      <c r="E61" t="s">
        <v>199</v>
      </c>
    </row>
    <row r="62" spans="1:5" x14ac:dyDescent="0.25">
      <c r="A62" t="s">
        <v>300</v>
      </c>
      <c r="B62" t="s">
        <v>301</v>
      </c>
      <c r="C62" t="s">
        <v>196</v>
      </c>
      <c r="D62">
        <v>4</v>
      </c>
      <c r="E62" t="s">
        <v>199</v>
      </c>
    </row>
    <row r="63" spans="1:5" x14ac:dyDescent="0.25">
      <c r="A63" t="s">
        <v>302</v>
      </c>
      <c r="B63" t="s">
        <v>303</v>
      </c>
      <c r="C63" t="s">
        <v>179</v>
      </c>
      <c r="D63">
        <v>1</v>
      </c>
      <c r="E63" t="s">
        <v>180</v>
      </c>
    </row>
    <row r="64" spans="1:5" x14ac:dyDescent="0.25">
      <c r="A64" t="s">
        <v>304</v>
      </c>
      <c r="B64" t="s">
        <v>203</v>
      </c>
      <c r="C64" t="s">
        <v>179</v>
      </c>
      <c r="D64">
        <v>9</v>
      </c>
      <c r="E64" t="s">
        <v>199</v>
      </c>
    </row>
    <row r="65" spans="1:5" x14ac:dyDescent="0.25">
      <c r="A65" t="s">
        <v>305</v>
      </c>
      <c r="B65" t="s">
        <v>306</v>
      </c>
      <c r="C65" t="s">
        <v>179</v>
      </c>
      <c r="D65">
        <v>5</v>
      </c>
      <c r="E65" t="s">
        <v>180</v>
      </c>
    </row>
    <row r="66" spans="1:5" x14ac:dyDescent="0.25">
      <c r="A66" t="s">
        <v>307</v>
      </c>
      <c r="B66" t="s">
        <v>308</v>
      </c>
      <c r="C66" t="s">
        <v>179</v>
      </c>
      <c r="D66">
        <v>13</v>
      </c>
      <c r="E66" t="s">
        <v>199</v>
      </c>
    </row>
    <row r="67" spans="1:5" x14ac:dyDescent="0.25">
      <c r="A67" t="s">
        <v>309</v>
      </c>
      <c r="B67" t="s">
        <v>223</v>
      </c>
      <c r="C67" t="s">
        <v>191</v>
      </c>
      <c r="D67">
        <v>14</v>
      </c>
      <c r="E67" t="s">
        <v>183</v>
      </c>
    </row>
    <row r="68" spans="1:5" x14ac:dyDescent="0.25">
      <c r="A68" t="s">
        <v>310</v>
      </c>
      <c r="B68" t="s">
        <v>311</v>
      </c>
      <c r="C68" t="s">
        <v>191</v>
      </c>
      <c r="D68">
        <v>14</v>
      </c>
      <c r="E68" t="s">
        <v>188</v>
      </c>
    </row>
    <row r="69" spans="1:5" x14ac:dyDescent="0.25">
      <c r="A69" t="s">
        <v>312</v>
      </c>
      <c r="B69" t="s">
        <v>313</v>
      </c>
      <c r="C69" t="s">
        <v>191</v>
      </c>
      <c r="D69">
        <v>3</v>
      </c>
      <c r="E69" t="s">
        <v>183</v>
      </c>
    </row>
    <row r="70" spans="1:5" x14ac:dyDescent="0.25">
      <c r="A70" t="s">
        <v>314</v>
      </c>
      <c r="B70" t="s">
        <v>315</v>
      </c>
      <c r="C70" t="s">
        <v>179</v>
      </c>
      <c r="D70">
        <v>12</v>
      </c>
      <c r="E70" t="s">
        <v>180</v>
      </c>
    </row>
    <row r="71" spans="1:5" x14ac:dyDescent="0.25">
      <c r="A71" t="s">
        <v>316</v>
      </c>
      <c r="B71" t="s">
        <v>317</v>
      </c>
      <c r="C71" t="s">
        <v>179</v>
      </c>
      <c r="D71">
        <v>13</v>
      </c>
      <c r="E71" t="s">
        <v>183</v>
      </c>
    </row>
    <row r="72" spans="1:5" x14ac:dyDescent="0.25">
      <c r="A72" t="s">
        <v>318</v>
      </c>
      <c r="B72" t="s">
        <v>289</v>
      </c>
      <c r="C72" t="s">
        <v>179</v>
      </c>
      <c r="D72">
        <v>4</v>
      </c>
      <c r="E72" t="s">
        <v>199</v>
      </c>
    </row>
    <row r="73" spans="1:5" x14ac:dyDescent="0.25">
      <c r="A73" t="s">
        <v>319</v>
      </c>
      <c r="B73" t="s">
        <v>236</v>
      </c>
      <c r="C73" t="s">
        <v>179</v>
      </c>
      <c r="D73">
        <v>14</v>
      </c>
      <c r="E73" t="s">
        <v>183</v>
      </c>
    </row>
    <row r="74" spans="1:5" x14ac:dyDescent="0.25">
      <c r="A74" t="s">
        <v>320</v>
      </c>
      <c r="B74" t="s">
        <v>321</v>
      </c>
      <c r="C74" t="s">
        <v>219</v>
      </c>
      <c r="D74">
        <v>13</v>
      </c>
      <c r="E74" t="s">
        <v>183</v>
      </c>
    </row>
    <row r="75" spans="1:5" x14ac:dyDescent="0.25">
      <c r="A75" t="s">
        <v>322</v>
      </c>
      <c r="B75" t="s">
        <v>323</v>
      </c>
      <c r="C75" t="s">
        <v>191</v>
      </c>
      <c r="D75">
        <v>4</v>
      </c>
      <c r="E75" t="s">
        <v>234</v>
      </c>
    </row>
    <row r="76" spans="1:5" x14ac:dyDescent="0.25">
      <c r="A76" t="s">
        <v>324</v>
      </c>
      <c r="B76" t="s">
        <v>325</v>
      </c>
      <c r="C76" t="s">
        <v>179</v>
      </c>
      <c r="D76">
        <v>13</v>
      </c>
      <c r="E76" t="s">
        <v>188</v>
      </c>
    </row>
    <row r="77" spans="1:5" x14ac:dyDescent="0.25">
      <c r="A77" t="s">
        <v>326</v>
      </c>
      <c r="B77" t="s">
        <v>327</v>
      </c>
      <c r="C77" t="s">
        <v>191</v>
      </c>
      <c r="D77">
        <v>14</v>
      </c>
      <c r="E77" t="s">
        <v>199</v>
      </c>
    </row>
    <row r="78" spans="1:5" x14ac:dyDescent="0.25">
      <c r="A78" t="s">
        <v>328</v>
      </c>
      <c r="B78" t="s">
        <v>329</v>
      </c>
      <c r="C78" t="s">
        <v>191</v>
      </c>
      <c r="D78">
        <v>9</v>
      </c>
      <c r="E78" t="s">
        <v>180</v>
      </c>
    </row>
    <row r="79" spans="1:5" x14ac:dyDescent="0.25">
      <c r="A79" t="s">
        <v>330</v>
      </c>
      <c r="B79" t="s">
        <v>331</v>
      </c>
      <c r="C79" t="s">
        <v>179</v>
      </c>
      <c r="D79">
        <v>12</v>
      </c>
      <c r="E79" t="s">
        <v>183</v>
      </c>
    </row>
    <row r="80" spans="1:5" x14ac:dyDescent="0.25">
      <c r="A80" t="s">
        <v>332</v>
      </c>
      <c r="B80" t="s">
        <v>187</v>
      </c>
      <c r="C80" t="s">
        <v>191</v>
      </c>
      <c r="D80">
        <v>7</v>
      </c>
      <c r="E80" t="s">
        <v>234</v>
      </c>
    </row>
    <row r="81" spans="1:5" x14ac:dyDescent="0.25">
      <c r="A81" t="s">
        <v>333</v>
      </c>
      <c r="B81" t="s">
        <v>334</v>
      </c>
      <c r="C81" t="s">
        <v>179</v>
      </c>
      <c r="D81">
        <v>10</v>
      </c>
      <c r="E81" t="s">
        <v>199</v>
      </c>
    </row>
    <row r="82" spans="1:5" x14ac:dyDescent="0.25">
      <c r="A82" t="s">
        <v>335</v>
      </c>
      <c r="B82" t="s">
        <v>225</v>
      </c>
      <c r="C82" t="s">
        <v>191</v>
      </c>
      <c r="D82">
        <v>3</v>
      </c>
      <c r="E82" t="s">
        <v>180</v>
      </c>
    </row>
    <row r="83" spans="1:5" x14ac:dyDescent="0.25">
      <c r="A83" t="s">
        <v>336</v>
      </c>
      <c r="B83" t="s">
        <v>212</v>
      </c>
      <c r="C83" t="s">
        <v>179</v>
      </c>
      <c r="D83">
        <v>12</v>
      </c>
      <c r="E83" t="s">
        <v>199</v>
      </c>
    </row>
    <row r="84" spans="1:5" x14ac:dyDescent="0.25">
      <c r="A84" t="s">
        <v>337</v>
      </c>
      <c r="B84" t="s">
        <v>338</v>
      </c>
      <c r="C84" t="s">
        <v>179</v>
      </c>
      <c r="D84">
        <v>11</v>
      </c>
      <c r="E84" t="s">
        <v>199</v>
      </c>
    </row>
    <row r="85" spans="1:5" x14ac:dyDescent="0.25">
      <c r="A85" t="s">
        <v>339</v>
      </c>
      <c r="B85" t="s">
        <v>323</v>
      </c>
      <c r="C85" t="s">
        <v>191</v>
      </c>
      <c r="D85">
        <v>11</v>
      </c>
      <c r="E85" t="s">
        <v>180</v>
      </c>
    </row>
    <row r="86" spans="1:5" x14ac:dyDescent="0.25">
      <c r="A86" t="s">
        <v>340</v>
      </c>
      <c r="B86" t="s">
        <v>341</v>
      </c>
      <c r="C86" t="s">
        <v>191</v>
      </c>
      <c r="D86">
        <v>13</v>
      </c>
      <c r="E86" t="s">
        <v>180</v>
      </c>
    </row>
    <row r="87" spans="1:5" x14ac:dyDescent="0.25">
      <c r="A87" t="s">
        <v>342</v>
      </c>
      <c r="B87" t="s">
        <v>343</v>
      </c>
      <c r="C87" t="s">
        <v>191</v>
      </c>
      <c r="D87">
        <v>3</v>
      </c>
      <c r="E87" t="s">
        <v>183</v>
      </c>
    </row>
    <row r="88" spans="1:5" x14ac:dyDescent="0.25">
      <c r="A88" t="s">
        <v>344</v>
      </c>
      <c r="B88" t="s">
        <v>345</v>
      </c>
      <c r="C88" t="s">
        <v>191</v>
      </c>
      <c r="D88">
        <v>1</v>
      </c>
      <c r="E88" t="s">
        <v>199</v>
      </c>
    </row>
    <row r="89" spans="1:5" x14ac:dyDescent="0.25">
      <c r="A89" t="s">
        <v>346</v>
      </c>
      <c r="B89" t="s">
        <v>347</v>
      </c>
      <c r="C89" t="s">
        <v>219</v>
      </c>
      <c r="D89">
        <v>8</v>
      </c>
      <c r="E89" t="s">
        <v>199</v>
      </c>
    </row>
    <row r="90" spans="1:5" x14ac:dyDescent="0.25">
      <c r="A90" t="s">
        <v>348</v>
      </c>
      <c r="B90" t="s">
        <v>349</v>
      </c>
      <c r="C90" t="s">
        <v>179</v>
      </c>
      <c r="D90">
        <v>3</v>
      </c>
      <c r="E90" t="s">
        <v>180</v>
      </c>
    </row>
    <row r="91" spans="1:5" x14ac:dyDescent="0.25">
      <c r="A91" t="s">
        <v>350</v>
      </c>
      <c r="B91" t="s">
        <v>195</v>
      </c>
      <c r="C91" t="s">
        <v>179</v>
      </c>
      <c r="D91">
        <v>10</v>
      </c>
      <c r="E91" t="s">
        <v>180</v>
      </c>
    </row>
    <row r="92" spans="1:5" x14ac:dyDescent="0.25">
      <c r="A92" t="s">
        <v>351</v>
      </c>
      <c r="B92" t="s">
        <v>352</v>
      </c>
      <c r="C92" t="s">
        <v>179</v>
      </c>
      <c r="D92">
        <v>6</v>
      </c>
      <c r="E92" t="s">
        <v>199</v>
      </c>
    </row>
    <row r="93" spans="1:5" x14ac:dyDescent="0.25">
      <c r="A93" t="s">
        <v>353</v>
      </c>
      <c r="B93" t="s">
        <v>354</v>
      </c>
      <c r="C93" t="s">
        <v>179</v>
      </c>
      <c r="D93">
        <v>10</v>
      </c>
      <c r="E93" t="s">
        <v>183</v>
      </c>
    </row>
    <row r="94" spans="1:5" x14ac:dyDescent="0.25">
      <c r="A94" t="s">
        <v>355</v>
      </c>
      <c r="B94" t="s">
        <v>356</v>
      </c>
      <c r="C94" t="s">
        <v>179</v>
      </c>
      <c r="D94">
        <v>7</v>
      </c>
      <c r="E94" t="s">
        <v>183</v>
      </c>
    </row>
    <row r="95" spans="1:5" x14ac:dyDescent="0.25">
      <c r="A95" t="s">
        <v>357</v>
      </c>
      <c r="B95" t="s">
        <v>358</v>
      </c>
      <c r="C95" t="s">
        <v>179</v>
      </c>
      <c r="D95">
        <v>14</v>
      </c>
      <c r="E95" t="s">
        <v>199</v>
      </c>
    </row>
    <row r="96" spans="1:5" x14ac:dyDescent="0.25">
      <c r="A96" t="s">
        <v>359</v>
      </c>
      <c r="B96" t="s">
        <v>360</v>
      </c>
      <c r="C96" t="s">
        <v>179</v>
      </c>
      <c r="D96">
        <v>2</v>
      </c>
      <c r="E96" t="s">
        <v>199</v>
      </c>
    </row>
    <row r="97" spans="1:5" x14ac:dyDescent="0.25">
      <c r="A97" t="s">
        <v>361</v>
      </c>
      <c r="B97" t="s">
        <v>362</v>
      </c>
      <c r="C97" t="s">
        <v>219</v>
      </c>
      <c r="D97">
        <v>5</v>
      </c>
      <c r="E97" t="s">
        <v>183</v>
      </c>
    </row>
    <row r="98" spans="1:5" x14ac:dyDescent="0.25">
      <c r="A98" t="s">
        <v>363</v>
      </c>
      <c r="B98" t="s">
        <v>364</v>
      </c>
      <c r="C98" t="s">
        <v>191</v>
      </c>
      <c r="D98">
        <v>4</v>
      </c>
      <c r="E98" t="s">
        <v>183</v>
      </c>
    </row>
    <row r="99" spans="1:5" x14ac:dyDescent="0.25">
      <c r="A99" t="s">
        <v>365</v>
      </c>
      <c r="B99" t="s">
        <v>366</v>
      </c>
      <c r="C99" t="s">
        <v>179</v>
      </c>
      <c r="D99">
        <v>9</v>
      </c>
      <c r="E99" t="s">
        <v>199</v>
      </c>
    </row>
    <row r="100" spans="1:5" x14ac:dyDescent="0.25">
      <c r="A100" t="s">
        <v>367</v>
      </c>
      <c r="B100" t="s">
        <v>225</v>
      </c>
      <c r="C100" t="s">
        <v>219</v>
      </c>
      <c r="D100">
        <v>7</v>
      </c>
      <c r="E100" t="s">
        <v>188</v>
      </c>
    </row>
    <row r="101" spans="1:5" x14ac:dyDescent="0.25">
      <c r="A101" t="s">
        <v>368</v>
      </c>
      <c r="B101" t="s">
        <v>369</v>
      </c>
      <c r="C101" t="s">
        <v>219</v>
      </c>
      <c r="D101">
        <v>7</v>
      </c>
      <c r="E101" t="s">
        <v>234</v>
      </c>
    </row>
    <row r="102" spans="1:5" x14ac:dyDescent="0.25">
      <c r="A102" t="s">
        <v>370</v>
      </c>
      <c r="B102" t="s">
        <v>371</v>
      </c>
      <c r="C102" t="s">
        <v>179</v>
      </c>
      <c r="D102">
        <v>5</v>
      </c>
      <c r="E102" t="s">
        <v>188</v>
      </c>
    </row>
    <row r="103" spans="1:5" x14ac:dyDescent="0.25">
      <c r="A103" t="s">
        <v>372</v>
      </c>
      <c r="B103" t="s">
        <v>364</v>
      </c>
      <c r="C103" t="s">
        <v>191</v>
      </c>
      <c r="D103">
        <v>5</v>
      </c>
      <c r="E103" t="s">
        <v>183</v>
      </c>
    </row>
    <row r="104" spans="1:5" x14ac:dyDescent="0.25">
      <c r="A104" t="s">
        <v>373</v>
      </c>
      <c r="B104" t="s">
        <v>364</v>
      </c>
      <c r="C104" t="s">
        <v>191</v>
      </c>
      <c r="D104">
        <v>6</v>
      </c>
      <c r="E104" t="s">
        <v>183</v>
      </c>
    </row>
    <row r="105" spans="1:5" x14ac:dyDescent="0.25">
      <c r="A105" t="s">
        <v>374</v>
      </c>
      <c r="B105" t="s">
        <v>375</v>
      </c>
      <c r="C105" t="s">
        <v>179</v>
      </c>
      <c r="D105">
        <v>1</v>
      </c>
      <c r="E105" t="s">
        <v>199</v>
      </c>
    </row>
    <row r="106" spans="1:5" x14ac:dyDescent="0.25">
      <c r="A106" t="s">
        <v>376</v>
      </c>
      <c r="B106" t="s">
        <v>377</v>
      </c>
      <c r="C106" t="s">
        <v>191</v>
      </c>
      <c r="D106">
        <v>7</v>
      </c>
      <c r="E106" t="s">
        <v>183</v>
      </c>
    </row>
    <row r="107" spans="1:5" x14ac:dyDescent="0.25">
      <c r="A107" t="s">
        <v>378</v>
      </c>
      <c r="B107" t="s">
        <v>379</v>
      </c>
      <c r="C107" t="s">
        <v>179</v>
      </c>
      <c r="D107">
        <v>8</v>
      </c>
      <c r="E107" t="s">
        <v>199</v>
      </c>
    </row>
    <row r="108" spans="1:5" x14ac:dyDescent="0.25">
      <c r="A108" t="s">
        <v>380</v>
      </c>
      <c r="B108" t="s">
        <v>381</v>
      </c>
      <c r="C108" t="s">
        <v>219</v>
      </c>
      <c r="D108">
        <v>1</v>
      </c>
      <c r="E108" t="s">
        <v>199</v>
      </c>
    </row>
    <row r="109" spans="1:5" x14ac:dyDescent="0.25">
      <c r="A109" t="s">
        <v>382</v>
      </c>
      <c r="B109" t="s">
        <v>331</v>
      </c>
      <c r="C109" t="s">
        <v>179</v>
      </c>
      <c r="D109">
        <v>12</v>
      </c>
      <c r="E109" t="s">
        <v>183</v>
      </c>
    </row>
    <row r="110" spans="1:5" x14ac:dyDescent="0.25">
      <c r="A110" t="s">
        <v>383</v>
      </c>
      <c r="B110" t="s">
        <v>384</v>
      </c>
      <c r="C110" t="s">
        <v>191</v>
      </c>
      <c r="D110">
        <v>3</v>
      </c>
      <c r="E110" t="s">
        <v>199</v>
      </c>
    </row>
    <row r="111" spans="1:5" x14ac:dyDescent="0.25">
      <c r="A111" t="s">
        <v>385</v>
      </c>
      <c r="B111" t="s">
        <v>386</v>
      </c>
      <c r="C111" t="s">
        <v>196</v>
      </c>
      <c r="D111">
        <v>7</v>
      </c>
      <c r="E111" t="s">
        <v>180</v>
      </c>
    </row>
    <row r="112" spans="1:5" x14ac:dyDescent="0.25">
      <c r="A112" t="s">
        <v>387</v>
      </c>
      <c r="B112" t="s">
        <v>388</v>
      </c>
      <c r="C112" t="s">
        <v>179</v>
      </c>
      <c r="D112">
        <v>13</v>
      </c>
      <c r="E112" t="s">
        <v>183</v>
      </c>
    </row>
    <row r="113" spans="1:5" x14ac:dyDescent="0.25">
      <c r="A113" t="s">
        <v>389</v>
      </c>
      <c r="B113" t="s">
        <v>390</v>
      </c>
      <c r="C113" t="s">
        <v>219</v>
      </c>
      <c r="D113">
        <v>7</v>
      </c>
      <c r="E113" t="s">
        <v>199</v>
      </c>
    </row>
    <row r="114" spans="1:5" x14ac:dyDescent="0.25">
      <c r="A114" t="s">
        <v>391</v>
      </c>
      <c r="B114" t="s">
        <v>315</v>
      </c>
      <c r="C114" t="s">
        <v>179</v>
      </c>
      <c r="D114">
        <v>7</v>
      </c>
      <c r="E114" t="s">
        <v>199</v>
      </c>
    </row>
    <row r="115" spans="1:5" x14ac:dyDescent="0.25">
      <c r="A115" t="s">
        <v>392</v>
      </c>
      <c r="B115" t="s">
        <v>289</v>
      </c>
      <c r="C115" t="s">
        <v>191</v>
      </c>
      <c r="D115">
        <v>1</v>
      </c>
      <c r="E115" t="s">
        <v>199</v>
      </c>
    </row>
    <row r="116" spans="1:5" x14ac:dyDescent="0.25">
      <c r="A116" t="s">
        <v>393</v>
      </c>
      <c r="B116" t="s">
        <v>394</v>
      </c>
      <c r="C116" t="s">
        <v>179</v>
      </c>
      <c r="D116">
        <v>5</v>
      </c>
      <c r="E116" t="s">
        <v>199</v>
      </c>
    </row>
    <row r="117" spans="1:5" x14ac:dyDescent="0.25">
      <c r="A117" t="s">
        <v>395</v>
      </c>
      <c r="B117" t="s">
        <v>396</v>
      </c>
      <c r="C117" t="s">
        <v>219</v>
      </c>
      <c r="D117">
        <v>5</v>
      </c>
      <c r="E117" t="s">
        <v>188</v>
      </c>
    </row>
    <row r="118" spans="1:5" x14ac:dyDescent="0.25">
      <c r="A118" t="s">
        <v>397</v>
      </c>
      <c r="B118" t="s">
        <v>398</v>
      </c>
      <c r="C118" t="s">
        <v>179</v>
      </c>
      <c r="D118">
        <v>14</v>
      </c>
      <c r="E118" t="s">
        <v>183</v>
      </c>
    </row>
    <row r="119" spans="1:5" x14ac:dyDescent="0.25">
      <c r="A119" t="s">
        <v>399</v>
      </c>
      <c r="B119" t="s">
        <v>400</v>
      </c>
      <c r="C119" t="s">
        <v>191</v>
      </c>
      <c r="D119">
        <v>6</v>
      </c>
      <c r="E119" t="s">
        <v>180</v>
      </c>
    </row>
    <row r="120" spans="1:5" x14ac:dyDescent="0.25">
      <c r="A120" t="s">
        <v>401</v>
      </c>
      <c r="B120" t="s">
        <v>402</v>
      </c>
      <c r="C120" t="s">
        <v>191</v>
      </c>
      <c r="D120">
        <v>9</v>
      </c>
      <c r="E120" t="s">
        <v>183</v>
      </c>
    </row>
    <row r="121" spans="1:5" x14ac:dyDescent="0.25">
      <c r="A121" t="s">
        <v>403</v>
      </c>
      <c r="B121" t="s">
        <v>404</v>
      </c>
      <c r="C121" t="s">
        <v>179</v>
      </c>
      <c r="D121">
        <v>6</v>
      </c>
      <c r="E121" t="s">
        <v>183</v>
      </c>
    </row>
    <row r="122" spans="1:5" x14ac:dyDescent="0.25">
      <c r="A122" t="s">
        <v>405</v>
      </c>
      <c r="B122" t="s">
        <v>406</v>
      </c>
      <c r="C122" t="s">
        <v>219</v>
      </c>
      <c r="D122">
        <v>1</v>
      </c>
      <c r="E122" t="s">
        <v>188</v>
      </c>
    </row>
    <row r="123" spans="1:5" x14ac:dyDescent="0.25">
      <c r="A123" t="s">
        <v>407</v>
      </c>
      <c r="B123" t="s">
        <v>327</v>
      </c>
      <c r="C123" t="s">
        <v>179</v>
      </c>
      <c r="D123">
        <v>6</v>
      </c>
      <c r="E123" t="s">
        <v>183</v>
      </c>
    </row>
    <row r="124" spans="1:5" x14ac:dyDescent="0.25">
      <c r="A124" t="s">
        <v>408</v>
      </c>
      <c r="B124" t="s">
        <v>409</v>
      </c>
      <c r="C124" t="s">
        <v>179</v>
      </c>
      <c r="D124">
        <v>11</v>
      </c>
      <c r="E124" t="s">
        <v>183</v>
      </c>
    </row>
    <row r="125" spans="1:5" x14ac:dyDescent="0.25">
      <c r="A125" t="s">
        <v>410</v>
      </c>
      <c r="B125" t="s">
        <v>341</v>
      </c>
      <c r="C125" t="s">
        <v>179</v>
      </c>
      <c r="D125">
        <v>11</v>
      </c>
      <c r="E125" t="s">
        <v>234</v>
      </c>
    </row>
    <row r="126" spans="1:5" x14ac:dyDescent="0.25">
      <c r="A126" t="s">
        <v>411</v>
      </c>
      <c r="B126" t="s">
        <v>412</v>
      </c>
      <c r="C126" t="s">
        <v>179</v>
      </c>
      <c r="D126">
        <v>1</v>
      </c>
      <c r="E126" t="s">
        <v>199</v>
      </c>
    </row>
    <row r="127" spans="1:5" x14ac:dyDescent="0.25">
      <c r="A127" t="s">
        <v>413</v>
      </c>
      <c r="B127" t="s">
        <v>414</v>
      </c>
      <c r="C127" t="s">
        <v>179</v>
      </c>
      <c r="D127">
        <v>13</v>
      </c>
      <c r="E127" t="s">
        <v>180</v>
      </c>
    </row>
    <row r="128" spans="1:5" x14ac:dyDescent="0.25">
      <c r="A128" t="s">
        <v>415</v>
      </c>
      <c r="B128" t="s">
        <v>287</v>
      </c>
      <c r="C128" t="s">
        <v>191</v>
      </c>
      <c r="D128">
        <v>14</v>
      </c>
      <c r="E128" t="s">
        <v>199</v>
      </c>
    </row>
    <row r="129" spans="1:5" x14ac:dyDescent="0.25">
      <c r="A129" t="s">
        <v>416</v>
      </c>
      <c r="B129" t="s">
        <v>417</v>
      </c>
      <c r="C129" t="s">
        <v>179</v>
      </c>
      <c r="D129">
        <v>12</v>
      </c>
      <c r="E129" t="s">
        <v>199</v>
      </c>
    </row>
    <row r="130" spans="1:5" x14ac:dyDescent="0.25">
      <c r="A130" t="s">
        <v>418</v>
      </c>
      <c r="B130" t="s">
        <v>419</v>
      </c>
      <c r="C130" t="s">
        <v>179</v>
      </c>
      <c r="D130">
        <v>9</v>
      </c>
      <c r="E130" t="s">
        <v>199</v>
      </c>
    </row>
    <row r="131" spans="1:5" x14ac:dyDescent="0.25">
      <c r="A131" t="s">
        <v>420</v>
      </c>
      <c r="B131" t="s">
        <v>421</v>
      </c>
      <c r="C131" t="s">
        <v>191</v>
      </c>
      <c r="D131">
        <v>9</v>
      </c>
      <c r="E131" t="s">
        <v>199</v>
      </c>
    </row>
    <row r="132" spans="1:5" x14ac:dyDescent="0.25">
      <c r="A132" t="s">
        <v>422</v>
      </c>
      <c r="B132" t="s">
        <v>423</v>
      </c>
      <c r="C132" t="s">
        <v>179</v>
      </c>
      <c r="D132">
        <v>6</v>
      </c>
      <c r="E132" t="s">
        <v>183</v>
      </c>
    </row>
    <row r="133" spans="1:5" x14ac:dyDescent="0.25">
      <c r="A133" t="s">
        <v>424</v>
      </c>
      <c r="B133" t="s">
        <v>425</v>
      </c>
      <c r="C133" t="s">
        <v>179</v>
      </c>
      <c r="D133">
        <v>5</v>
      </c>
      <c r="E133" t="s">
        <v>199</v>
      </c>
    </row>
    <row r="134" spans="1:5" x14ac:dyDescent="0.25">
      <c r="A134" t="s">
        <v>426</v>
      </c>
      <c r="B134" t="s">
        <v>240</v>
      </c>
      <c r="C134" t="s">
        <v>179</v>
      </c>
      <c r="D134">
        <v>14</v>
      </c>
      <c r="E134" t="s">
        <v>199</v>
      </c>
    </row>
    <row r="135" spans="1:5" x14ac:dyDescent="0.25">
      <c r="A135" t="s">
        <v>427</v>
      </c>
      <c r="B135" t="s">
        <v>428</v>
      </c>
      <c r="C135" t="s">
        <v>219</v>
      </c>
      <c r="D135">
        <v>4</v>
      </c>
      <c r="E135" t="s">
        <v>183</v>
      </c>
    </row>
    <row r="136" spans="1:5" x14ac:dyDescent="0.25">
      <c r="A136" t="s">
        <v>429</v>
      </c>
      <c r="B136" t="s">
        <v>377</v>
      </c>
      <c r="C136" t="s">
        <v>179</v>
      </c>
      <c r="D136">
        <v>4</v>
      </c>
      <c r="E136" t="s">
        <v>199</v>
      </c>
    </row>
    <row r="137" spans="1:5" x14ac:dyDescent="0.25">
      <c r="A137" t="s">
        <v>430</v>
      </c>
      <c r="B137" t="s">
        <v>284</v>
      </c>
      <c r="C137" t="s">
        <v>191</v>
      </c>
      <c r="D137">
        <v>10</v>
      </c>
      <c r="E137" t="s">
        <v>199</v>
      </c>
    </row>
    <row r="138" spans="1:5" x14ac:dyDescent="0.25">
      <c r="A138" t="s">
        <v>431</v>
      </c>
      <c r="B138" t="s">
        <v>432</v>
      </c>
      <c r="C138" t="s">
        <v>179</v>
      </c>
      <c r="D138">
        <v>13</v>
      </c>
      <c r="E138" t="s">
        <v>183</v>
      </c>
    </row>
    <row r="139" spans="1:5" x14ac:dyDescent="0.25">
      <c r="A139" t="s">
        <v>433</v>
      </c>
      <c r="B139" t="s">
        <v>434</v>
      </c>
      <c r="C139" t="s">
        <v>179</v>
      </c>
      <c r="D139">
        <v>1</v>
      </c>
      <c r="E139" t="s">
        <v>180</v>
      </c>
    </row>
    <row r="140" spans="1:5" x14ac:dyDescent="0.25">
      <c r="A140" t="s">
        <v>435</v>
      </c>
      <c r="B140" t="s">
        <v>306</v>
      </c>
      <c r="C140" t="s">
        <v>219</v>
      </c>
      <c r="D140">
        <v>14</v>
      </c>
      <c r="E140" t="s">
        <v>180</v>
      </c>
    </row>
    <row r="141" spans="1:5" x14ac:dyDescent="0.25">
      <c r="A141" t="s">
        <v>436</v>
      </c>
      <c r="B141" t="s">
        <v>437</v>
      </c>
      <c r="C141" t="s">
        <v>179</v>
      </c>
      <c r="D141">
        <v>4</v>
      </c>
      <c r="E141" t="s">
        <v>234</v>
      </c>
    </row>
    <row r="142" spans="1:5" x14ac:dyDescent="0.25">
      <c r="A142" t="s">
        <v>438</v>
      </c>
      <c r="B142" t="s">
        <v>369</v>
      </c>
      <c r="C142" t="s">
        <v>179</v>
      </c>
      <c r="D142">
        <v>10</v>
      </c>
      <c r="E142" t="s">
        <v>234</v>
      </c>
    </row>
    <row r="143" spans="1:5" x14ac:dyDescent="0.25">
      <c r="A143" t="s">
        <v>439</v>
      </c>
      <c r="B143" t="s">
        <v>379</v>
      </c>
      <c r="C143" t="s">
        <v>191</v>
      </c>
      <c r="D143">
        <v>11</v>
      </c>
      <c r="E143" t="s">
        <v>199</v>
      </c>
    </row>
    <row r="144" spans="1:5" x14ac:dyDescent="0.25">
      <c r="A144" t="s">
        <v>440</v>
      </c>
      <c r="B144" t="s">
        <v>441</v>
      </c>
      <c r="C144" t="s">
        <v>191</v>
      </c>
      <c r="D144">
        <v>7</v>
      </c>
      <c r="E144" t="s">
        <v>180</v>
      </c>
    </row>
    <row r="145" spans="1:5" x14ac:dyDescent="0.25">
      <c r="A145" t="s">
        <v>442</v>
      </c>
      <c r="B145" t="s">
        <v>443</v>
      </c>
      <c r="C145" t="s">
        <v>196</v>
      </c>
      <c r="D145">
        <v>7</v>
      </c>
      <c r="E145" t="s">
        <v>183</v>
      </c>
    </row>
    <row r="146" spans="1:5" x14ac:dyDescent="0.25">
      <c r="A146" t="s">
        <v>444</v>
      </c>
      <c r="B146" t="s">
        <v>445</v>
      </c>
      <c r="C146" t="s">
        <v>191</v>
      </c>
      <c r="D146">
        <v>9</v>
      </c>
      <c r="E146" t="s">
        <v>183</v>
      </c>
    </row>
    <row r="147" spans="1:5" x14ac:dyDescent="0.25">
      <c r="A147" t="s">
        <v>446</v>
      </c>
      <c r="B147" t="s">
        <v>308</v>
      </c>
      <c r="C147" t="s">
        <v>191</v>
      </c>
      <c r="D147">
        <v>3</v>
      </c>
      <c r="E147" t="s">
        <v>180</v>
      </c>
    </row>
    <row r="148" spans="1:5" x14ac:dyDescent="0.25">
      <c r="A148" t="s">
        <v>447</v>
      </c>
      <c r="B148" t="s">
        <v>266</v>
      </c>
      <c r="C148" t="s">
        <v>191</v>
      </c>
      <c r="D148">
        <v>5</v>
      </c>
      <c r="E148" t="s">
        <v>183</v>
      </c>
    </row>
    <row r="149" spans="1:5" x14ac:dyDescent="0.25">
      <c r="A149" t="s">
        <v>448</v>
      </c>
      <c r="B149" t="s">
        <v>406</v>
      </c>
      <c r="C149" t="s">
        <v>191</v>
      </c>
      <c r="D149">
        <v>2</v>
      </c>
      <c r="E149" t="s">
        <v>199</v>
      </c>
    </row>
    <row r="150" spans="1:5" x14ac:dyDescent="0.25">
      <c r="A150" t="s">
        <v>449</v>
      </c>
      <c r="B150" t="s">
        <v>301</v>
      </c>
      <c r="C150" t="s">
        <v>179</v>
      </c>
      <c r="D150">
        <v>12</v>
      </c>
      <c r="E150" t="s">
        <v>183</v>
      </c>
    </row>
    <row r="151" spans="1:5" x14ac:dyDescent="0.25">
      <c r="A151" t="s">
        <v>450</v>
      </c>
      <c r="B151" t="s">
        <v>451</v>
      </c>
      <c r="C151" t="s">
        <v>219</v>
      </c>
      <c r="D151">
        <v>14</v>
      </c>
      <c r="E151" t="s">
        <v>234</v>
      </c>
    </row>
    <row r="152" spans="1:5" x14ac:dyDescent="0.25">
      <c r="A152" t="s">
        <v>452</v>
      </c>
      <c r="B152" t="s">
        <v>404</v>
      </c>
      <c r="C152" t="s">
        <v>179</v>
      </c>
      <c r="D152">
        <v>2</v>
      </c>
      <c r="E152" t="s">
        <v>199</v>
      </c>
    </row>
    <row r="153" spans="1:5" x14ac:dyDescent="0.25">
      <c r="A153" t="s">
        <v>453</v>
      </c>
      <c r="B153" t="s">
        <v>454</v>
      </c>
      <c r="C153" t="s">
        <v>179</v>
      </c>
      <c r="D153">
        <v>9</v>
      </c>
      <c r="E153" t="s">
        <v>199</v>
      </c>
    </row>
    <row r="154" spans="1:5" x14ac:dyDescent="0.25">
      <c r="A154" t="s">
        <v>455</v>
      </c>
      <c r="B154" t="s">
        <v>456</v>
      </c>
      <c r="C154" t="s">
        <v>179</v>
      </c>
      <c r="D154">
        <v>5</v>
      </c>
      <c r="E154" t="s">
        <v>199</v>
      </c>
    </row>
    <row r="155" spans="1:5" x14ac:dyDescent="0.25">
      <c r="A155" t="s">
        <v>457</v>
      </c>
      <c r="B155" t="s">
        <v>458</v>
      </c>
      <c r="C155" t="s">
        <v>179</v>
      </c>
      <c r="D155">
        <v>12</v>
      </c>
      <c r="E155" t="s">
        <v>234</v>
      </c>
    </row>
    <row r="156" spans="1:5" x14ac:dyDescent="0.25">
      <c r="A156" t="s">
        <v>459</v>
      </c>
      <c r="B156" t="s">
        <v>460</v>
      </c>
      <c r="C156" t="s">
        <v>179</v>
      </c>
      <c r="D156">
        <v>9</v>
      </c>
      <c r="E156" t="s">
        <v>199</v>
      </c>
    </row>
    <row r="157" spans="1:5" x14ac:dyDescent="0.25">
      <c r="A157" t="s">
        <v>461</v>
      </c>
      <c r="B157" t="s">
        <v>462</v>
      </c>
      <c r="C157" t="s">
        <v>179</v>
      </c>
      <c r="D157">
        <v>4</v>
      </c>
      <c r="E157" t="s">
        <v>199</v>
      </c>
    </row>
    <row r="158" spans="1:5" x14ac:dyDescent="0.25">
      <c r="A158" t="s">
        <v>463</v>
      </c>
      <c r="B158" t="s">
        <v>301</v>
      </c>
      <c r="C158" t="s">
        <v>191</v>
      </c>
      <c r="D158">
        <v>7</v>
      </c>
      <c r="E158" t="s">
        <v>199</v>
      </c>
    </row>
    <row r="159" spans="1:5" x14ac:dyDescent="0.25">
      <c r="A159" t="s">
        <v>464</v>
      </c>
      <c r="B159" t="s">
        <v>409</v>
      </c>
      <c r="C159" t="s">
        <v>191</v>
      </c>
      <c r="D159">
        <v>7</v>
      </c>
      <c r="E159" t="s">
        <v>234</v>
      </c>
    </row>
    <row r="160" spans="1:5" x14ac:dyDescent="0.25">
      <c r="A160" t="s">
        <v>465</v>
      </c>
      <c r="B160" t="s">
        <v>270</v>
      </c>
      <c r="C160" t="s">
        <v>196</v>
      </c>
      <c r="D160">
        <v>6</v>
      </c>
      <c r="E160" t="s">
        <v>183</v>
      </c>
    </row>
    <row r="161" spans="1:5" x14ac:dyDescent="0.25">
      <c r="A161" t="s">
        <v>466</v>
      </c>
      <c r="B161" t="s">
        <v>334</v>
      </c>
      <c r="C161" t="s">
        <v>179</v>
      </c>
      <c r="D161">
        <v>11</v>
      </c>
      <c r="E161" t="s">
        <v>180</v>
      </c>
    </row>
    <row r="162" spans="1:5" x14ac:dyDescent="0.25">
      <c r="A162" t="s">
        <v>467</v>
      </c>
      <c r="B162" t="s">
        <v>366</v>
      </c>
      <c r="C162" t="s">
        <v>219</v>
      </c>
      <c r="D162">
        <v>2</v>
      </c>
      <c r="E162" t="s">
        <v>199</v>
      </c>
    </row>
    <row r="163" spans="1:5" x14ac:dyDescent="0.25">
      <c r="A163" t="s">
        <v>468</v>
      </c>
      <c r="B163" t="s">
        <v>182</v>
      </c>
      <c r="C163" t="s">
        <v>179</v>
      </c>
      <c r="D163">
        <v>13</v>
      </c>
      <c r="E163" t="s">
        <v>188</v>
      </c>
    </row>
    <row r="164" spans="1:5" x14ac:dyDescent="0.25">
      <c r="A164" t="s">
        <v>469</v>
      </c>
      <c r="B164" t="s">
        <v>303</v>
      </c>
      <c r="C164" t="s">
        <v>219</v>
      </c>
      <c r="D164">
        <v>13</v>
      </c>
      <c r="E164" t="s">
        <v>183</v>
      </c>
    </row>
    <row r="165" spans="1:5" x14ac:dyDescent="0.25">
      <c r="A165" t="s">
        <v>470</v>
      </c>
      <c r="B165" t="s">
        <v>240</v>
      </c>
      <c r="C165" t="s">
        <v>191</v>
      </c>
      <c r="D165">
        <v>1</v>
      </c>
      <c r="E165" t="s">
        <v>199</v>
      </c>
    </row>
    <row r="166" spans="1:5" x14ac:dyDescent="0.25">
      <c r="A166" t="s">
        <v>471</v>
      </c>
      <c r="B166" t="s">
        <v>472</v>
      </c>
      <c r="C166" t="s">
        <v>179</v>
      </c>
      <c r="D166">
        <v>4</v>
      </c>
      <c r="E166" t="s">
        <v>199</v>
      </c>
    </row>
    <row r="167" spans="1:5" x14ac:dyDescent="0.25">
      <c r="A167" t="s">
        <v>473</v>
      </c>
      <c r="B167" t="s">
        <v>384</v>
      </c>
      <c r="C167" t="s">
        <v>179</v>
      </c>
      <c r="D167">
        <v>13</v>
      </c>
      <c r="E167" t="s">
        <v>180</v>
      </c>
    </row>
    <row r="168" spans="1:5" x14ac:dyDescent="0.25">
      <c r="A168" t="s">
        <v>474</v>
      </c>
      <c r="B168" t="s">
        <v>475</v>
      </c>
      <c r="C168" t="s">
        <v>191</v>
      </c>
      <c r="D168">
        <v>3</v>
      </c>
      <c r="E168" t="s">
        <v>199</v>
      </c>
    </row>
    <row r="169" spans="1:5" x14ac:dyDescent="0.25">
      <c r="A169" t="s">
        <v>476</v>
      </c>
      <c r="B169" t="s">
        <v>417</v>
      </c>
      <c r="C169" t="s">
        <v>179</v>
      </c>
      <c r="D169">
        <v>11</v>
      </c>
      <c r="E169" t="s">
        <v>234</v>
      </c>
    </row>
    <row r="170" spans="1:5" x14ac:dyDescent="0.25">
      <c r="A170" t="s">
        <v>477</v>
      </c>
      <c r="B170" t="s">
        <v>460</v>
      </c>
      <c r="C170" t="s">
        <v>191</v>
      </c>
      <c r="D170">
        <v>6</v>
      </c>
      <c r="E170" t="s">
        <v>183</v>
      </c>
    </row>
    <row r="171" spans="1:5" x14ac:dyDescent="0.25">
      <c r="A171" t="s">
        <v>478</v>
      </c>
      <c r="B171" t="s">
        <v>479</v>
      </c>
      <c r="C171" t="s">
        <v>191</v>
      </c>
      <c r="D171">
        <v>8</v>
      </c>
      <c r="E171" t="s">
        <v>199</v>
      </c>
    </row>
    <row r="172" spans="1:5" x14ac:dyDescent="0.25">
      <c r="A172" t="s">
        <v>480</v>
      </c>
      <c r="B172" t="s">
        <v>481</v>
      </c>
      <c r="C172" t="s">
        <v>179</v>
      </c>
      <c r="D172">
        <v>9</v>
      </c>
      <c r="E172" t="s">
        <v>199</v>
      </c>
    </row>
    <row r="173" spans="1:5" x14ac:dyDescent="0.25">
      <c r="A173" t="s">
        <v>482</v>
      </c>
      <c r="B173" t="s">
        <v>327</v>
      </c>
      <c r="C173" t="s">
        <v>191</v>
      </c>
      <c r="D173">
        <v>3</v>
      </c>
      <c r="E173" t="s">
        <v>180</v>
      </c>
    </row>
    <row r="174" spans="1:5" x14ac:dyDescent="0.25">
      <c r="A174" t="s">
        <v>483</v>
      </c>
      <c r="B174" t="s">
        <v>276</v>
      </c>
      <c r="C174" t="s">
        <v>179</v>
      </c>
      <c r="D174">
        <v>7</v>
      </c>
      <c r="E174" t="s">
        <v>183</v>
      </c>
    </row>
    <row r="175" spans="1:5" x14ac:dyDescent="0.25">
      <c r="A175" t="s">
        <v>484</v>
      </c>
      <c r="B175" t="s">
        <v>485</v>
      </c>
      <c r="C175" t="s">
        <v>179</v>
      </c>
      <c r="D175">
        <v>11</v>
      </c>
      <c r="E175" t="s">
        <v>199</v>
      </c>
    </row>
    <row r="176" spans="1:5" x14ac:dyDescent="0.25">
      <c r="A176" t="s">
        <v>486</v>
      </c>
      <c r="B176" t="s">
        <v>445</v>
      </c>
      <c r="C176" t="s">
        <v>179</v>
      </c>
      <c r="D176">
        <v>5</v>
      </c>
      <c r="E176" t="s">
        <v>180</v>
      </c>
    </row>
    <row r="177" spans="1:5" x14ac:dyDescent="0.25">
      <c r="A177" t="s">
        <v>487</v>
      </c>
      <c r="B177" t="s">
        <v>488</v>
      </c>
      <c r="C177" t="s">
        <v>191</v>
      </c>
      <c r="D177">
        <v>13</v>
      </c>
      <c r="E177" t="s">
        <v>188</v>
      </c>
    </row>
    <row r="178" spans="1:5" x14ac:dyDescent="0.25">
      <c r="A178" t="s">
        <v>489</v>
      </c>
      <c r="B178" t="s">
        <v>490</v>
      </c>
      <c r="C178" t="s">
        <v>191</v>
      </c>
      <c r="D178">
        <v>6</v>
      </c>
      <c r="E178" t="s">
        <v>234</v>
      </c>
    </row>
    <row r="179" spans="1:5" x14ac:dyDescent="0.25">
      <c r="A179" t="s">
        <v>491</v>
      </c>
      <c r="B179" t="s">
        <v>472</v>
      </c>
      <c r="C179" t="s">
        <v>191</v>
      </c>
      <c r="D179">
        <v>13</v>
      </c>
      <c r="E179" t="s">
        <v>199</v>
      </c>
    </row>
    <row r="180" spans="1:5" x14ac:dyDescent="0.25">
      <c r="A180" t="s">
        <v>492</v>
      </c>
      <c r="B180" t="s">
        <v>493</v>
      </c>
      <c r="C180" t="s">
        <v>179</v>
      </c>
      <c r="D180">
        <v>14</v>
      </c>
      <c r="E180" t="s">
        <v>199</v>
      </c>
    </row>
    <row r="181" spans="1:5" x14ac:dyDescent="0.25">
      <c r="A181" t="s">
        <v>494</v>
      </c>
      <c r="B181" t="s">
        <v>352</v>
      </c>
      <c r="C181" t="s">
        <v>179</v>
      </c>
      <c r="D181">
        <v>1</v>
      </c>
      <c r="E181" t="s">
        <v>199</v>
      </c>
    </row>
    <row r="182" spans="1:5" x14ac:dyDescent="0.25">
      <c r="A182" t="s">
        <v>495</v>
      </c>
      <c r="B182" t="s">
        <v>412</v>
      </c>
      <c r="C182" t="s">
        <v>179</v>
      </c>
      <c r="D182">
        <v>2</v>
      </c>
      <c r="E182" t="s">
        <v>183</v>
      </c>
    </row>
    <row r="183" spans="1:5" x14ac:dyDescent="0.25">
      <c r="A183" t="s">
        <v>496</v>
      </c>
      <c r="B183" t="s">
        <v>198</v>
      </c>
      <c r="C183" t="s">
        <v>219</v>
      </c>
      <c r="D183">
        <v>9</v>
      </c>
      <c r="E183" t="s">
        <v>199</v>
      </c>
    </row>
    <row r="184" spans="1:5" x14ac:dyDescent="0.25">
      <c r="A184" t="s">
        <v>497</v>
      </c>
      <c r="B184" t="s">
        <v>498</v>
      </c>
      <c r="C184" t="s">
        <v>179</v>
      </c>
      <c r="D184">
        <v>10</v>
      </c>
      <c r="E184" t="s">
        <v>199</v>
      </c>
    </row>
    <row r="185" spans="1:5" x14ac:dyDescent="0.25">
      <c r="A185" t="s">
        <v>499</v>
      </c>
      <c r="B185" t="s">
        <v>205</v>
      </c>
      <c r="C185" t="s">
        <v>191</v>
      </c>
      <c r="D185">
        <v>5</v>
      </c>
      <c r="E185" t="s">
        <v>199</v>
      </c>
    </row>
    <row r="186" spans="1:5" x14ac:dyDescent="0.25">
      <c r="A186" t="s">
        <v>500</v>
      </c>
      <c r="B186" t="s">
        <v>501</v>
      </c>
      <c r="C186" t="s">
        <v>179</v>
      </c>
      <c r="D186">
        <v>13</v>
      </c>
      <c r="E186" t="s">
        <v>234</v>
      </c>
    </row>
    <row r="187" spans="1:5" x14ac:dyDescent="0.25">
      <c r="A187" t="s">
        <v>502</v>
      </c>
      <c r="B187" t="s">
        <v>276</v>
      </c>
      <c r="C187" t="s">
        <v>191</v>
      </c>
      <c r="D187">
        <v>10</v>
      </c>
      <c r="E187" t="s">
        <v>183</v>
      </c>
    </row>
    <row r="188" spans="1:5" x14ac:dyDescent="0.25">
      <c r="A188" t="s">
        <v>503</v>
      </c>
      <c r="B188" t="s">
        <v>504</v>
      </c>
      <c r="C188" t="s">
        <v>191</v>
      </c>
      <c r="D188">
        <v>12</v>
      </c>
      <c r="E188" t="s">
        <v>183</v>
      </c>
    </row>
    <row r="189" spans="1:5" x14ac:dyDescent="0.25">
      <c r="A189" t="s">
        <v>505</v>
      </c>
      <c r="B189" t="s">
        <v>481</v>
      </c>
      <c r="C189" t="s">
        <v>179</v>
      </c>
      <c r="D189">
        <v>11</v>
      </c>
      <c r="E189" t="s">
        <v>199</v>
      </c>
    </row>
    <row r="190" spans="1:5" x14ac:dyDescent="0.25">
      <c r="A190" t="s">
        <v>506</v>
      </c>
      <c r="B190" t="s">
        <v>301</v>
      </c>
      <c r="C190" t="s">
        <v>191</v>
      </c>
      <c r="D190">
        <v>13</v>
      </c>
      <c r="E190" t="s">
        <v>199</v>
      </c>
    </row>
    <row r="191" spans="1:5" x14ac:dyDescent="0.25">
      <c r="A191" t="s">
        <v>507</v>
      </c>
      <c r="B191" t="s">
        <v>508</v>
      </c>
      <c r="C191" t="s">
        <v>179</v>
      </c>
      <c r="D191">
        <v>14</v>
      </c>
      <c r="E191" t="s">
        <v>183</v>
      </c>
    </row>
    <row r="192" spans="1:5" x14ac:dyDescent="0.25">
      <c r="A192" t="s">
        <v>509</v>
      </c>
      <c r="B192" t="s">
        <v>510</v>
      </c>
      <c r="C192" t="s">
        <v>179</v>
      </c>
      <c r="D192">
        <v>9</v>
      </c>
      <c r="E192" t="s">
        <v>183</v>
      </c>
    </row>
    <row r="193" spans="1:5" x14ac:dyDescent="0.25">
      <c r="A193" t="s">
        <v>511</v>
      </c>
      <c r="B193" t="s">
        <v>388</v>
      </c>
      <c r="C193" t="s">
        <v>179</v>
      </c>
      <c r="D193">
        <v>7</v>
      </c>
      <c r="E193" t="s">
        <v>234</v>
      </c>
    </row>
    <row r="194" spans="1:5" x14ac:dyDescent="0.25">
      <c r="A194" t="s">
        <v>512</v>
      </c>
      <c r="B194" t="s">
        <v>513</v>
      </c>
      <c r="C194" t="s">
        <v>179</v>
      </c>
      <c r="D194">
        <v>10</v>
      </c>
      <c r="E194" t="s">
        <v>234</v>
      </c>
    </row>
    <row r="195" spans="1:5" x14ac:dyDescent="0.25">
      <c r="A195" t="s">
        <v>514</v>
      </c>
      <c r="B195" t="s">
        <v>284</v>
      </c>
      <c r="C195" t="s">
        <v>179</v>
      </c>
      <c r="D195">
        <v>8</v>
      </c>
      <c r="E195" t="s">
        <v>180</v>
      </c>
    </row>
    <row r="196" spans="1:5" x14ac:dyDescent="0.25">
      <c r="A196" t="s">
        <v>515</v>
      </c>
      <c r="B196" t="s">
        <v>516</v>
      </c>
      <c r="C196" t="s">
        <v>196</v>
      </c>
      <c r="D196">
        <v>4</v>
      </c>
      <c r="E196" t="s">
        <v>199</v>
      </c>
    </row>
    <row r="197" spans="1:5" x14ac:dyDescent="0.25">
      <c r="A197" t="s">
        <v>517</v>
      </c>
      <c r="B197" t="s">
        <v>518</v>
      </c>
      <c r="C197" t="s">
        <v>179</v>
      </c>
      <c r="D197">
        <v>2</v>
      </c>
      <c r="E197" t="s">
        <v>199</v>
      </c>
    </row>
    <row r="198" spans="1:5" x14ac:dyDescent="0.25">
      <c r="A198" t="s">
        <v>519</v>
      </c>
      <c r="B198" t="s">
        <v>520</v>
      </c>
      <c r="C198" t="s">
        <v>191</v>
      </c>
      <c r="D198">
        <v>14</v>
      </c>
      <c r="E198" t="s">
        <v>183</v>
      </c>
    </row>
    <row r="199" spans="1:5" x14ac:dyDescent="0.25">
      <c r="A199" t="s">
        <v>521</v>
      </c>
      <c r="B199" t="s">
        <v>441</v>
      </c>
      <c r="C199" t="s">
        <v>191</v>
      </c>
      <c r="D199">
        <v>10</v>
      </c>
      <c r="E199" t="s">
        <v>234</v>
      </c>
    </row>
    <row r="200" spans="1:5" x14ac:dyDescent="0.25">
      <c r="A200" t="s">
        <v>522</v>
      </c>
      <c r="B200" t="s">
        <v>421</v>
      </c>
      <c r="C200" t="s">
        <v>179</v>
      </c>
      <c r="D200">
        <v>9</v>
      </c>
      <c r="E200" t="s">
        <v>199</v>
      </c>
    </row>
    <row r="201" spans="1:5" x14ac:dyDescent="0.25">
      <c r="A201" t="s">
        <v>523</v>
      </c>
      <c r="B201" t="s">
        <v>198</v>
      </c>
      <c r="C201" t="s">
        <v>179</v>
      </c>
      <c r="D201">
        <v>10</v>
      </c>
      <c r="E201" t="s">
        <v>188</v>
      </c>
    </row>
    <row r="202" spans="1:5" x14ac:dyDescent="0.25">
      <c r="A202" t="s">
        <v>524</v>
      </c>
      <c r="B202" t="s">
        <v>525</v>
      </c>
      <c r="C202" t="s">
        <v>179</v>
      </c>
      <c r="D202">
        <v>14</v>
      </c>
      <c r="E202" t="s">
        <v>180</v>
      </c>
    </row>
    <row r="203" spans="1:5" x14ac:dyDescent="0.25">
      <c r="A203" t="s">
        <v>526</v>
      </c>
      <c r="B203" t="s">
        <v>384</v>
      </c>
      <c r="C203" t="s">
        <v>179</v>
      </c>
      <c r="D203">
        <v>11</v>
      </c>
      <c r="E203" t="s">
        <v>199</v>
      </c>
    </row>
    <row r="204" spans="1:5" x14ac:dyDescent="0.25">
      <c r="A204" t="s">
        <v>527</v>
      </c>
      <c r="B204" t="s">
        <v>528</v>
      </c>
      <c r="C204" t="s">
        <v>179</v>
      </c>
      <c r="D204">
        <v>2</v>
      </c>
      <c r="E204" t="s">
        <v>199</v>
      </c>
    </row>
    <row r="205" spans="1:5" x14ac:dyDescent="0.25">
      <c r="A205" t="s">
        <v>529</v>
      </c>
      <c r="B205" t="s">
        <v>530</v>
      </c>
      <c r="C205" t="s">
        <v>219</v>
      </c>
      <c r="D205">
        <v>1</v>
      </c>
      <c r="E205" t="s">
        <v>199</v>
      </c>
    </row>
    <row r="206" spans="1:5" x14ac:dyDescent="0.25">
      <c r="A206" t="s">
        <v>531</v>
      </c>
      <c r="B206" t="s">
        <v>532</v>
      </c>
      <c r="C206" t="s">
        <v>179</v>
      </c>
      <c r="D206">
        <v>8</v>
      </c>
      <c r="E206" t="s">
        <v>199</v>
      </c>
    </row>
    <row r="207" spans="1:5" x14ac:dyDescent="0.25">
      <c r="A207" t="s">
        <v>533</v>
      </c>
      <c r="B207" t="s">
        <v>259</v>
      </c>
      <c r="C207" t="s">
        <v>219</v>
      </c>
      <c r="D207">
        <v>5</v>
      </c>
      <c r="E207" t="s">
        <v>199</v>
      </c>
    </row>
    <row r="208" spans="1:5" x14ac:dyDescent="0.25">
      <c r="A208" t="s">
        <v>534</v>
      </c>
      <c r="B208" t="s">
        <v>535</v>
      </c>
      <c r="C208" t="s">
        <v>179</v>
      </c>
      <c r="D208">
        <v>7</v>
      </c>
      <c r="E208" t="s">
        <v>199</v>
      </c>
    </row>
    <row r="209" spans="1:5" x14ac:dyDescent="0.25">
      <c r="A209" t="s">
        <v>536</v>
      </c>
      <c r="B209" t="s">
        <v>425</v>
      </c>
      <c r="C209" t="s">
        <v>191</v>
      </c>
      <c r="D209">
        <v>13</v>
      </c>
      <c r="E209" t="s">
        <v>180</v>
      </c>
    </row>
    <row r="210" spans="1:5" x14ac:dyDescent="0.25">
      <c r="A210" t="s">
        <v>537</v>
      </c>
      <c r="B210" t="s">
        <v>538</v>
      </c>
      <c r="C210" t="s">
        <v>179</v>
      </c>
      <c r="D210">
        <v>8</v>
      </c>
      <c r="E210" t="s">
        <v>199</v>
      </c>
    </row>
    <row r="211" spans="1:5" x14ac:dyDescent="0.25">
      <c r="A211" t="s">
        <v>539</v>
      </c>
      <c r="B211" t="s">
        <v>540</v>
      </c>
      <c r="C211" t="s">
        <v>179</v>
      </c>
      <c r="D211">
        <v>8</v>
      </c>
      <c r="E211" t="s">
        <v>234</v>
      </c>
    </row>
    <row r="212" spans="1:5" x14ac:dyDescent="0.25">
      <c r="A212" t="s">
        <v>541</v>
      </c>
      <c r="B212" t="s">
        <v>520</v>
      </c>
      <c r="C212" t="s">
        <v>196</v>
      </c>
      <c r="D212">
        <v>13</v>
      </c>
      <c r="E212" t="s">
        <v>180</v>
      </c>
    </row>
    <row r="213" spans="1:5" x14ac:dyDescent="0.25">
      <c r="A213" t="s">
        <v>542</v>
      </c>
      <c r="B213" t="s">
        <v>472</v>
      </c>
      <c r="C213" t="s">
        <v>219</v>
      </c>
      <c r="D213">
        <v>13</v>
      </c>
      <c r="E213" t="s">
        <v>183</v>
      </c>
    </row>
    <row r="214" spans="1:5" x14ac:dyDescent="0.25">
      <c r="A214" t="s">
        <v>543</v>
      </c>
      <c r="B214" t="s">
        <v>475</v>
      </c>
      <c r="C214" t="s">
        <v>179</v>
      </c>
      <c r="D214">
        <v>6</v>
      </c>
      <c r="E214" t="s">
        <v>199</v>
      </c>
    </row>
    <row r="215" spans="1:5" x14ac:dyDescent="0.25">
      <c r="A215" t="s">
        <v>544</v>
      </c>
      <c r="B215" t="s">
        <v>545</v>
      </c>
      <c r="C215" t="s">
        <v>179</v>
      </c>
      <c r="D215">
        <v>5</v>
      </c>
      <c r="E215" t="s">
        <v>199</v>
      </c>
    </row>
    <row r="216" spans="1:5" x14ac:dyDescent="0.25">
      <c r="A216" t="s">
        <v>546</v>
      </c>
      <c r="B216" t="s">
        <v>323</v>
      </c>
      <c r="C216" t="s">
        <v>191</v>
      </c>
      <c r="D216">
        <v>13</v>
      </c>
      <c r="E216" t="s">
        <v>180</v>
      </c>
    </row>
    <row r="217" spans="1:5" x14ac:dyDescent="0.25">
      <c r="A217" t="s">
        <v>547</v>
      </c>
      <c r="B217" t="s">
        <v>311</v>
      </c>
      <c r="C217" t="s">
        <v>219</v>
      </c>
      <c r="D217">
        <v>8</v>
      </c>
      <c r="E217" t="s">
        <v>199</v>
      </c>
    </row>
    <row r="218" spans="1:5" x14ac:dyDescent="0.25">
      <c r="A218" t="s">
        <v>548</v>
      </c>
      <c r="B218" t="s">
        <v>227</v>
      </c>
      <c r="C218" t="s">
        <v>179</v>
      </c>
      <c r="D218">
        <v>8</v>
      </c>
      <c r="E218" t="s">
        <v>199</v>
      </c>
    </row>
    <row r="219" spans="1:5" x14ac:dyDescent="0.25">
      <c r="A219" t="s">
        <v>549</v>
      </c>
      <c r="B219" t="s">
        <v>545</v>
      </c>
      <c r="C219" t="s">
        <v>179</v>
      </c>
      <c r="D219">
        <v>1</v>
      </c>
      <c r="E219" t="s">
        <v>199</v>
      </c>
    </row>
    <row r="220" spans="1:5" x14ac:dyDescent="0.25">
      <c r="A220" t="s">
        <v>550</v>
      </c>
      <c r="B220" t="s">
        <v>551</v>
      </c>
      <c r="C220" t="s">
        <v>219</v>
      </c>
      <c r="D220">
        <v>11</v>
      </c>
      <c r="E220" t="s">
        <v>199</v>
      </c>
    </row>
    <row r="221" spans="1:5" x14ac:dyDescent="0.25">
      <c r="A221" t="s">
        <v>552</v>
      </c>
      <c r="B221" t="s">
        <v>553</v>
      </c>
      <c r="C221" t="s">
        <v>219</v>
      </c>
      <c r="D221">
        <v>14</v>
      </c>
      <c r="E221" t="s">
        <v>183</v>
      </c>
    </row>
    <row r="222" spans="1:5" x14ac:dyDescent="0.25">
      <c r="A222" t="s">
        <v>554</v>
      </c>
      <c r="B222" t="s">
        <v>289</v>
      </c>
      <c r="C222" t="s">
        <v>191</v>
      </c>
      <c r="D222">
        <v>12</v>
      </c>
      <c r="E222" t="s">
        <v>183</v>
      </c>
    </row>
    <row r="223" spans="1:5" x14ac:dyDescent="0.25">
      <c r="A223" t="s">
        <v>555</v>
      </c>
      <c r="B223" t="s">
        <v>248</v>
      </c>
      <c r="C223" t="s">
        <v>179</v>
      </c>
      <c r="D223">
        <v>7</v>
      </c>
      <c r="E223" t="s">
        <v>199</v>
      </c>
    </row>
    <row r="224" spans="1:5" x14ac:dyDescent="0.25">
      <c r="A224" t="s">
        <v>556</v>
      </c>
      <c r="B224" t="s">
        <v>334</v>
      </c>
      <c r="C224" t="s">
        <v>179</v>
      </c>
      <c r="D224">
        <v>1</v>
      </c>
      <c r="E224" t="s">
        <v>199</v>
      </c>
    </row>
    <row r="225" spans="1:5" x14ac:dyDescent="0.25">
      <c r="A225" t="s">
        <v>557</v>
      </c>
      <c r="B225" t="s">
        <v>510</v>
      </c>
      <c r="C225" t="s">
        <v>191</v>
      </c>
      <c r="D225">
        <v>2</v>
      </c>
      <c r="E225" t="s">
        <v>180</v>
      </c>
    </row>
    <row r="226" spans="1:5" x14ac:dyDescent="0.25">
      <c r="A226" t="s">
        <v>558</v>
      </c>
      <c r="B226" t="s">
        <v>490</v>
      </c>
      <c r="C226" t="s">
        <v>191</v>
      </c>
      <c r="D226">
        <v>9</v>
      </c>
      <c r="E226" t="s">
        <v>199</v>
      </c>
    </row>
    <row r="227" spans="1:5" x14ac:dyDescent="0.25">
      <c r="A227" t="s">
        <v>559</v>
      </c>
      <c r="B227" t="s">
        <v>560</v>
      </c>
      <c r="C227" t="s">
        <v>191</v>
      </c>
      <c r="D227">
        <v>3</v>
      </c>
      <c r="E227" t="s">
        <v>234</v>
      </c>
    </row>
    <row r="228" spans="1:5" x14ac:dyDescent="0.25">
      <c r="A228" t="s">
        <v>561</v>
      </c>
      <c r="B228" t="s">
        <v>425</v>
      </c>
      <c r="C228" t="s">
        <v>179</v>
      </c>
      <c r="D228">
        <v>3</v>
      </c>
      <c r="E228" t="s">
        <v>199</v>
      </c>
    </row>
    <row r="229" spans="1:5" x14ac:dyDescent="0.25">
      <c r="A229" t="s">
        <v>562</v>
      </c>
      <c r="B229" t="s">
        <v>535</v>
      </c>
      <c r="C229" t="s">
        <v>196</v>
      </c>
      <c r="D229">
        <v>4</v>
      </c>
      <c r="E229" t="s">
        <v>180</v>
      </c>
    </row>
    <row r="230" spans="1:5" x14ac:dyDescent="0.25">
      <c r="A230" t="s">
        <v>563</v>
      </c>
      <c r="B230" t="s">
        <v>216</v>
      </c>
      <c r="C230" t="s">
        <v>191</v>
      </c>
      <c r="D230">
        <v>5</v>
      </c>
      <c r="E230" t="s">
        <v>183</v>
      </c>
    </row>
    <row r="231" spans="1:5" x14ac:dyDescent="0.25">
      <c r="A231" t="s">
        <v>564</v>
      </c>
      <c r="B231" t="s">
        <v>504</v>
      </c>
      <c r="C231" t="s">
        <v>179</v>
      </c>
      <c r="D231">
        <v>12</v>
      </c>
      <c r="E231" t="s">
        <v>199</v>
      </c>
    </row>
    <row r="232" spans="1:5" x14ac:dyDescent="0.25">
      <c r="A232" t="s">
        <v>565</v>
      </c>
      <c r="B232" t="s">
        <v>417</v>
      </c>
      <c r="C232" t="s">
        <v>219</v>
      </c>
      <c r="D232">
        <v>4</v>
      </c>
      <c r="E232" t="s">
        <v>183</v>
      </c>
    </row>
    <row r="233" spans="1:5" x14ac:dyDescent="0.25">
      <c r="A233" t="s">
        <v>566</v>
      </c>
      <c r="B233" t="s">
        <v>567</v>
      </c>
      <c r="C233" t="s">
        <v>179</v>
      </c>
      <c r="D233">
        <v>3</v>
      </c>
      <c r="E233" t="s">
        <v>199</v>
      </c>
    </row>
    <row r="234" spans="1:5" x14ac:dyDescent="0.25">
      <c r="A234" t="s">
        <v>568</v>
      </c>
      <c r="B234" t="s">
        <v>569</v>
      </c>
      <c r="C234" t="s">
        <v>219</v>
      </c>
      <c r="D234">
        <v>9</v>
      </c>
      <c r="E234" t="s">
        <v>199</v>
      </c>
    </row>
    <row r="235" spans="1:5" x14ac:dyDescent="0.25">
      <c r="A235" t="s">
        <v>570</v>
      </c>
      <c r="B235" t="s">
        <v>417</v>
      </c>
      <c r="C235" t="s">
        <v>191</v>
      </c>
      <c r="D235">
        <v>13</v>
      </c>
      <c r="E235" t="s">
        <v>199</v>
      </c>
    </row>
    <row r="236" spans="1:5" x14ac:dyDescent="0.25">
      <c r="A236" t="s">
        <v>571</v>
      </c>
      <c r="B236" t="s">
        <v>451</v>
      </c>
      <c r="C236" t="s">
        <v>179</v>
      </c>
      <c r="D236">
        <v>10</v>
      </c>
      <c r="E236" t="s">
        <v>180</v>
      </c>
    </row>
    <row r="237" spans="1:5" x14ac:dyDescent="0.25">
      <c r="A237" t="s">
        <v>572</v>
      </c>
      <c r="B237" t="s">
        <v>573</v>
      </c>
      <c r="C237" t="s">
        <v>191</v>
      </c>
      <c r="D237">
        <v>8</v>
      </c>
      <c r="E237" t="s">
        <v>183</v>
      </c>
    </row>
    <row r="238" spans="1:5" x14ac:dyDescent="0.25">
      <c r="A238" t="s">
        <v>574</v>
      </c>
      <c r="B238" t="s">
        <v>575</v>
      </c>
      <c r="C238" t="s">
        <v>219</v>
      </c>
      <c r="D238">
        <v>3</v>
      </c>
      <c r="E238" t="s">
        <v>183</v>
      </c>
    </row>
    <row r="239" spans="1:5" x14ac:dyDescent="0.25">
      <c r="A239" t="s">
        <v>576</v>
      </c>
      <c r="B239" t="s">
        <v>417</v>
      </c>
      <c r="C239" t="s">
        <v>179</v>
      </c>
      <c r="D239">
        <v>4</v>
      </c>
      <c r="E239" t="s">
        <v>183</v>
      </c>
    </row>
    <row r="240" spans="1:5" x14ac:dyDescent="0.25">
      <c r="A240" t="s">
        <v>577</v>
      </c>
      <c r="B240" t="s">
        <v>264</v>
      </c>
      <c r="C240" t="s">
        <v>191</v>
      </c>
      <c r="D240">
        <v>9</v>
      </c>
      <c r="E240" t="s">
        <v>183</v>
      </c>
    </row>
    <row r="241" spans="1:5" x14ac:dyDescent="0.25">
      <c r="A241" t="s">
        <v>578</v>
      </c>
      <c r="B241" t="s">
        <v>490</v>
      </c>
      <c r="C241" t="s">
        <v>191</v>
      </c>
      <c r="D241">
        <v>9</v>
      </c>
      <c r="E241" t="s">
        <v>188</v>
      </c>
    </row>
    <row r="242" spans="1:5" x14ac:dyDescent="0.25">
      <c r="A242" t="s">
        <v>579</v>
      </c>
      <c r="B242" t="s">
        <v>535</v>
      </c>
      <c r="C242" t="s">
        <v>179</v>
      </c>
      <c r="D242">
        <v>12</v>
      </c>
      <c r="E242" t="s">
        <v>183</v>
      </c>
    </row>
    <row r="243" spans="1:5" x14ac:dyDescent="0.25">
      <c r="A243" t="s">
        <v>580</v>
      </c>
      <c r="B243" t="s">
        <v>390</v>
      </c>
      <c r="C243" t="s">
        <v>179</v>
      </c>
      <c r="D243">
        <v>2</v>
      </c>
      <c r="E243" t="s">
        <v>180</v>
      </c>
    </row>
    <row r="244" spans="1:5" x14ac:dyDescent="0.25">
      <c r="A244" t="s">
        <v>581</v>
      </c>
      <c r="B244" t="s">
        <v>573</v>
      </c>
      <c r="C244" t="s">
        <v>179</v>
      </c>
      <c r="D244">
        <v>3</v>
      </c>
      <c r="E244" t="s">
        <v>188</v>
      </c>
    </row>
    <row r="245" spans="1:5" x14ac:dyDescent="0.25">
      <c r="A245" t="s">
        <v>582</v>
      </c>
      <c r="B245" t="s">
        <v>583</v>
      </c>
      <c r="C245" t="s">
        <v>191</v>
      </c>
      <c r="D245">
        <v>10</v>
      </c>
      <c r="E245" t="s">
        <v>199</v>
      </c>
    </row>
    <row r="246" spans="1:5" x14ac:dyDescent="0.25">
      <c r="A246" t="s">
        <v>584</v>
      </c>
      <c r="B246" t="s">
        <v>585</v>
      </c>
      <c r="C246" t="s">
        <v>191</v>
      </c>
      <c r="D246">
        <v>4</v>
      </c>
      <c r="E246" t="s">
        <v>180</v>
      </c>
    </row>
    <row r="247" spans="1:5" x14ac:dyDescent="0.25">
      <c r="A247" t="s">
        <v>586</v>
      </c>
      <c r="B247" t="s">
        <v>221</v>
      </c>
      <c r="C247" t="s">
        <v>179</v>
      </c>
      <c r="D247">
        <v>3</v>
      </c>
      <c r="E247" t="s">
        <v>234</v>
      </c>
    </row>
    <row r="248" spans="1:5" x14ac:dyDescent="0.25">
      <c r="A248" t="s">
        <v>587</v>
      </c>
      <c r="B248" t="s">
        <v>551</v>
      </c>
      <c r="C248" t="s">
        <v>191</v>
      </c>
      <c r="D248">
        <v>5</v>
      </c>
      <c r="E248" t="s">
        <v>199</v>
      </c>
    </row>
    <row r="249" spans="1:5" x14ac:dyDescent="0.25">
      <c r="A249" t="s">
        <v>588</v>
      </c>
      <c r="B249" t="s">
        <v>569</v>
      </c>
      <c r="C249" t="s">
        <v>179</v>
      </c>
      <c r="D249">
        <v>3</v>
      </c>
      <c r="E249" t="s">
        <v>180</v>
      </c>
    </row>
    <row r="250" spans="1:5" x14ac:dyDescent="0.25">
      <c r="A250" t="s">
        <v>589</v>
      </c>
      <c r="B250" t="s">
        <v>573</v>
      </c>
      <c r="C250" t="s">
        <v>179</v>
      </c>
      <c r="D250">
        <v>4</v>
      </c>
      <c r="E250" t="s">
        <v>199</v>
      </c>
    </row>
    <row r="251" spans="1:5" x14ac:dyDescent="0.25">
      <c r="A251" t="s">
        <v>590</v>
      </c>
      <c r="B251" t="s">
        <v>532</v>
      </c>
      <c r="C251" t="s">
        <v>179</v>
      </c>
      <c r="D251">
        <v>5</v>
      </c>
      <c r="E251" t="s">
        <v>180</v>
      </c>
    </row>
    <row r="252" spans="1:5" x14ac:dyDescent="0.25">
      <c r="A252" t="s">
        <v>591</v>
      </c>
      <c r="B252" t="s">
        <v>216</v>
      </c>
      <c r="C252" t="s">
        <v>191</v>
      </c>
      <c r="D252">
        <v>2</v>
      </c>
      <c r="E252" t="s">
        <v>183</v>
      </c>
    </row>
    <row r="253" spans="1:5" x14ac:dyDescent="0.25">
      <c r="A253" t="s">
        <v>592</v>
      </c>
      <c r="B253" t="s">
        <v>593</v>
      </c>
      <c r="C253" t="s">
        <v>219</v>
      </c>
      <c r="D253">
        <v>6</v>
      </c>
      <c r="E253" t="s">
        <v>183</v>
      </c>
    </row>
    <row r="254" spans="1:5" x14ac:dyDescent="0.25">
      <c r="A254" t="s">
        <v>594</v>
      </c>
      <c r="B254" t="s">
        <v>203</v>
      </c>
      <c r="C254" t="s">
        <v>219</v>
      </c>
      <c r="D254">
        <v>9</v>
      </c>
      <c r="E254" t="s">
        <v>234</v>
      </c>
    </row>
    <row r="255" spans="1:5" x14ac:dyDescent="0.25">
      <c r="A255" t="s">
        <v>595</v>
      </c>
      <c r="B255" t="s">
        <v>596</v>
      </c>
      <c r="C255" t="s">
        <v>179</v>
      </c>
      <c r="D255">
        <v>9</v>
      </c>
      <c r="E255" t="s">
        <v>183</v>
      </c>
    </row>
    <row r="256" spans="1:5" x14ac:dyDescent="0.25">
      <c r="A256" t="s">
        <v>597</v>
      </c>
      <c r="B256" t="s">
        <v>423</v>
      </c>
      <c r="C256" t="s">
        <v>191</v>
      </c>
      <c r="D256">
        <v>1</v>
      </c>
      <c r="E256" t="s">
        <v>180</v>
      </c>
    </row>
    <row r="257" spans="1:5" x14ac:dyDescent="0.25">
      <c r="A257" t="s">
        <v>598</v>
      </c>
      <c r="B257" t="s">
        <v>599</v>
      </c>
      <c r="C257" t="s">
        <v>179</v>
      </c>
      <c r="D257">
        <v>3</v>
      </c>
      <c r="E257" t="s">
        <v>180</v>
      </c>
    </row>
    <row r="258" spans="1:5" x14ac:dyDescent="0.25">
      <c r="A258" t="s">
        <v>600</v>
      </c>
      <c r="B258" t="s">
        <v>601</v>
      </c>
      <c r="C258" t="s">
        <v>219</v>
      </c>
      <c r="D258">
        <v>11</v>
      </c>
      <c r="E258" t="s">
        <v>180</v>
      </c>
    </row>
    <row r="259" spans="1:5" x14ac:dyDescent="0.25">
      <c r="A259" t="s">
        <v>602</v>
      </c>
      <c r="B259" t="s">
        <v>603</v>
      </c>
      <c r="C259" t="s">
        <v>191</v>
      </c>
      <c r="D259">
        <v>1</v>
      </c>
      <c r="E259" t="s">
        <v>199</v>
      </c>
    </row>
    <row r="260" spans="1:5" x14ac:dyDescent="0.25">
      <c r="A260" t="s">
        <v>604</v>
      </c>
      <c r="B260" t="s">
        <v>311</v>
      </c>
      <c r="C260" t="s">
        <v>179</v>
      </c>
      <c r="D260">
        <v>4</v>
      </c>
      <c r="E260" t="s">
        <v>234</v>
      </c>
    </row>
    <row r="261" spans="1:5" x14ac:dyDescent="0.25">
      <c r="A261" t="s">
        <v>605</v>
      </c>
      <c r="B261" t="s">
        <v>606</v>
      </c>
      <c r="C261" t="s">
        <v>179</v>
      </c>
      <c r="D261">
        <v>1</v>
      </c>
      <c r="E261" t="s">
        <v>180</v>
      </c>
    </row>
    <row r="262" spans="1:5" x14ac:dyDescent="0.25">
      <c r="A262" t="s">
        <v>607</v>
      </c>
      <c r="B262" t="s">
        <v>291</v>
      </c>
      <c r="C262" t="s">
        <v>179</v>
      </c>
      <c r="D262">
        <v>4</v>
      </c>
      <c r="E262" t="s">
        <v>183</v>
      </c>
    </row>
    <row r="263" spans="1:5" x14ac:dyDescent="0.25">
      <c r="A263" t="s">
        <v>608</v>
      </c>
      <c r="B263" t="s">
        <v>417</v>
      </c>
      <c r="C263" t="s">
        <v>179</v>
      </c>
      <c r="D263">
        <v>4</v>
      </c>
      <c r="E263" t="s">
        <v>183</v>
      </c>
    </row>
    <row r="264" spans="1:5" x14ac:dyDescent="0.25">
      <c r="A264" t="s">
        <v>609</v>
      </c>
      <c r="B264" t="s">
        <v>508</v>
      </c>
      <c r="C264" t="s">
        <v>191</v>
      </c>
      <c r="D264">
        <v>6</v>
      </c>
      <c r="E264" t="s">
        <v>199</v>
      </c>
    </row>
    <row r="265" spans="1:5" x14ac:dyDescent="0.25">
      <c r="A265" t="s">
        <v>610</v>
      </c>
      <c r="B265" t="s">
        <v>611</v>
      </c>
      <c r="C265" t="s">
        <v>179</v>
      </c>
      <c r="D265">
        <v>5</v>
      </c>
      <c r="E265" t="s">
        <v>180</v>
      </c>
    </row>
    <row r="266" spans="1:5" x14ac:dyDescent="0.25">
      <c r="A266" t="s">
        <v>612</v>
      </c>
      <c r="B266" t="s">
        <v>613</v>
      </c>
      <c r="C266" t="s">
        <v>191</v>
      </c>
      <c r="D266">
        <v>11</v>
      </c>
      <c r="E266" t="s">
        <v>199</v>
      </c>
    </row>
    <row r="267" spans="1:5" x14ac:dyDescent="0.25">
      <c r="A267" t="s">
        <v>614</v>
      </c>
      <c r="B267" t="s">
        <v>490</v>
      </c>
      <c r="C267" t="s">
        <v>179</v>
      </c>
      <c r="D267">
        <v>8</v>
      </c>
      <c r="E267" t="s">
        <v>199</v>
      </c>
    </row>
    <row r="268" spans="1:5" x14ac:dyDescent="0.25">
      <c r="A268" t="s">
        <v>615</v>
      </c>
      <c r="B268" t="s">
        <v>354</v>
      </c>
      <c r="C268" t="s">
        <v>219</v>
      </c>
      <c r="D268">
        <v>9</v>
      </c>
      <c r="E268" t="s">
        <v>183</v>
      </c>
    </row>
    <row r="269" spans="1:5" x14ac:dyDescent="0.25">
      <c r="A269" t="s">
        <v>616</v>
      </c>
      <c r="B269" t="s">
        <v>501</v>
      </c>
      <c r="C269" t="s">
        <v>179</v>
      </c>
      <c r="D269">
        <v>4</v>
      </c>
      <c r="E269" t="s">
        <v>180</v>
      </c>
    </row>
    <row r="270" spans="1:5" x14ac:dyDescent="0.25">
      <c r="A270" t="s">
        <v>617</v>
      </c>
      <c r="B270" t="s">
        <v>618</v>
      </c>
      <c r="C270" t="s">
        <v>179</v>
      </c>
      <c r="D270">
        <v>1</v>
      </c>
      <c r="E270" t="s">
        <v>199</v>
      </c>
    </row>
    <row r="271" spans="1:5" x14ac:dyDescent="0.25">
      <c r="A271" t="s">
        <v>619</v>
      </c>
      <c r="B271" t="s">
        <v>223</v>
      </c>
      <c r="C271" t="s">
        <v>179</v>
      </c>
      <c r="D271">
        <v>12</v>
      </c>
      <c r="E271" t="s">
        <v>188</v>
      </c>
    </row>
    <row r="272" spans="1:5" x14ac:dyDescent="0.25">
      <c r="A272" t="s">
        <v>620</v>
      </c>
      <c r="B272" t="s">
        <v>488</v>
      </c>
      <c r="C272" t="s">
        <v>191</v>
      </c>
      <c r="D272">
        <v>2</v>
      </c>
      <c r="E272" t="s">
        <v>180</v>
      </c>
    </row>
    <row r="273" spans="1:5" x14ac:dyDescent="0.25">
      <c r="A273" t="s">
        <v>621</v>
      </c>
      <c r="B273" t="s">
        <v>432</v>
      </c>
      <c r="C273" t="s">
        <v>179</v>
      </c>
      <c r="D273">
        <v>3</v>
      </c>
      <c r="E273" t="s">
        <v>234</v>
      </c>
    </row>
    <row r="274" spans="1:5" x14ac:dyDescent="0.25">
      <c r="A274" t="s">
        <v>622</v>
      </c>
      <c r="B274" t="s">
        <v>623</v>
      </c>
      <c r="C274" t="s">
        <v>219</v>
      </c>
      <c r="D274">
        <v>4</v>
      </c>
      <c r="E274" t="s">
        <v>183</v>
      </c>
    </row>
    <row r="275" spans="1:5" x14ac:dyDescent="0.25">
      <c r="A275" t="s">
        <v>624</v>
      </c>
      <c r="B275" t="s">
        <v>613</v>
      </c>
      <c r="C275" t="s">
        <v>191</v>
      </c>
      <c r="D275">
        <v>9</v>
      </c>
      <c r="E275" t="s">
        <v>199</v>
      </c>
    </row>
    <row r="276" spans="1:5" x14ac:dyDescent="0.25">
      <c r="A276" t="s">
        <v>625</v>
      </c>
      <c r="B276" t="s">
        <v>212</v>
      </c>
      <c r="C276" t="s">
        <v>179</v>
      </c>
      <c r="D276">
        <v>10</v>
      </c>
      <c r="E276" t="s">
        <v>188</v>
      </c>
    </row>
    <row r="277" spans="1:5" x14ac:dyDescent="0.25">
      <c r="A277" t="s">
        <v>626</v>
      </c>
      <c r="B277" t="s">
        <v>441</v>
      </c>
      <c r="C277" t="s">
        <v>191</v>
      </c>
      <c r="D277">
        <v>6</v>
      </c>
      <c r="E277" t="s">
        <v>199</v>
      </c>
    </row>
    <row r="278" spans="1:5" x14ac:dyDescent="0.25">
      <c r="A278" t="s">
        <v>627</v>
      </c>
      <c r="B278" t="s">
        <v>311</v>
      </c>
      <c r="C278" t="s">
        <v>191</v>
      </c>
      <c r="D278">
        <v>3</v>
      </c>
      <c r="E278" t="s">
        <v>188</v>
      </c>
    </row>
    <row r="279" spans="1:5" x14ac:dyDescent="0.25">
      <c r="A279" t="s">
        <v>628</v>
      </c>
      <c r="B279" t="s">
        <v>629</v>
      </c>
      <c r="C279" t="s">
        <v>191</v>
      </c>
      <c r="D279">
        <v>5</v>
      </c>
      <c r="E279" t="s">
        <v>183</v>
      </c>
    </row>
    <row r="280" spans="1:5" x14ac:dyDescent="0.25">
      <c r="A280" t="s">
        <v>630</v>
      </c>
      <c r="B280" t="s">
        <v>631</v>
      </c>
      <c r="C280" t="s">
        <v>196</v>
      </c>
      <c r="D280">
        <v>8</v>
      </c>
      <c r="E280" t="s">
        <v>180</v>
      </c>
    </row>
    <row r="281" spans="1:5" x14ac:dyDescent="0.25">
      <c r="A281" t="s">
        <v>632</v>
      </c>
      <c r="B281" t="s">
        <v>498</v>
      </c>
      <c r="C281" t="s">
        <v>196</v>
      </c>
      <c r="D281">
        <v>10</v>
      </c>
      <c r="E281" t="s">
        <v>199</v>
      </c>
    </row>
    <row r="282" spans="1:5" x14ac:dyDescent="0.25">
      <c r="A282" t="s">
        <v>633</v>
      </c>
      <c r="B282" t="s">
        <v>634</v>
      </c>
      <c r="C282" t="s">
        <v>191</v>
      </c>
      <c r="D282">
        <v>13</v>
      </c>
      <c r="E282" t="s">
        <v>234</v>
      </c>
    </row>
    <row r="283" spans="1:5" x14ac:dyDescent="0.25">
      <c r="A283" t="s">
        <v>635</v>
      </c>
      <c r="B283" t="s">
        <v>358</v>
      </c>
      <c r="C283" t="s">
        <v>191</v>
      </c>
      <c r="D283">
        <v>1</v>
      </c>
      <c r="E283" t="s">
        <v>199</v>
      </c>
    </row>
    <row r="284" spans="1:5" x14ac:dyDescent="0.25">
      <c r="A284" t="s">
        <v>636</v>
      </c>
      <c r="B284" t="s">
        <v>637</v>
      </c>
      <c r="C284" t="s">
        <v>179</v>
      </c>
      <c r="D284">
        <v>5</v>
      </c>
      <c r="E284" t="s">
        <v>183</v>
      </c>
    </row>
    <row r="285" spans="1:5" x14ac:dyDescent="0.25">
      <c r="A285" t="s">
        <v>638</v>
      </c>
      <c r="B285" t="s">
        <v>404</v>
      </c>
      <c r="C285" t="s">
        <v>196</v>
      </c>
      <c r="D285">
        <v>11</v>
      </c>
      <c r="E285" t="s">
        <v>199</v>
      </c>
    </row>
    <row r="286" spans="1:5" x14ac:dyDescent="0.25">
      <c r="A286" t="s">
        <v>639</v>
      </c>
      <c r="B286" t="s">
        <v>384</v>
      </c>
      <c r="C286" t="s">
        <v>179</v>
      </c>
      <c r="D286">
        <v>9</v>
      </c>
      <c r="E286" t="s">
        <v>199</v>
      </c>
    </row>
    <row r="287" spans="1:5" x14ac:dyDescent="0.25">
      <c r="A287" t="s">
        <v>640</v>
      </c>
      <c r="B287" t="s">
        <v>266</v>
      </c>
      <c r="C287" t="s">
        <v>191</v>
      </c>
      <c r="D287">
        <v>2</v>
      </c>
      <c r="E287" t="s">
        <v>183</v>
      </c>
    </row>
    <row r="288" spans="1:5" x14ac:dyDescent="0.25">
      <c r="A288" t="s">
        <v>641</v>
      </c>
      <c r="B288" t="s">
        <v>343</v>
      </c>
      <c r="C288" t="s">
        <v>179</v>
      </c>
      <c r="D288">
        <v>9</v>
      </c>
      <c r="E288" t="s">
        <v>199</v>
      </c>
    </row>
    <row r="289" spans="1:5" x14ac:dyDescent="0.25">
      <c r="A289" t="s">
        <v>642</v>
      </c>
      <c r="B289" t="s">
        <v>643</v>
      </c>
      <c r="C289" t="s">
        <v>191</v>
      </c>
      <c r="D289">
        <v>5</v>
      </c>
      <c r="E289" t="s">
        <v>180</v>
      </c>
    </row>
    <row r="290" spans="1:5" x14ac:dyDescent="0.25">
      <c r="A290" t="s">
        <v>644</v>
      </c>
      <c r="B290" t="s">
        <v>545</v>
      </c>
      <c r="C290" t="s">
        <v>219</v>
      </c>
      <c r="D290">
        <v>13</v>
      </c>
      <c r="E290" t="s">
        <v>199</v>
      </c>
    </row>
    <row r="291" spans="1:5" x14ac:dyDescent="0.25">
      <c r="A291" t="s">
        <v>645</v>
      </c>
      <c r="B291" t="s">
        <v>646</v>
      </c>
      <c r="C291" t="s">
        <v>179</v>
      </c>
      <c r="D291">
        <v>4</v>
      </c>
      <c r="E291" t="s">
        <v>180</v>
      </c>
    </row>
    <row r="292" spans="1:5" x14ac:dyDescent="0.25">
      <c r="A292" t="s">
        <v>647</v>
      </c>
      <c r="B292" t="s">
        <v>218</v>
      </c>
      <c r="C292" t="s">
        <v>179</v>
      </c>
      <c r="D292">
        <v>13</v>
      </c>
      <c r="E292" t="s">
        <v>199</v>
      </c>
    </row>
    <row r="293" spans="1:5" x14ac:dyDescent="0.25">
      <c r="A293" t="s">
        <v>648</v>
      </c>
      <c r="B293" t="s">
        <v>315</v>
      </c>
      <c r="C293" t="s">
        <v>191</v>
      </c>
      <c r="D293">
        <v>1</v>
      </c>
      <c r="E293" t="s">
        <v>180</v>
      </c>
    </row>
    <row r="294" spans="1:5" x14ac:dyDescent="0.25">
      <c r="A294" t="s">
        <v>649</v>
      </c>
      <c r="B294" t="s">
        <v>650</v>
      </c>
      <c r="C294" t="s">
        <v>179</v>
      </c>
      <c r="D294">
        <v>8</v>
      </c>
      <c r="E294" t="s">
        <v>183</v>
      </c>
    </row>
    <row r="295" spans="1:5" x14ac:dyDescent="0.25">
      <c r="A295" t="s">
        <v>651</v>
      </c>
      <c r="B295" t="s">
        <v>569</v>
      </c>
      <c r="C295" t="s">
        <v>179</v>
      </c>
      <c r="D295">
        <v>9</v>
      </c>
      <c r="E295" t="s">
        <v>180</v>
      </c>
    </row>
    <row r="296" spans="1:5" x14ac:dyDescent="0.25">
      <c r="A296" t="s">
        <v>652</v>
      </c>
      <c r="B296" t="s">
        <v>653</v>
      </c>
      <c r="C296" t="s">
        <v>219</v>
      </c>
      <c r="D296">
        <v>9</v>
      </c>
      <c r="E296" t="s">
        <v>199</v>
      </c>
    </row>
    <row r="297" spans="1:5" x14ac:dyDescent="0.25">
      <c r="A297" t="s">
        <v>654</v>
      </c>
      <c r="B297" t="s">
        <v>520</v>
      </c>
      <c r="C297" t="s">
        <v>191</v>
      </c>
      <c r="D297">
        <v>11</v>
      </c>
      <c r="E297" t="s">
        <v>199</v>
      </c>
    </row>
    <row r="298" spans="1:5" x14ac:dyDescent="0.25">
      <c r="A298" t="s">
        <v>655</v>
      </c>
      <c r="B298" t="s">
        <v>656</v>
      </c>
      <c r="C298" t="s">
        <v>179</v>
      </c>
      <c r="D298">
        <v>11</v>
      </c>
      <c r="E298" t="s">
        <v>199</v>
      </c>
    </row>
    <row r="299" spans="1:5" x14ac:dyDescent="0.25">
      <c r="A299" t="s">
        <v>657</v>
      </c>
      <c r="B299" t="s">
        <v>266</v>
      </c>
      <c r="C299" t="s">
        <v>179</v>
      </c>
      <c r="D299">
        <v>4</v>
      </c>
      <c r="E299" t="s">
        <v>188</v>
      </c>
    </row>
    <row r="300" spans="1:5" x14ac:dyDescent="0.25">
      <c r="A300" t="s">
        <v>658</v>
      </c>
      <c r="B300" t="s">
        <v>508</v>
      </c>
      <c r="C300" t="s">
        <v>179</v>
      </c>
      <c r="D300">
        <v>4</v>
      </c>
      <c r="E300" t="s">
        <v>199</v>
      </c>
    </row>
    <row r="301" spans="1:5" x14ac:dyDescent="0.25">
      <c r="A301" t="s">
        <v>659</v>
      </c>
      <c r="B301" t="s">
        <v>225</v>
      </c>
      <c r="C301" t="s">
        <v>179</v>
      </c>
      <c r="D301">
        <v>7</v>
      </c>
      <c r="E301" t="s">
        <v>183</v>
      </c>
    </row>
    <row r="302" spans="1:5" x14ac:dyDescent="0.25">
      <c r="A302" t="s">
        <v>660</v>
      </c>
      <c r="B302" t="s">
        <v>381</v>
      </c>
      <c r="C302" t="s">
        <v>179</v>
      </c>
      <c r="D302">
        <v>9</v>
      </c>
      <c r="E302" t="s">
        <v>234</v>
      </c>
    </row>
    <row r="303" spans="1:5" x14ac:dyDescent="0.25">
      <c r="A303" t="s">
        <v>661</v>
      </c>
      <c r="B303" t="s">
        <v>274</v>
      </c>
      <c r="C303" t="s">
        <v>179</v>
      </c>
      <c r="D303">
        <v>13</v>
      </c>
      <c r="E303" t="s">
        <v>199</v>
      </c>
    </row>
    <row r="304" spans="1:5" x14ac:dyDescent="0.25">
      <c r="A304" t="s">
        <v>662</v>
      </c>
      <c r="B304" t="s">
        <v>437</v>
      </c>
      <c r="C304" t="s">
        <v>191</v>
      </c>
      <c r="D304">
        <v>2</v>
      </c>
      <c r="E304" t="s">
        <v>180</v>
      </c>
    </row>
    <row r="305" spans="1:5" x14ac:dyDescent="0.25">
      <c r="A305" t="s">
        <v>663</v>
      </c>
      <c r="B305" t="s">
        <v>664</v>
      </c>
      <c r="C305" t="s">
        <v>191</v>
      </c>
      <c r="D305">
        <v>2</v>
      </c>
      <c r="E305" t="s">
        <v>234</v>
      </c>
    </row>
    <row r="306" spans="1:5" x14ac:dyDescent="0.25">
      <c r="A306" t="s">
        <v>665</v>
      </c>
      <c r="B306" t="s">
        <v>525</v>
      </c>
      <c r="C306" t="s">
        <v>196</v>
      </c>
      <c r="D306">
        <v>3</v>
      </c>
      <c r="E306" t="s">
        <v>199</v>
      </c>
    </row>
    <row r="307" spans="1:5" x14ac:dyDescent="0.25">
      <c r="A307" t="s">
        <v>666</v>
      </c>
      <c r="B307" t="s">
        <v>297</v>
      </c>
      <c r="C307" t="s">
        <v>179</v>
      </c>
      <c r="D307">
        <v>2</v>
      </c>
      <c r="E307" t="s">
        <v>234</v>
      </c>
    </row>
    <row r="308" spans="1:5" x14ac:dyDescent="0.25">
      <c r="A308" t="s">
        <v>667</v>
      </c>
      <c r="B308" t="s">
        <v>364</v>
      </c>
      <c r="C308" t="s">
        <v>191</v>
      </c>
      <c r="D308">
        <v>14</v>
      </c>
      <c r="E308" t="s">
        <v>180</v>
      </c>
    </row>
    <row r="309" spans="1:5" x14ac:dyDescent="0.25">
      <c r="A309" t="s">
        <v>668</v>
      </c>
      <c r="B309" t="s">
        <v>308</v>
      </c>
      <c r="C309" t="s">
        <v>179</v>
      </c>
      <c r="D309">
        <v>10</v>
      </c>
      <c r="E309" t="s">
        <v>180</v>
      </c>
    </row>
    <row r="310" spans="1:5" x14ac:dyDescent="0.25">
      <c r="A310" t="s">
        <v>669</v>
      </c>
      <c r="B310" t="s">
        <v>178</v>
      </c>
      <c r="C310" t="s">
        <v>191</v>
      </c>
      <c r="D310">
        <v>11</v>
      </c>
      <c r="E310" t="s">
        <v>180</v>
      </c>
    </row>
    <row r="311" spans="1:5" x14ac:dyDescent="0.25">
      <c r="A311" t="s">
        <v>670</v>
      </c>
      <c r="B311" t="s">
        <v>227</v>
      </c>
      <c r="C311" t="s">
        <v>219</v>
      </c>
      <c r="D311">
        <v>13</v>
      </c>
      <c r="E311" t="s">
        <v>183</v>
      </c>
    </row>
    <row r="312" spans="1:5" x14ac:dyDescent="0.25">
      <c r="A312" t="s">
        <v>671</v>
      </c>
      <c r="B312" t="s">
        <v>216</v>
      </c>
      <c r="C312" t="s">
        <v>191</v>
      </c>
      <c r="D312">
        <v>11</v>
      </c>
      <c r="E312" t="s">
        <v>199</v>
      </c>
    </row>
    <row r="313" spans="1:5" x14ac:dyDescent="0.25">
      <c r="A313" t="s">
        <v>672</v>
      </c>
      <c r="B313" t="s">
        <v>583</v>
      </c>
      <c r="C313" t="s">
        <v>219</v>
      </c>
      <c r="D313">
        <v>1</v>
      </c>
      <c r="E313" t="s">
        <v>180</v>
      </c>
    </row>
    <row r="314" spans="1:5" x14ac:dyDescent="0.25">
      <c r="A314" t="s">
        <v>673</v>
      </c>
      <c r="B314" t="s">
        <v>674</v>
      </c>
      <c r="C314" t="s">
        <v>191</v>
      </c>
      <c r="D314">
        <v>11</v>
      </c>
      <c r="E314" t="s">
        <v>199</v>
      </c>
    </row>
    <row r="315" spans="1:5" x14ac:dyDescent="0.25">
      <c r="A315" t="s">
        <v>675</v>
      </c>
      <c r="B315" t="s">
        <v>205</v>
      </c>
      <c r="C315" t="s">
        <v>219</v>
      </c>
      <c r="D315">
        <v>6</v>
      </c>
      <c r="E315" t="s">
        <v>199</v>
      </c>
    </row>
    <row r="316" spans="1:5" x14ac:dyDescent="0.25">
      <c r="A316" t="s">
        <v>676</v>
      </c>
      <c r="B316" t="s">
        <v>530</v>
      </c>
      <c r="C316" t="s">
        <v>191</v>
      </c>
      <c r="D316">
        <v>1</v>
      </c>
      <c r="E316" t="s">
        <v>199</v>
      </c>
    </row>
    <row r="317" spans="1:5" x14ac:dyDescent="0.25">
      <c r="A317" t="s">
        <v>677</v>
      </c>
      <c r="B317" t="s">
        <v>362</v>
      </c>
      <c r="C317" t="s">
        <v>191</v>
      </c>
      <c r="D317">
        <v>7</v>
      </c>
      <c r="E317" t="s">
        <v>199</v>
      </c>
    </row>
    <row r="318" spans="1:5" x14ac:dyDescent="0.25">
      <c r="A318" t="s">
        <v>678</v>
      </c>
      <c r="B318" t="s">
        <v>679</v>
      </c>
      <c r="C318" t="s">
        <v>179</v>
      </c>
      <c r="D318">
        <v>13</v>
      </c>
      <c r="E318" t="s">
        <v>199</v>
      </c>
    </row>
    <row r="319" spans="1:5" x14ac:dyDescent="0.25">
      <c r="A319" t="s">
        <v>680</v>
      </c>
      <c r="B319" t="s">
        <v>681</v>
      </c>
      <c r="C319" t="s">
        <v>191</v>
      </c>
      <c r="D319">
        <v>8</v>
      </c>
      <c r="E319" t="s">
        <v>183</v>
      </c>
    </row>
    <row r="320" spans="1:5" x14ac:dyDescent="0.25">
      <c r="A320" t="s">
        <v>682</v>
      </c>
      <c r="B320" t="s">
        <v>683</v>
      </c>
      <c r="C320" t="s">
        <v>179</v>
      </c>
      <c r="D320">
        <v>9</v>
      </c>
      <c r="E320" t="s">
        <v>180</v>
      </c>
    </row>
    <row r="321" spans="1:5" x14ac:dyDescent="0.25">
      <c r="A321" t="s">
        <v>684</v>
      </c>
      <c r="B321" t="s">
        <v>201</v>
      </c>
      <c r="C321" t="s">
        <v>179</v>
      </c>
      <c r="D321">
        <v>11</v>
      </c>
      <c r="E321" t="s">
        <v>188</v>
      </c>
    </row>
    <row r="322" spans="1:5" x14ac:dyDescent="0.25">
      <c r="A322" t="s">
        <v>685</v>
      </c>
      <c r="B322" t="s">
        <v>686</v>
      </c>
      <c r="C322" t="s">
        <v>191</v>
      </c>
      <c r="D322">
        <v>7</v>
      </c>
      <c r="E322" t="s">
        <v>180</v>
      </c>
    </row>
    <row r="323" spans="1:5" x14ac:dyDescent="0.25">
      <c r="A323" t="s">
        <v>687</v>
      </c>
      <c r="B323" t="s">
        <v>688</v>
      </c>
      <c r="C323" t="s">
        <v>191</v>
      </c>
      <c r="D323">
        <v>13</v>
      </c>
      <c r="E323" t="s">
        <v>234</v>
      </c>
    </row>
    <row r="324" spans="1:5" x14ac:dyDescent="0.25">
      <c r="A324" t="s">
        <v>689</v>
      </c>
      <c r="B324" t="s">
        <v>369</v>
      </c>
      <c r="C324" t="s">
        <v>179</v>
      </c>
      <c r="D324">
        <v>5</v>
      </c>
      <c r="E324" t="s">
        <v>180</v>
      </c>
    </row>
    <row r="325" spans="1:5" x14ac:dyDescent="0.25">
      <c r="A325" t="s">
        <v>690</v>
      </c>
      <c r="B325" t="s">
        <v>317</v>
      </c>
      <c r="C325" t="s">
        <v>191</v>
      </c>
      <c r="D325">
        <v>4</v>
      </c>
      <c r="E325" t="s">
        <v>234</v>
      </c>
    </row>
    <row r="326" spans="1:5" x14ac:dyDescent="0.25">
      <c r="A326" t="s">
        <v>691</v>
      </c>
      <c r="B326" t="s">
        <v>596</v>
      </c>
      <c r="C326" t="s">
        <v>179</v>
      </c>
      <c r="D326">
        <v>7</v>
      </c>
      <c r="E326" t="s">
        <v>183</v>
      </c>
    </row>
    <row r="327" spans="1:5" x14ac:dyDescent="0.25">
      <c r="A327" t="s">
        <v>692</v>
      </c>
      <c r="B327" t="s">
        <v>360</v>
      </c>
      <c r="C327" t="s">
        <v>179</v>
      </c>
      <c r="D327">
        <v>14</v>
      </c>
      <c r="E327" t="s">
        <v>199</v>
      </c>
    </row>
    <row r="328" spans="1:5" x14ac:dyDescent="0.25">
      <c r="A328" t="s">
        <v>693</v>
      </c>
      <c r="B328" t="s">
        <v>650</v>
      </c>
      <c r="C328" t="s">
        <v>179</v>
      </c>
      <c r="D328">
        <v>1</v>
      </c>
      <c r="E328" t="s">
        <v>199</v>
      </c>
    </row>
    <row r="329" spans="1:5" x14ac:dyDescent="0.25">
      <c r="A329" t="s">
        <v>694</v>
      </c>
      <c r="B329" t="s">
        <v>695</v>
      </c>
      <c r="C329" t="s">
        <v>179</v>
      </c>
      <c r="D329">
        <v>9</v>
      </c>
      <c r="E329" t="s">
        <v>180</v>
      </c>
    </row>
    <row r="330" spans="1:5" x14ac:dyDescent="0.25">
      <c r="A330" t="s">
        <v>696</v>
      </c>
      <c r="B330" t="s">
        <v>697</v>
      </c>
      <c r="C330" t="s">
        <v>191</v>
      </c>
      <c r="D330">
        <v>4</v>
      </c>
      <c r="E330" t="s">
        <v>183</v>
      </c>
    </row>
    <row r="331" spans="1:5" x14ac:dyDescent="0.25">
      <c r="A331" t="s">
        <v>698</v>
      </c>
      <c r="B331" t="s">
        <v>501</v>
      </c>
      <c r="C331" t="s">
        <v>179</v>
      </c>
      <c r="D331">
        <v>12</v>
      </c>
      <c r="E331" t="s">
        <v>180</v>
      </c>
    </row>
    <row r="332" spans="1:5" x14ac:dyDescent="0.25">
      <c r="A332" t="s">
        <v>699</v>
      </c>
      <c r="B332" t="s">
        <v>323</v>
      </c>
      <c r="C332" t="s">
        <v>196</v>
      </c>
      <c r="D332">
        <v>2</v>
      </c>
      <c r="E332" t="s">
        <v>180</v>
      </c>
    </row>
    <row r="333" spans="1:5" x14ac:dyDescent="0.25">
      <c r="A333" t="s">
        <v>700</v>
      </c>
      <c r="B333" t="s">
        <v>634</v>
      </c>
      <c r="C333" t="s">
        <v>179</v>
      </c>
      <c r="D333">
        <v>11</v>
      </c>
      <c r="E333" t="s">
        <v>199</v>
      </c>
    </row>
    <row r="334" spans="1:5" x14ac:dyDescent="0.25">
      <c r="A334" t="s">
        <v>701</v>
      </c>
      <c r="B334" t="s">
        <v>702</v>
      </c>
      <c r="C334" t="s">
        <v>179</v>
      </c>
      <c r="D334">
        <v>8</v>
      </c>
      <c r="E334" t="s">
        <v>180</v>
      </c>
    </row>
    <row r="335" spans="1:5" x14ac:dyDescent="0.25">
      <c r="A335" t="s">
        <v>703</v>
      </c>
      <c r="B335" t="s">
        <v>295</v>
      </c>
      <c r="C335" t="s">
        <v>179</v>
      </c>
      <c r="D335">
        <v>7</v>
      </c>
      <c r="E335" t="s">
        <v>199</v>
      </c>
    </row>
    <row r="336" spans="1:5" x14ac:dyDescent="0.25">
      <c r="A336" t="s">
        <v>704</v>
      </c>
      <c r="B336" t="s">
        <v>371</v>
      </c>
      <c r="C336" t="s">
        <v>191</v>
      </c>
      <c r="D336">
        <v>11</v>
      </c>
      <c r="E336" t="s">
        <v>180</v>
      </c>
    </row>
    <row r="337" spans="1:5" x14ac:dyDescent="0.25">
      <c r="A337" t="s">
        <v>705</v>
      </c>
      <c r="B337" t="s">
        <v>706</v>
      </c>
      <c r="C337" t="s">
        <v>179</v>
      </c>
      <c r="D337">
        <v>8</v>
      </c>
      <c r="E337" t="s">
        <v>180</v>
      </c>
    </row>
    <row r="338" spans="1:5" x14ac:dyDescent="0.25">
      <c r="A338" t="s">
        <v>707</v>
      </c>
      <c r="B338" t="s">
        <v>490</v>
      </c>
      <c r="C338" t="s">
        <v>179</v>
      </c>
      <c r="D338">
        <v>5</v>
      </c>
      <c r="E338" t="s">
        <v>199</v>
      </c>
    </row>
    <row r="339" spans="1:5" x14ac:dyDescent="0.25">
      <c r="A339" t="s">
        <v>708</v>
      </c>
      <c r="B339" t="s">
        <v>240</v>
      </c>
      <c r="C339" t="s">
        <v>191</v>
      </c>
      <c r="D339">
        <v>1</v>
      </c>
      <c r="E339" t="s">
        <v>234</v>
      </c>
    </row>
    <row r="340" spans="1:5" x14ac:dyDescent="0.25">
      <c r="A340" t="s">
        <v>709</v>
      </c>
      <c r="B340" t="s">
        <v>362</v>
      </c>
      <c r="C340" t="s">
        <v>191</v>
      </c>
      <c r="D340">
        <v>1</v>
      </c>
      <c r="E340" t="s">
        <v>199</v>
      </c>
    </row>
    <row r="341" spans="1:5" x14ac:dyDescent="0.25">
      <c r="A341" t="s">
        <v>710</v>
      </c>
      <c r="B341" t="s">
        <v>201</v>
      </c>
      <c r="C341" t="s">
        <v>179</v>
      </c>
      <c r="D341">
        <v>7</v>
      </c>
      <c r="E341" t="s">
        <v>199</v>
      </c>
    </row>
    <row r="342" spans="1:5" x14ac:dyDescent="0.25">
      <c r="A342" t="s">
        <v>711</v>
      </c>
      <c r="B342" t="s">
        <v>432</v>
      </c>
      <c r="C342" t="s">
        <v>191</v>
      </c>
      <c r="D342">
        <v>2</v>
      </c>
      <c r="E342" t="s">
        <v>199</v>
      </c>
    </row>
    <row r="343" spans="1:5" x14ac:dyDescent="0.25">
      <c r="A343" t="s">
        <v>712</v>
      </c>
      <c r="B343" t="s">
        <v>525</v>
      </c>
      <c r="C343" t="s">
        <v>179</v>
      </c>
      <c r="D343">
        <v>7</v>
      </c>
      <c r="E343" t="s">
        <v>180</v>
      </c>
    </row>
    <row r="344" spans="1:5" x14ac:dyDescent="0.25">
      <c r="A344" t="s">
        <v>713</v>
      </c>
      <c r="B344" t="s">
        <v>409</v>
      </c>
      <c r="C344" t="s">
        <v>179</v>
      </c>
      <c r="D344">
        <v>5</v>
      </c>
      <c r="E344" t="s">
        <v>180</v>
      </c>
    </row>
    <row r="345" spans="1:5" x14ac:dyDescent="0.25">
      <c r="A345" t="s">
        <v>714</v>
      </c>
      <c r="B345" t="s">
        <v>715</v>
      </c>
      <c r="C345" t="s">
        <v>179</v>
      </c>
      <c r="D345">
        <v>8</v>
      </c>
      <c r="E345" t="s">
        <v>199</v>
      </c>
    </row>
    <row r="346" spans="1:5" x14ac:dyDescent="0.25">
      <c r="A346" t="s">
        <v>716</v>
      </c>
      <c r="B346" t="s">
        <v>596</v>
      </c>
      <c r="C346" t="s">
        <v>191</v>
      </c>
      <c r="D346">
        <v>3</v>
      </c>
      <c r="E346" t="s">
        <v>199</v>
      </c>
    </row>
    <row r="347" spans="1:5" x14ac:dyDescent="0.25">
      <c r="A347" t="s">
        <v>717</v>
      </c>
      <c r="B347" t="s">
        <v>195</v>
      </c>
      <c r="C347" t="s">
        <v>219</v>
      </c>
      <c r="D347">
        <v>11</v>
      </c>
      <c r="E347" t="s">
        <v>188</v>
      </c>
    </row>
    <row r="348" spans="1:5" x14ac:dyDescent="0.25">
      <c r="A348" t="s">
        <v>718</v>
      </c>
      <c r="B348" t="s">
        <v>214</v>
      </c>
      <c r="C348" t="s">
        <v>219</v>
      </c>
      <c r="D348">
        <v>7</v>
      </c>
      <c r="E348" t="s">
        <v>199</v>
      </c>
    </row>
    <row r="349" spans="1:5" x14ac:dyDescent="0.25">
      <c r="A349" t="s">
        <v>719</v>
      </c>
      <c r="B349" t="s">
        <v>317</v>
      </c>
      <c r="C349" t="s">
        <v>219</v>
      </c>
      <c r="D349">
        <v>1</v>
      </c>
      <c r="E349" t="s">
        <v>199</v>
      </c>
    </row>
    <row r="350" spans="1:5" x14ac:dyDescent="0.25">
      <c r="A350" t="s">
        <v>720</v>
      </c>
      <c r="B350" t="s">
        <v>603</v>
      </c>
      <c r="C350" t="s">
        <v>179</v>
      </c>
      <c r="D350">
        <v>12</v>
      </c>
      <c r="E350" t="s">
        <v>199</v>
      </c>
    </row>
    <row r="351" spans="1:5" x14ac:dyDescent="0.25">
      <c r="A351" t="s">
        <v>721</v>
      </c>
      <c r="B351" t="s">
        <v>295</v>
      </c>
      <c r="C351" t="s">
        <v>191</v>
      </c>
      <c r="D351">
        <v>6</v>
      </c>
      <c r="E351" t="s">
        <v>183</v>
      </c>
    </row>
    <row r="352" spans="1:5" x14ac:dyDescent="0.25">
      <c r="A352" t="s">
        <v>722</v>
      </c>
      <c r="B352" t="s">
        <v>352</v>
      </c>
      <c r="C352" t="s">
        <v>179</v>
      </c>
      <c r="D352">
        <v>12</v>
      </c>
      <c r="E352" t="s">
        <v>183</v>
      </c>
    </row>
    <row r="353" spans="1:5" x14ac:dyDescent="0.25">
      <c r="A353" t="s">
        <v>723</v>
      </c>
      <c r="B353" t="s">
        <v>724</v>
      </c>
      <c r="C353" t="s">
        <v>179</v>
      </c>
      <c r="D353">
        <v>7</v>
      </c>
      <c r="E353" t="s">
        <v>199</v>
      </c>
    </row>
    <row r="354" spans="1:5" x14ac:dyDescent="0.25">
      <c r="A354" t="s">
        <v>725</v>
      </c>
      <c r="B354" t="s">
        <v>272</v>
      </c>
      <c r="C354" t="s">
        <v>179</v>
      </c>
      <c r="D354">
        <v>10</v>
      </c>
      <c r="E354" t="s">
        <v>199</v>
      </c>
    </row>
    <row r="355" spans="1:5" x14ac:dyDescent="0.25">
      <c r="A355" t="s">
        <v>726</v>
      </c>
      <c r="B355" t="s">
        <v>504</v>
      </c>
      <c r="C355" t="s">
        <v>179</v>
      </c>
      <c r="D355">
        <v>9</v>
      </c>
      <c r="E355" t="s">
        <v>199</v>
      </c>
    </row>
    <row r="356" spans="1:5" x14ac:dyDescent="0.25">
      <c r="A356" t="s">
        <v>727</v>
      </c>
      <c r="B356" t="s">
        <v>371</v>
      </c>
      <c r="C356" t="s">
        <v>179</v>
      </c>
      <c r="D356">
        <v>6</v>
      </c>
      <c r="E356" t="s">
        <v>183</v>
      </c>
    </row>
    <row r="357" spans="1:5" x14ac:dyDescent="0.25">
      <c r="A357" t="s">
        <v>728</v>
      </c>
      <c r="B357" t="s">
        <v>656</v>
      </c>
      <c r="C357" t="s">
        <v>196</v>
      </c>
      <c r="D357">
        <v>7</v>
      </c>
      <c r="E357" t="s">
        <v>180</v>
      </c>
    </row>
    <row r="358" spans="1:5" x14ac:dyDescent="0.25">
      <c r="A358" t="s">
        <v>729</v>
      </c>
      <c r="B358" t="s">
        <v>664</v>
      </c>
      <c r="C358" t="s">
        <v>179</v>
      </c>
      <c r="D358">
        <v>12</v>
      </c>
      <c r="E358" t="s">
        <v>183</v>
      </c>
    </row>
    <row r="359" spans="1:5" x14ac:dyDescent="0.25">
      <c r="A359" t="s">
        <v>730</v>
      </c>
      <c r="B359" t="s">
        <v>443</v>
      </c>
      <c r="C359" t="s">
        <v>191</v>
      </c>
      <c r="D359">
        <v>5</v>
      </c>
      <c r="E359" t="s">
        <v>199</v>
      </c>
    </row>
    <row r="360" spans="1:5" x14ac:dyDescent="0.25">
      <c r="A360" t="s">
        <v>731</v>
      </c>
      <c r="B360" t="s">
        <v>297</v>
      </c>
      <c r="C360" t="s">
        <v>179</v>
      </c>
      <c r="D360">
        <v>8</v>
      </c>
      <c r="E360" t="s">
        <v>180</v>
      </c>
    </row>
    <row r="361" spans="1:5" x14ac:dyDescent="0.25">
      <c r="A361" t="s">
        <v>732</v>
      </c>
      <c r="B361" t="s">
        <v>317</v>
      </c>
      <c r="C361" t="s">
        <v>179</v>
      </c>
      <c r="D361">
        <v>10</v>
      </c>
      <c r="E361" t="s">
        <v>199</v>
      </c>
    </row>
    <row r="362" spans="1:5" x14ac:dyDescent="0.25">
      <c r="A362" t="s">
        <v>733</v>
      </c>
      <c r="B362" t="s">
        <v>508</v>
      </c>
      <c r="C362" t="s">
        <v>179</v>
      </c>
      <c r="D362">
        <v>6</v>
      </c>
      <c r="E362" t="s">
        <v>199</v>
      </c>
    </row>
    <row r="363" spans="1:5" x14ac:dyDescent="0.25">
      <c r="A363" t="s">
        <v>734</v>
      </c>
      <c r="B363" t="s">
        <v>329</v>
      </c>
      <c r="C363" t="s">
        <v>179</v>
      </c>
      <c r="D363">
        <v>3</v>
      </c>
      <c r="E363" t="s">
        <v>199</v>
      </c>
    </row>
    <row r="364" spans="1:5" x14ac:dyDescent="0.25">
      <c r="A364" t="s">
        <v>735</v>
      </c>
      <c r="B364" t="s">
        <v>262</v>
      </c>
      <c r="C364" t="s">
        <v>179</v>
      </c>
      <c r="D364">
        <v>8</v>
      </c>
      <c r="E364" t="s">
        <v>234</v>
      </c>
    </row>
    <row r="365" spans="1:5" x14ac:dyDescent="0.25">
      <c r="A365" t="s">
        <v>736</v>
      </c>
      <c r="B365" t="s">
        <v>535</v>
      </c>
      <c r="C365" t="s">
        <v>179</v>
      </c>
      <c r="D365">
        <v>11</v>
      </c>
      <c r="E365" t="s">
        <v>234</v>
      </c>
    </row>
    <row r="366" spans="1:5" x14ac:dyDescent="0.25">
      <c r="A366" t="s">
        <v>737</v>
      </c>
      <c r="B366" t="s">
        <v>289</v>
      </c>
      <c r="C366" t="s">
        <v>219</v>
      </c>
      <c r="D366">
        <v>1</v>
      </c>
      <c r="E366" t="s">
        <v>199</v>
      </c>
    </row>
    <row r="367" spans="1:5" x14ac:dyDescent="0.25">
      <c r="A367" t="s">
        <v>738</v>
      </c>
      <c r="B367" t="s">
        <v>739</v>
      </c>
      <c r="C367" t="s">
        <v>191</v>
      </c>
      <c r="D367">
        <v>11</v>
      </c>
      <c r="E367" t="s">
        <v>180</v>
      </c>
    </row>
    <row r="368" spans="1:5" x14ac:dyDescent="0.25">
      <c r="A368" t="s">
        <v>740</v>
      </c>
      <c r="B368" t="s">
        <v>262</v>
      </c>
      <c r="C368" t="s">
        <v>179</v>
      </c>
      <c r="D368">
        <v>4</v>
      </c>
      <c r="E368" t="s">
        <v>188</v>
      </c>
    </row>
    <row r="369" spans="1:5" x14ac:dyDescent="0.25">
      <c r="A369" t="s">
        <v>741</v>
      </c>
      <c r="B369" t="s">
        <v>674</v>
      </c>
      <c r="C369" t="s">
        <v>179</v>
      </c>
      <c r="D369">
        <v>8</v>
      </c>
      <c r="E369" t="s">
        <v>188</v>
      </c>
    </row>
    <row r="370" spans="1:5" x14ac:dyDescent="0.25">
      <c r="A370" t="s">
        <v>742</v>
      </c>
      <c r="B370" t="s">
        <v>573</v>
      </c>
      <c r="C370" t="s">
        <v>191</v>
      </c>
      <c r="D370">
        <v>11</v>
      </c>
      <c r="E370" t="s">
        <v>199</v>
      </c>
    </row>
    <row r="371" spans="1:5" x14ac:dyDescent="0.25">
      <c r="A371" t="s">
        <v>743</v>
      </c>
      <c r="B371" t="s">
        <v>334</v>
      </c>
      <c r="C371" t="s">
        <v>219</v>
      </c>
      <c r="D371">
        <v>2</v>
      </c>
      <c r="E371" t="s">
        <v>199</v>
      </c>
    </row>
    <row r="372" spans="1:5" x14ac:dyDescent="0.25">
      <c r="A372" t="s">
        <v>744</v>
      </c>
      <c r="B372" t="s">
        <v>695</v>
      </c>
      <c r="C372" t="s">
        <v>191</v>
      </c>
      <c r="D372">
        <v>9</v>
      </c>
      <c r="E372" t="s">
        <v>183</v>
      </c>
    </row>
    <row r="373" spans="1:5" x14ac:dyDescent="0.25">
      <c r="A373" t="s">
        <v>745</v>
      </c>
      <c r="B373" t="s">
        <v>504</v>
      </c>
      <c r="C373" t="s">
        <v>191</v>
      </c>
      <c r="D373">
        <v>5</v>
      </c>
      <c r="E373" t="s">
        <v>199</v>
      </c>
    </row>
    <row r="374" spans="1:5" x14ac:dyDescent="0.25">
      <c r="A374" t="s">
        <v>746</v>
      </c>
      <c r="B374" t="s">
        <v>611</v>
      </c>
      <c r="C374" t="s">
        <v>179</v>
      </c>
      <c r="D374">
        <v>11</v>
      </c>
      <c r="E374" t="s">
        <v>188</v>
      </c>
    </row>
    <row r="375" spans="1:5" x14ac:dyDescent="0.25">
      <c r="A375" t="s">
        <v>747</v>
      </c>
      <c r="B375" t="s">
        <v>513</v>
      </c>
      <c r="C375" t="s">
        <v>179</v>
      </c>
      <c r="D375">
        <v>11</v>
      </c>
      <c r="E375" t="s">
        <v>183</v>
      </c>
    </row>
    <row r="376" spans="1:5" x14ac:dyDescent="0.25">
      <c r="A376" t="s">
        <v>748</v>
      </c>
      <c r="B376" t="s">
        <v>749</v>
      </c>
      <c r="C376" t="s">
        <v>179</v>
      </c>
      <c r="D376">
        <v>5</v>
      </c>
      <c r="E376" t="s">
        <v>234</v>
      </c>
    </row>
    <row r="377" spans="1:5" x14ac:dyDescent="0.25">
      <c r="A377" t="s">
        <v>750</v>
      </c>
      <c r="B377" t="s">
        <v>575</v>
      </c>
      <c r="C377" t="s">
        <v>191</v>
      </c>
      <c r="D377">
        <v>13</v>
      </c>
      <c r="E377" t="s">
        <v>199</v>
      </c>
    </row>
    <row r="378" spans="1:5" x14ac:dyDescent="0.25">
      <c r="A378" t="s">
        <v>751</v>
      </c>
      <c r="B378" t="s">
        <v>315</v>
      </c>
      <c r="C378" t="s">
        <v>191</v>
      </c>
      <c r="D378">
        <v>8</v>
      </c>
      <c r="E378" t="s">
        <v>199</v>
      </c>
    </row>
    <row r="379" spans="1:5" x14ac:dyDescent="0.25">
      <c r="A379" t="s">
        <v>752</v>
      </c>
      <c r="B379" t="s">
        <v>402</v>
      </c>
      <c r="C379" t="s">
        <v>191</v>
      </c>
      <c r="D379">
        <v>14</v>
      </c>
      <c r="E379" t="s">
        <v>188</v>
      </c>
    </row>
    <row r="380" spans="1:5" x14ac:dyDescent="0.25">
      <c r="A380" t="s">
        <v>753</v>
      </c>
      <c r="B380" t="s">
        <v>508</v>
      </c>
      <c r="C380" t="s">
        <v>191</v>
      </c>
      <c r="D380">
        <v>11</v>
      </c>
      <c r="E380" t="s">
        <v>199</v>
      </c>
    </row>
    <row r="381" spans="1:5" x14ac:dyDescent="0.25">
      <c r="A381" t="s">
        <v>754</v>
      </c>
      <c r="B381" t="s">
        <v>400</v>
      </c>
      <c r="C381" t="s">
        <v>179</v>
      </c>
      <c r="D381">
        <v>9</v>
      </c>
      <c r="E381" t="s">
        <v>180</v>
      </c>
    </row>
    <row r="382" spans="1:5" x14ac:dyDescent="0.25">
      <c r="A382" t="s">
        <v>755</v>
      </c>
      <c r="B382" t="s">
        <v>178</v>
      </c>
      <c r="C382" t="s">
        <v>219</v>
      </c>
      <c r="D382">
        <v>10</v>
      </c>
      <c r="E382" t="s">
        <v>183</v>
      </c>
    </row>
    <row r="383" spans="1:5" x14ac:dyDescent="0.25">
      <c r="A383" t="s">
        <v>756</v>
      </c>
      <c r="B383" t="s">
        <v>757</v>
      </c>
      <c r="C383" t="s">
        <v>179</v>
      </c>
      <c r="D383">
        <v>5</v>
      </c>
      <c r="E383" t="s">
        <v>199</v>
      </c>
    </row>
    <row r="384" spans="1:5" x14ac:dyDescent="0.25">
      <c r="A384" t="s">
        <v>758</v>
      </c>
      <c r="B384" t="s">
        <v>402</v>
      </c>
      <c r="C384" t="s">
        <v>179</v>
      </c>
      <c r="D384">
        <v>6</v>
      </c>
      <c r="E384" t="s">
        <v>199</v>
      </c>
    </row>
    <row r="385" spans="1:5" x14ac:dyDescent="0.25">
      <c r="A385" t="s">
        <v>759</v>
      </c>
      <c r="B385" t="s">
        <v>760</v>
      </c>
      <c r="C385" t="s">
        <v>179</v>
      </c>
      <c r="D385">
        <v>3</v>
      </c>
      <c r="E385" t="s">
        <v>188</v>
      </c>
    </row>
    <row r="386" spans="1:5" x14ac:dyDescent="0.25">
      <c r="A386" t="s">
        <v>761</v>
      </c>
      <c r="B386" t="s">
        <v>650</v>
      </c>
      <c r="C386" t="s">
        <v>179</v>
      </c>
      <c r="D386">
        <v>9</v>
      </c>
      <c r="E386" t="s">
        <v>183</v>
      </c>
    </row>
    <row r="387" spans="1:5" x14ac:dyDescent="0.25">
      <c r="A387" t="s">
        <v>762</v>
      </c>
      <c r="B387" t="s">
        <v>583</v>
      </c>
      <c r="C387" t="s">
        <v>179</v>
      </c>
      <c r="D387">
        <v>9</v>
      </c>
      <c r="E387" t="s">
        <v>199</v>
      </c>
    </row>
    <row r="388" spans="1:5" x14ac:dyDescent="0.25">
      <c r="A388" t="s">
        <v>763</v>
      </c>
      <c r="B388" t="s">
        <v>764</v>
      </c>
      <c r="C388" t="s">
        <v>179</v>
      </c>
      <c r="D388">
        <v>10</v>
      </c>
      <c r="E388" t="s">
        <v>183</v>
      </c>
    </row>
    <row r="389" spans="1:5" x14ac:dyDescent="0.25">
      <c r="A389" t="s">
        <v>765</v>
      </c>
      <c r="B389" t="s">
        <v>569</v>
      </c>
      <c r="C389" t="s">
        <v>179</v>
      </c>
      <c r="D389">
        <v>1</v>
      </c>
      <c r="E389" t="s">
        <v>180</v>
      </c>
    </row>
    <row r="390" spans="1:5" x14ac:dyDescent="0.25">
      <c r="A390" t="s">
        <v>766</v>
      </c>
      <c r="B390" t="s">
        <v>293</v>
      </c>
      <c r="C390" t="s">
        <v>179</v>
      </c>
      <c r="D390">
        <v>6</v>
      </c>
      <c r="E390" t="s">
        <v>199</v>
      </c>
    </row>
    <row r="391" spans="1:5" x14ac:dyDescent="0.25">
      <c r="A391" t="s">
        <v>767</v>
      </c>
      <c r="B391" t="s">
        <v>472</v>
      </c>
      <c r="C391" t="s">
        <v>179</v>
      </c>
      <c r="D391">
        <v>7</v>
      </c>
      <c r="E391" t="s">
        <v>183</v>
      </c>
    </row>
    <row r="392" spans="1:5" x14ac:dyDescent="0.25">
      <c r="A392" t="s">
        <v>768</v>
      </c>
      <c r="B392" t="s">
        <v>769</v>
      </c>
      <c r="C392" t="s">
        <v>191</v>
      </c>
      <c r="D392">
        <v>14</v>
      </c>
      <c r="E392" t="s">
        <v>199</v>
      </c>
    </row>
    <row r="393" spans="1:5" x14ac:dyDescent="0.25">
      <c r="A393" t="s">
        <v>770</v>
      </c>
      <c r="B393" t="s">
        <v>203</v>
      </c>
      <c r="C393" t="s">
        <v>179</v>
      </c>
      <c r="D393">
        <v>8</v>
      </c>
      <c r="E393" t="s">
        <v>199</v>
      </c>
    </row>
    <row r="394" spans="1:5" x14ac:dyDescent="0.25">
      <c r="A394" t="s">
        <v>771</v>
      </c>
      <c r="B394" t="s">
        <v>356</v>
      </c>
      <c r="C394" t="s">
        <v>191</v>
      </c>
      <c r="D394">
        <v>1</v>
      </c>
      <c r="E394" t="s">
        <v>199</v>
      </c>
    </row>
    <row r="395" spans="1:5" x14ac:dyDescent="0.25">
      <c r="A395" t="s">
        <v>772</v>
      </c>
      <c r="B395" t="s">
        <v>358</v>
      </c>
      <c r="C395" t="s">
        <v>219</v>
      </c>
      <c r="D395">
        <v>14</v>
      </c>
      <c r="E395" t="s">
        <v>183</v>
      </c>
    </row>
    <row r="396" spans="1:5" x14ac:dyDescent="0.25">
      <c r="A396" t="s">
        <v>773</v>
      </c>
      <c r="B396" t="s">
        <v>479</v>
      </c>
      <c r="C396" t="s">
        <v>179</v>
      </c>
      <c r="D396">
        <v>11</v>
      </c>
      <c r="E396" t="s">
        <v>183</v>
      </c>
    </row>
    <row r="397" spans="1:5" x14ac:dyDescent="0.25">
      <c r="A397" t="s">
        <v>774</v>
      </c>
      <c r="B397" t="s">
        <v>272</v>
      </c>
      <c r="C397" t="s">
        <v>219</v>
      </c>
      <c r="D397">
        <v>14</v>
      </c>
      <c r="E397" t="s">
        <v>199</v>
      </c>
    </row>
    <row r="398" spans="1:5" x14ac:dyDescent="0.25">
      <c r="A398" t="s">
        <v>775</v>
      </c>
      <c r="B398" t="s">
        <v>776</v>
      </c>
      <c r="C398" t="s">
        <v>191</v>
      </c>
      <c r="D398">
        <v>1</v>
      </c>
      <c r="E398" t="s">
        <v>199</v>
      </c>
    </row>
    <row r="399" spans="1:5" x14ac:dyDescent="0.25">
      <c r="A399" t="s">
        <v>777</v>
      </c>
      <c r="B399" t="s">
        <v>400</v>
      </c>
      <c r="C399" t="s">
        <v>179</v>
      </c>
      <c r="D399">
        <v>6</v>
      </c>
      <c r="E399" t="s">
        <v>234</v>
      </c>
    </row>
    <row r="400" spans="1:5" x14ac:dyDescent="0.25">
      <c r="A400" t="s">
        <v>778</v>
      </c>
      <c r="B400" t="s">
        <v>327</v>
      </c>
      <c r="C400" t="s">
        <v>179</v>
      </c>
      <c r="D400">
        <v>12</v>
      </c>
      <c r="E400" t="s">
        <v>188</v>
      </c>
    </row>
    <row r="401" spans="1:5" x14ac:dyDescent="0.25">
      <c r="A401" t="s">
        <v>779</v>
      </c>
      <c r="B401" t="s">
        <v>287</v>
      </c>
      <c r="C401" t="s">
        <v>179</v>
      </c>
      <c r="D401">
        <v>4</v>
      </c>
      <c r="E401" t="s">
        <v>234</v>
      </c>
    </row>
    <row r="402" spans="1:5" x14ac:dyDescent="0.25">
      <c r="A402" t="s">
        <v>780</v>
      </c>
      <c r="B402" t="s">
        <v>414</v>
      </c>
      <c r="C402" t="s">
        <v>179</v>
      </c>
      <c r="D402">
        <v>4</v>
      </c>
      <c r="E402" t="s">
        <v>199</v>
      </c>
    </row>
    <row r="403" spans="1:5" x14ac:dyDescent="0.25">
      <c r="A403" t="s">
        <v>781</v>
      </c>
      <c r="B403" t="s">
        <v>334</v>
      </c>
      <c r="C403" t="s">
        <v>191</v>
      </c>
      <c r="D403">
        <v>9</v>
      </c>
      <c r="E403" t="s">
        <v>199</v>
      </c>
    </row>
    <row r="404" spans="1:5" x14ac:dyDescent="0.25">
      <c r="A404" t="s">
        <v>782</v>
      </c>
      <c r="B404" t="s">
        <v>412</v>
      </c>
      <c r="C404" t="s">
        <v>179</v>
      </c>
      <c r="D404">
        <v>13</v>
      </c>
      <c r="E404" t="s">
        <v>183</v>
      </c>
    </row>
    <row r="405" spans="1:5" x14ac:dyDescent="0.25">
      <c r="A405" t="s">
        <v>783</v>
      </c>
      <c r="B405" t="s">
        <v>229</v>
      </c>
      <c r="C405" t="s">
        <v>179</v>
      </c>
      <c r="D405">
        <v>2</v>
      </c>
      <c r="E405" t="s">
        <v>188</v>
      </c>
    </row>
    <row r="406" spans="1:5" x14ac:dyDescent="0.25">
      <c r="A406" t="s">
        <v>784</v>
      </c>
      <c r="B406" t="s">
        <v>240</v>
      </c>
      <c r="C406" t="s">
        <v>179</v>
      </c>
      <c r="D406">
        <v>6</v>
      </c>
      <c r="E406" t="s">
        <v>234</v>
      </c>
    </row>
    <row r="407" spans="1:5" x14ac:dyDescent="0.25">
      <c r="A407" t="s">
        <v>785</v>
      </c>
      <c r="B407" t="s">
        <v>530</v>
      </c>
      <c r="C407" t="s">
        <v>179</v>
      </c>
      <c r="D407">
        <v>10</v>
      </c>
      <c r="E407" t="s">
        <v>180</v>
      </c>
    </row>
    <row r="408" spans="1:5" x14ac:dyDescent="0.25">
      <c r="A408" t="s">
        <v>786</v>
      </c>
      <c r="B408" t="s">
        <v>702</v>
      </c>
      <c r="C408" t="s">
        <v>179</v>
      </c>
      <c r="D408">
        <v>7</v>
      </c>
      <c r="E408" t="s">
        <v>199</v>
      </c>
    </row>
    <row r="409" spans="1:5" x14ac:dyDescent="0.25">
      <c r="A409" t="s">
        <v>787</v>
      </c>
      <c r="B409" t="s">
        <v>187</v>
      </c>
      <c r="C409" t="s">
        <v>179</v>
      </c>
      <c r="D409">
        <v>14</v>
      </c>
      <c r="E409" t="s">
        <v>234</v>
      </c>
    </row>
    <row r="410" spans="1:5" x14ac:dyDescent="0.25">
      <c r="A410" t="s">
        <v>788</v>
      </c>
      <c r="B410" t="s">
        <v>789</v>
      </c>
      <c r="C410" t="s">
        <v>179</v>
      </c>
      <c r="D410">
        <v>3</v>
      </c>
      <c r="E410" t="s">
        <v>180</v>
      </c>
    </row>
    <row r="411" spans="1:5" x14ac:dyDescent="0.25">
      <c r="A411" t="s">
        <v>790</v>
      </c>
      <c r="B411" t="s">
        <v>791</v>
      </c>
      <c r="C411" t="s">
        <v>219</v>
      </c>
      <c r="D411">
        <v>1</v>
      </c>
      <c r="E411" t="s">
        <v>199</v>
      </c>
    </row>
    <row r="412" spans="1:5" x14ac:dyDescent="0.25">
      <c r="A412" t="s">
        <v>792</v>
      </c>
      <c r="B412" t="s">
        <v>488</v>
      </c>
      <c r="C412" t="s">
        <v>179</v>
      </c>
      <c r="D412">
        <v>8</v>
      </c>
      <c r="E412" t="s">
        <v>199</v>
      </c>
    </row>
    <row r="413" spans="1:5" x14ac:dyDescent="0.25">
      <c r="A413" t="s">
        <v>793</v>
      </c>
      <c r="B413" t="s">
        <v>794</v>
      </c>
      <c r="C413" t="s">
        <v>179</v>
      </c>
      <c r="D413">
        <v>5</v>
      </c>
      <c r="E413" t="s">
        <v>199</v>
      </c>
    </row>
    <row r="414" spans="1:5" x14ac:dyDescent="0.25">
      <c r="A414" t="s">
        <v>795</v>
      </c>
      <c r="B414" t="s">
        <v>796</v>
      </c>
      <c r="C414" t="s">
        <v>179</v>
      </c>
      <c r="D414">
        <v>6</v>
      </c>
      <c r="E414" t="s">
        <v>188</v>
      </c>
    </row>
    <row r="415" spans="1:5" x14ac:dyDescent="0.25">
      <c r="A415" t="s">
        <v>797</v>
      </c>
      <c r="B415" t="s">
        <v>345</v>
      </c>
      <c r="C415" t="s">
        <v>179</v>
      </c>
      <c r="D415">
        <v>5</v>
      </c>
      <c r="E415" t="s">
        <v>183</v>
      </c>
    </row>
    <row r="416" spans="1:5" x14ac:dyDescent="0.25">
      <c r="A416" t="s">
        <v>798</v>
      </c>
      <c r="B416" t="s">
        <v>311</v>
      </c>
      <c r="C416" t="s">
        <v>179</v>
      </c>
      <c r="D416">
        <v>8</v>
      </c>
      <c r="E416" t="s">
        <v>180</v>
      </c>
    </row>
    <row r="417" spans="1:5" x14ac:dyDescent="0.25">
      <c r="A417" t="s">
        <v>799</v>
      </c>
      <c r="B417" t="s">
        <v>800</v>
      </c>
      <c r="C417" t="s">
        <v>179</v>
      </c>
      <c r="D417">
        <v>13</v>
      </c>
      <c r="E417" t="s">
        <v>183</v>
      </c>
    </row>
    <row r="418" spans="1:5" x14ac:dyDescent="0.25">
      <c r="A418" t="s">
        <v>801</v>
      </c>
      <c r="B418" t="s">
        <v>371</v>
      </c>
      <c r="C418" t="s">
        <v>179</v>
      </c>
      <c r="D418">
        <v>4</v>
      </c>
      <c r="E418" t="s">
        <v>199</v>
      </c>
    </row>
    <row r="419" spans="1:5" x14ac:dyDescent="0.25">
      <c r="A419" t="s">
        <v>802</v>
      </c>
      <c r="B419" t="s">
        <v>803</v>
      </c>
      <c r="C419" t="s">
        <v>179</v>
      </c>
      <c r="D419">
        <v>12</v>
      </c>
      <c r="E419" t="s">
        <v>180</v>
      </c>
    </row>
    <row r="420" spans="1:5" x14ac:dyDescent="0.25">
      <c r="A420" t="s">
        <v>804</v>
      </c>
      <c r="B420" t="s">
        <v>404</v>
      </c>
      <c r="C420" t="s">
        <v>179</v>
      </c>
      <c r="D420">
        <v>5</v>
      </c>
      <c r="E420" t="s">
        <v>188</v>
      </c>
    </row>
    <row r="421" spans="1:5" x14ac:dyDescent="0.25">
      <c r="A421" t="s">
        <v>805</v>
      </c>
      <c r="B421" t="s">
        <v>613</v>
      </c>
      <c r="C421" t="s">
        <v>179</v>
      </c>
      <c r="D421">
        <v>11</v>
      </c>
      <c r="E421" t="s">
        <v>199</v>
      </c>
    </row>
    <row r="422" spans="1:5" x14ac:dyDescent="0.25">
      <c r="A422" t="s">
        <v>806</v>
      </c>
      <c r="B422" t="s">
        <v>216</v>
      </c>
      <c r="C422" t="s">
        <v>191</v>
      </c>
      <c r="D422">
        <v>7</v>
      </c>
      <c r="E422" t="s">
        <v>183</v>
      </c>
    </row>
    <row r="423" spans="1:5" x14ac:dyDescent="0.25">
      <c r="A423" t="s">
        <v>807</v>
      </c>
      <c r="B423" t="s">
        <v>769</v>
      </c>
      <c r="C423" t="s">
        <v>179</v>
      </c>
      <c r="D423">
        <v>12</v>
      </c>
      <c r="E423" t="s">
        <v>183</v>
      </c>
    </row>
    <row r="424" spans="1:5" x14ac:dyDescent="0.25">
      <c r="A424" t="s">
        <v>808</v>
      </c>
      <c r="B424" t="s">
        <v>356</v>
      </c>
      <c r="C424" t="s">
        <v>179</v>
      </c>
      <c r="D424">
        <v>11</v>
      </c>
      <c r="E424" t="s">
        <v>183</v>
      </c>
    </row>
    <row r="425" spans="1:5" x14ac:dyDescent="0.25">
      <c r="A425" t="s">
        <v>809</v>
      </c>
      <c r="B425" t="s">
        <v>488</v>
      </c>
      <c r="C425" t="s">
        <v>191</v>
      </c>
      <c r="D425">
        <v>10</v>
      </c>
      <c r="E425" t="s">
        <v>199</v>
      </c>
    </row>
    <row r="426" spans="1:5" x14ac:dyDescent="0.25">
      <c r="A426" t="s">
        <v>810</v>
      </c>
      <c r="B426" t="s">
        <v>791</v>
      </c>
      <c r="C426" t="s">
        <v>196</v>
      </c>
      <c r="D426">
        <v>12</v>
      </c>
      <c r="E426" t="s">
        <v>199</v>
      </c>
    </row>
    <row r="427" spans="1:5" x14ac:dyDescent="0.25">
      <c r="A427" t="s">
        <v>811</v>
      </c>
      <c r="B427" t="s">
        <v>789</v>
      </c>
      <c r="C427" t="s">
        <v>179</v>
      </c>
      <c r="D427">
        <v>2</v>
      </c>
      <c r="E427" t="s">
        <v>234</v>
      </c>
    </row>
    <row r="428" spans="1:5" x14ac:dyDescent="0.25">
      <c r="A428" t="s">
        <v>812</v>
      </c>
      <c r="B428" t="s">
        <v>520</v>
      </c>
      <c r="C428" t="s">
        <v>179</v>
      </c>
      <c r="D428">
        <v>1</v>
      </c>
      <c r="E428" t="s">
        <v>234</v>
      </c>
    </row>
    <row r="429" spans="1:5" x14ac:dyDescent="0.25">
      <c r="A429" t="s">
        <v>813</v>
      </c>
      <c r="B429" t="s">
        <v>352</v>
      </c>
      <c r="C429" t="s">
        <v>179</v>
      </c>
      <c r="D429">
        <v>7</v>
      </c>
      <c r="E429" t="s">
        <v>234</v>
      </c>
    </row>
    <row r="430" spans="1:5" x14ac:dyDescent="0.25">
      <c r="A430" t="s">
        <v>814</v>
      </c>
      <c r="B430" t="s">
        <v>187</v>
      </c>
      <c r="C430" t="s">
        <v>179</v>
      </c>
      <c r="D430">
        <v>13</v>
      </c>
      <c r="E430" t="s">
        <v>180</v>
      </c>
    </row>
    <row r="431" spans="1:5" x14ac:dyDescent="0.25">
      <c r="A431" t="s">
        <v>815</v>
      </c>
      <c r="B431" t="s">
        <v>352</v>
      </c>
      <c r="C431" t="s">
        <v>179</v>
      </c>
      <c r="D431">
        <v>4</v>
      </c>
      <c r="E431" t="s">
        <v>183</v>
      </c>
    </row>
    <row r="432" spans="1:5" x14ac:dyDescent="0.25">
      <c r="A432" t="s">
        <v>816</v>
      </c>
      <c r="B432" t="s">
        <v>321</v>
      </c>
      <c r="C432" t="s">
        <v>179</v>
      </c>
      <c r="D432">
        <v>8</v>
      </c>
      <c r="E432" t="s">
        <v>180</v>
      </c>
    </row>
    <row r="433" spans="1:5" x14ac:dyDescent="0.25">
      <c r="A433" t="s">
        <v>817</v>
      </c>
      <c r="B433" t="s">
        <v>818</v>
      </c>
      <c r="C433" t="s">
        <v>179</v>
      </c>
      <c r="D433">
        <v>12</v>
      </c>
      <c r="E433" t="s">
        <v>234</v>
      </c>
    </row>
    <row r="434" spans="1:5" x14ac:dyDescent="0.25">
      <c r="A434" t="s">
        <v>819</v>
      </c>
      <c r="B434" t="s">
        <v>456</v>
      </c>
      <c r="C434" t="s">
        <v>179</v>
      </c>
      <c r="D434">
        <v>1</v>
      </c>
      <c r="E434" t="s">
        <v>183</v>
      </c>
    </row>
    <row r="435" spans="1:5" x14ac:dyDescent="0.25">
      <c r="A435" t="s">
        <v>820</v>
      </c>
      <c r="B435" t="s">
        <v>443</v>
      </c>
      <c r="C435" t="s">
        <v>191</v>
      </c>
      <c r="D435">
        <v>14</v>
      </c>
      <c r="E435" t="s">
        <v>199</v>
      </c>
    </row>
    <row r="436" spans="1:5" x14ac:dyDescent="0.25">
      <c r="A436" t="s">
        <v>821</v>
      </c>
      <c r="B436" t="s">
        <v>195</v>
      </c>
      <c r="C436" t="s">
        <v>179</v>
      </c>
      <c r="D436">
        <v>7</v>
      </c>
      <c r="E436" t="s">
        <v>183</v>
      </c>
    </row>
    <row r="437" spans="1:5" x14ac:dyDescent="0.25">
      <c r="A437" t="s">
        <v>822</v>
      </c>
      <c r="B437" t="s">
        <v>325</v>
      </c>
      <c r="C437" t="s">
        <v>191</v>
      </c>
      <c r="D437">
        <v>1</v>
      </c>
      <c r="E437" t="s">
        <v>199</v>
      </c>
    </row>
    <row r="438" spans="1:5" x14ac:dyDescent="0.25">
      <c r="A438" t="s">
        <v>823</v>
      </c>
      <c r="B438" t="s">
        <v>525</v>
      </c>
      <c r="C438" t="s">
        <v>191</v>
      </c>
      <c r="D438">
        <v>12</v>
      </c>
      <c r="E438" t="s">
        <v>199</v>
      </c>
    </row>
    <row r="439" spans="1:5" x14ac:dyDescent="0.25">
      <c r="A439" t="s">
        <v>824</v>
      </c>
      <c r="B439" t="s">
        <v>530</v>
      </c>
      <c r="C439" t="s">
        <v>191</v>
      </c>
      <c r="D439">
        <v>14</v>
      </c>
      <c r="E439" t="s">
        <v>199</v>
      </c>
    </row>
    <row r="440" spans="1:5" x14ac:dyDescent="0.25">
      <c r="A440" t="s">
        <v>825</v>
      </c>
      <c r="B440" t="s">
        <v>356</v>
      </c>
      <c r="C440" t="s">
        <v>179</v>
      </c>
      <c r="D440">
        <v>11</v>
      </c>
      <c r="E440" t="s">
        <v>188</v>
      </c>
    </row>
    <row r="441" spans="1:5" x14ac:dyDescent="0.25">
      <c r="A441" t="s">
        <v>826</v>
      </c>
      <c r="B441" t="s">
        <v>653</v>
      </c>
      <c r="C441" t="s">
        <v>179</v>
      </c>
      <c r="D441">
        <v>14</v>
      </c>
      <c r="E441" t="s">
        <v>199</v>
      </c>
    </row>
    <row r="442" spans="1:5" x14ac:dyDescent="0.25">
      <c r="A442" t="s">
        <v>827</v>
      </c>
      <c r="B442" t="s">
        <v>190</v>
      </c>
      <c r="C442" t="s">
        <v>179</v>
      </c>
      <c r="D442">
        <v>5</v>
      </c>
      <c r="E442" t="s">
        <v>183</v>
      </c>
    </row>
    <row r="443" spans="1:5" x14ac:dyDescent="0.25">
      <c r="A443" t="s">
        <v>828</v>
      </c>
      <c r="B443" t="s">
        <v>760</v>
      </c>
      <c r="C443" t="s">
        <v>179</v>
      </c>
      <c r="D443">
        <v>8</v>
      </c>
      <c r="E443" t="s">
        <v>199</v>
      </c>
    </row>
    <row r="444" spans="1:5" x14ac:dyDescent="0.25">
      <c r="A444" t="s">
        <v>829</v>
      </c>
      <c r="B444" t="s">
        <v>409</v>
      </c>
      <c r="C444" t="s">
        <v>179</v>
      </c>
      <c r="D444">
        <v>7</v>
      </c>
      <c r="E444" t="s">
        <v>183</v>
      </c>
    </row>
    <row r="445" spans="1:5" x14ac:dyDescent="0.25">
      <c r="A445" t="s">
        <v>830</v>
      </c>
      <c r="B445" t="s">
        <v>238</v>
      </c>
      <c r="C445" t="s">
        <v>191</v>
      </c>
      <c r="D445">
        <v>12</v>
      </c>
      <c r="E445" t="s">
        <v>199</v>
      </c>
    </row>
    <row r="446" spans="1:5" x14ac:dyDescent="0.25">
      <c r="A446" t="s">
        <v>831</v>
      </c>
      <c r="B446" t="s">
        <v>311</v>
      </c>
      <c r="C446" t="s">
        <v>179</v>
      </c>
      <c r="D446">
        <v>2</v>
      </c>
      <c r="E446" t="s">
        <v>199</v>
      </c>
    </row>
    <row r="447" spans="1:5" x14ac:dyDescent="0.25">
      <c r="A447" t="s">
        <v>832</v>
      </c>
      <c r="B447" t="s">
        <v>643</v>
      </c>
      <c r="C447" t="s">
        <v>179</v>
      </c>
      <c r="D447">
        <v>6</v>
      </c>
      <c r="E447" t="s">
        <v>199</v>
      </c>
    </row>
    <row r="448" spans="1:5" x14ac:dyDescent="0.25">
      <c r="A448" t="s">
        <v>833</v>
      </c>
      <c r="B448" t="s">
        <v>525</v>
      </c>
      <c r="C448" t="s">
        <v>191</v>
      </c>
      <c r="D448">
        <v>5</v>
      </c>
      <c r="E448" t="s">
        <v>199</v>
      </c>
    </row>
    <row r="449" spans="1:5" x14ac:dyDescent="0.25">
      <c r="A449" t="s">
        <v>834</v>
      </c>
      <c r="B449" t="s">
        <v>284</v>
      </c>
      <c r="C449" t="s">
        <v>179</v>
      </c>
      <c r="D449">
        <v>14</v>
      </c>
      <c r="E449" t="s">
        <v>199</v>
      </c>
    </row>
    <row r="450" spans="1:5" x14ac:dyDescent="0.25">
      <c r="A450" t="s">
        <v>835</v>
      </c>
      <c r="B450" t="s">
        <v>178</v>
      </c>
      <c r="C450" t="s">
        <v>179</v>
      </c>
      <c r="D450">
        <v>14</v>
      </c>
      <c r="E450" t="s">
        <v>199</v>
      </c>
    </row>
    <row r="451" spans="1:5" x14ac:dyDescent="0.25">
      <c r="A451" t="s">
        <v>836</v>
      </c>
      <c r="B451" t="s">
        <v>236</v>
      </c>
      <c r="C451" t="s">
        <v>191</v>
      </c>
      <c r="D451">
        <v>1</v>
      </c>
      <c r="E451" t="s">
        <v>180</v>
      </c>
    </row>
    <row r="452" spans="1:5" x14ac:dyDescent="0.25">
      <c r="A452" t="s">
        <v>837</v>
      </c>
      <c r="B452" t="s">
        <v>428</v>
      </c>
      <c r="C452" t="s">
        <v>179</v>
      </c>
      <c r="D452">
        <v>6</v>
      </c>
      <c r="E452" t="s">
        <v>180</v>
      </c>
    </row>
    <row r="453" spans="1:5" x14ac:dyDescent="0.25">
      <c r="A453" t="s">
        <v>838</v>
      </c>
      <c r="B453" t="s">
        <v>603</v>
      </c>
      <c r="C453" t="s">
        <v>179</v>
      </c>
      <c r="D453">
        <v>3</v>
      </c>
      <c r="E453" t="s">
        <v>183</v>
      </c>
    </row>
    <row r="454" spans="1:5" x14ac:dyDescent="0.25">
      <c r="A454" t="s">
        <v>839</v>
      </c>
      <c r="B454" t="s">
        <v>208</v>
      </c>
      <c r="C454" t="s">
        <v>219</v>
      </c>
      <c r="D454">
        <v>1</v>
      </c>
      <c r="E454" t="s">
        <v>183</v>
      </c>
    </row>
    <row r="455" spans="1:5" x14ac:dyDescent="0.25">
      <c r="A455" t="s">
        <v>840</v>
      </c>
      <c r="B455" t="s">
        <v>493</v>
      </c>
      <c r="C455" t="s">
        <v>179</v>
      </c>
      <c r="D455">
        <v>9</v>
      </c>
      <c r="E455" t="s">
        <v>183</v>
      </c>
    </row>
    <row r="456" spans="1:5" x14ac:dyDescent="0.25">
      <c r="A456" t="s">
        <v>841</v>
      </c>
      <c r="B456" t="s">
        <v>842</v>
      </c>
      <c r="C456" t="s">
        <v>179</v>
      </c>
      <c r="D456">
        <v>5</v>
      </c>
      <c r="E456" t="s">
        <v>183</v>
      </c>
    </row>
    <row r="457" spans="1:5" x14ac:dyDescent="0.25">
      <c r="A457" t="s">
        <v>843</v>
      </c>
      <c r="B457" t="s">
        <v>252</v>
      </c>
      <c r="C457" t="s">
        <v>191</v>
      </c>
      <c r="D457">
        <v>9</v>
      </c>
      <c r="E457" t="s">
        <v>183</v>
      </c>
    </row>
    <row r="458" spans="1:5" x14ac:dyDescent="0.25">
      <c r="A458" t="s">
        <v>844</v>
      </c>
      <c r="B458" t="s">
        <v>352</v>
      </c>
      <c r="C458" t="s">
        <v>179</v>
      </c>
      <c r="D458">
        <v>3</v>
      </c>
      <c r="E458" t="s">
        <v>199</v>
      </c>
    </row>
    <row r="459" spans="1:5" x14ac:dyDescent="0.25">
      <c r="A459" t="s">
        <v>845</v>
      </c>
      <c r="B459" t="s">
        <v>846</v>
      </c>
      <c r="C459" t="s">
        <v>191</v>
      </c>
      <c r="D459">
        <v>6</v>
      </c>
      <c r="E459" t="s">
        <v>234</v>
      </c>
    </row>
    <row r="460" spans="1:5" x14ac:dyDescent="0.25">
      <c r="A460" t="s">
        <v>847</v>
      </c>
      <c r="B460" t="s">
        <v>379</v>
      </c>
      <c r="C460" t="s">
        <v>219</v>
      </c>
      <c r="D460">
        <v>7</v>
      </c>
      <c r="E460" t="s">
        <v>199</v>
      </c>
    </row>
    <row r="461" spans="1:5" x14ac:dyDescent="0.25">
      <c r="A461" t="s">
        <v>848</v>
      </c>
      <c r="B461" t="s">
        <v>313</v>
      </c>
      <c r="C461" t="s">
        <v>179</v>
      </c>
      <c r="D461">
        <v>12</v>
      </c>
      <c r="E461" t="s">
        <v>199</v>
      </c>
    </row>
    <row r="462" spans="1:5" x14ac:dyDescent="0.25">
      <c r="A462" t="s">
        <v>849</v>
      </c>
      <c r="B462" t="s">
        <v>225</v>
      </c>
      <c r="C462" t="s">
        <v>179</v>
      </c>
      <c r="D462">
        <v>2</v>
      </c>
      <c r="E462" t="s">
        <v>183</v>
      </c>
    </row>
    <row r="463" spans="1:5" x14ac:dyDescent="0.25">
      <c r="A463" t="s">
        <v>850</v>
      </c>
      <c r="B463" t="s">
        <v>231</v>
      </c>
      <c r="C463" t="s">
        <v>191</v>
      </c>
      <c r="D463">
        <v>12</v>
      </c>
      <c r="E463" t="s">
        <v>183</v>
      </c>
    </row>
    <row r="464" spans="1:5" x14ac:dyDescent="0.25">
      <c r="A464" t="s">
        <v>851</v>
      </c>
      <c r="B464" t="s">
        <v>388</v>
      </c>
      <c r="C464" t="s">
        <v>179</v>
      </c>
      <c r="D464">
        <v>12</v>
      </c>
      <c r="E464" t="s">
        <v>199</v>
      </c>
    </row>
    <row r="465" spans="1:5" x14ac:dyDescent="0.25">
      <c r="A465" t="s">
        <v>852</v>
      </c>
      <c r="B465" t="s">
        <v>445</v>
      </c>
      <c r="C465" t="s">
        <v>179</v>
      </c>
      <c r="D465">
        <v>2</v>
      </c>
      <c r="E465" t="s">
        <v>183</v>
      </c>
    </row>
    <row r="466" spans="1:5" x14ac:dyDescent="0.25">
      <c r="A466" t="s">
        <v>853</v>
      </c>
      <c r="B466" t="s">
        <v>456</v>
      </c>
      <c r="C466" t="s">
        <v>179</v>
      </c>
      <c r="D466">
        <v>2</v>
      </c>
      <c r="E466" t="s">
        <v>199</v>
      </c>
    </row>
    <row r="467" spans="1:5" x14ac:dyDescent="0.25">
      <c r="A467" t="s">
        <v>854</v>
      </c>
      <c r="B467" t="s">
        <v>341</v>
      </c>
      <c r="C467" t="s">
        <v>179</v>
      </c>
      <c r="D467">
        <v>8</v>
      </c>
      <c r="E467" t="s">
        <v>183</v>
      </c>
    </row>
    <row r="468" spans="1:5" x14ac:dyDescent="0.25">
      <c r="A468" t="s">
        <v>855</v>
      </c>
      <c r="B468" t="s">
        <v>396</v>
      </c>
      <c r="C468" t="s">
        <v>219</v>
      </c>
      <c r="D468">
        <v>9</v>
      </c>
      <c r="E468" t="s">
        <v>183</v>
      </c>
    </row>
    <row r="469" spans="1:5" x14ac:dyDescent="0.25">
      <c r="A469" t="s">
        <v>856</v>
      </c>
      <c r="B469" t="s">
        <v>240</v>
      </c>
      <c r="C469" t="s">
        <v>179</v>
      </c>
      <c r="D469">
        <v>13</v>
      </c>
      <c r="E469" t="s">
        <v>199</v>
      </c>
    </row>
    <row r="470" spans="1:5" x14ac:dyDescent="0.25">
      <c r="A470" t="s">
        <v>857</v>
      </c>
      <c r="B470" t="s">
        <v>203</v>
      </c>
      <c r="C470" t="s">
        <v>179</v>
      </c>
      <c r="D470">
        <v>4</v>
      </c>
      <c r="E470" t="s">
        <v>199</v>
      </c>
    </row>
    <row r="471" spans="1:5" x14ac:dyDescent="0.25">
      <c r="A471" t="s">
        <v>858</v>
      </c>
      <c r="B471" t="s">
        <v>331</v>
      </c>
      <c r="C471" t="s">
        <v>179</v>
      </c>
      <c r="D471">
        <v>4</v>
      </c>
      <c r="E471" t="s">
        <v>234</v>
      </c>
    </row>
    <row r="472" spans="1:5" x14ac:dyDescent="0.25">
      <c r="A472" t="s">
        <v>859</v>
      </c>
      <c r="B472" t="s">
        <v>681</v>
      </c>
      <c r="C472" t="s">
        <v>179</v>
      </c>
      <c r="D472">
        <v>7</v>
      </c>
      <c r="E472" t="s">
        <v>199</v>
      </c>
    </row>
    <row r="473" spans="1:5" x14ac:dyDescent="0.25">
      <c r="A473" t="s">
        <v>860</v>
      </c>
      <c r="B473" t="s">
        <v>268</v>
      </c>
      <c r="C473" t="s">
        <v>191</v>
      </c>
      <c r="D473">
        <v>3</v>
      </c>
      <c r="E473" t="s">
        <v>199</v>
      </c>
    </row>
    <row r="474" spans="1:5" x14ac:dyDescent="0.25">
      <c r="A474" t="s">
        <v>861</v>
      </c>
      <c r="B474" t="s">
        <v>760</v>
      </c>
      <c r="C474" t="s">
        <v>179</v>
      </c>
      <c r="D474">
        <v>9</v>
      </c>
      <c r="E474" t="s">
        <v>183</v>
      </c>
    </row>
    <row r="475" spans="1:5" x14ac:dyDescent="0.25">
      <c r="A475" t="s">
        <v>862</v>
      </c>
      <c r="B475" t="s">
        <v>520</v>
      </c>
      <c r="C475" t="s">
        <v>179</v>
      </c>
      <c r="D475">
        <v>7</v>
      </c>
      <c r="E475" t="s">
        <v>183</v>
      </c>
    </row>
    <row r="476" spans="1:5" x14ac:dyDescent="0.25">
      <c r="A476" t="s">
        <v>863</v>
      </c>
      <c r="B476" t="s">
        <v>268</v>
      </c>
      <c r="C476" t="s">
        <v>179</v>
      </c>
      <c r="D476">
        <v>11</v>
      </c>
      <c r="E476" t="s">
        <v>180</v>
      </c>
    </row>
    <row r="477" spans="1:5" x14ac:dyDescent="0.25">
      <c r="A477" t="s">
        <v>864</v>
      </c>
      <c r="B477" t="s">
        <v>358</v>
      </c>
      <c r="C477" t="s">
        <v>179</v>
      </c>
      <c r="D477">
        <v>12</v>
      </c>
      <c r="E477" t="s">
        <v>199</v>
      </c>
    </row>
    <row r="478" spans="1:5" x14ac:dyDescent="0.25">
      <c r="A478" t="s">
        <v>865</v>
      </c>
      <c r="B478" t="s">
        <v>603</v>
      </c>
      <c r="C478" t="s">
        <v>179</v>
      </c>
      <c r="D478">
        <v>5</v>
      </c>
      <c r="E478" t="s">
        <v>188</v>
      </c>
    </row>
    <row r="479" spans="1:5" x14ac:dyDescent="0.25">
      <c r="A479" t="s">
        <v>866</v>
      </c>
      <c r="B479" t="s">
        <v>535</v>
      </c>
      <c r="C479" t="s">
        <v>219</v>
      </c>
      <c r="D479">
        <v>10</v>
      </c>
      <c r="E479" t="s">
        <v>183</v>
      </c>
    </row>
    <row r="480" spans="1:5" x14ac:dyDescent="0.25">
      <c r="A480" t="s">
        <v>867</v>
      </c>
      <c r="B480" t="s">
        <v>390</v>
      </c>
      <c r="C480" t="s">
        <v>179</v>
      </c>
      <c r="D480">
        <v>2</v>
      </c>
      <c r="E480" t="s">
        <v>183</v>
      </c>
    </row>
    <row r="481" spans="1:5" x14ac:dyDescent="0.25">
      <c r="A481" t="s">
        <v>868</v>
      </c>
      <c r="B481" t="s">
        <v>289</v>
      </c>
      <c r="C481" t="s">
        <v>179</v>
      </c>
      <c r="D481">
        <v>2</v>
      </c>
      <c r="E481" t="s">
        <v>234</v>
      </c>
    </row>
    <row r="482" spans="1:5" x14ac:dyDescent="0.25">
      <c r="A482" t="s">
        <v>869</v>
      </c>
      <c r="B482" t="s">
        <v>538</v>
      </c>
      <c r="C482" t="s">
        <v>179</v>
      </c>
      <c r="D482">
        <v>8</v>
      </c>
      <c r="E482" t="s">
        <v>199</v>
      </c>
    </row>
    <row r="483" spans="1:5" x14ac:dyDescent="0.25">
      <c r="A483" t="s">
        <v>870</v>
      </c>
      <c r="B483" t="s">
        <v>201</v>
      </c>
      <c r="C483" t="s">
        <v>179</v>
      </c>
      <c r="D483">
        <v>13</v>
      </c>
      <c r="E483" t="s">
        <v>183</v>
      </c>
    </row>
    <row r="484" spans="1:5" x14ac:dyDescent="0.25">
      <c r="A484" t="s">
        <v>871</v>
      </c>
      <c r="B484" t="s">
        <v>872</v>
      </c>
      <c r="C484" t="s">
        <v>179</v>
      </c>
      <c r="D484">
        <v>4</v>
      </c>
      <c r="E484" t="s">
        <v>199</v>
      </c>
    </row>
    <row r="485" spans="1:5" x14ac:dyDescent="0.25">
      <c r="A485" t="s">
        <v>873</v>
      </c>
      <c r="B485" t="s">
        <v>504</v>
      </c>
      <c r="C485" t="s">
        <v>191</v>
      </c>
      <c r="D485">
        <v>10</v>
      </c>
      <c r="E485" t="s">
        <v>199</v>
      </c>
    </row>
    <row r="486" spans="1:5" x14ac:dyDescent="0.25">
      <c r="A486" t="s">
        <v>874</v>
      </c>
      <c r="B486" t="s">
        <v>441</v>
      </c>
      <c r="C486" t="s">
        <v>191</v>
      </c>
      <c r="D486">
        <v>2</v>
      </c>
      <c r="E486" t="s">
        <v>199</v>
      </c>
    </row>
    <row r="487" spans="1:5" x14ac:dyDescent="0.25">
      <c r="A487" t="s">
        <v>875</v>
      </c>
      <c r="B487" t="s">
        <v>493</v>
      </c>
      <c r="C487" t="s">
        <v>179</v>
      </c>
      <c r="D487">
        <v>14</v>
      </c>
      <c r="E487" t="s">
        <v>234</v>
      </c>
    </row>
    <row r="488" spans="1:5" x14ac:dyDescent="0.25">
      <c r="A488" t="s">
        <v>876</v>
      </c>
      <c r="B488" t="s">
        <v>560</v>
      </c>
      <c r="C488" t="s">
        <v>191</v>
      </c>
      <c r="D488">
        <v>8</v>
      </c>
      <c r="E488" t="s">
        <v>183</v>
      </c>
    </row>
    <row r="489" spans="1:5" x14ac:dyDescent="0.25">
      <c r="A489" t="s">
        <v>877</v>
      </c>
      <c r="B489" t="s">
        <v>878</v>
      </c>
      <c r="C489" t="s">
        <v>179</v>
      </c>
      <c r="D489">
        <v>13</v>
      </c>
      <c r="E489" t="s">
        <v>199</v>
      </c>
    </row>
    <row r="490" spans="1:5" x14ac:dyDescent="0.25">
      <c r="A490" t="s">
        <v>879</v>
      </c>
      <c r="B490" t="s">
        <v>388</v>
      </c>
      <c r="C490" t="s">
        <v>219</v>
      </c>
      <c r="D490">
        <v>8</v>
      </c>
      <c r="E490" t="s">
        <v>199</v>
      </c>
    </row>
    <row r="491" spans="1:5" x14ac:dyDescent="0.25">
      <c r="A491" t="s">
        <v>880</v>
      </c>
      <c r="B491" t="s">
        <v>343</v>
      </c>
      <c r="C491" t="s">
        <v>179</v>
      </c>
      <c r="D491">
        <v>7</v>
      </c>
      <c r="E491" t="s">
        <v>234</v>
      </c>
    </row>
    <row r="492" spans="1:5" x14ac:dyDescent="0.25">
      <c r="A492" t="s">
        <v>881</v>
      </c>
      <c r="B492" t="s">
        <v>223</v>
      </c>
      <c r="C492" t="s">
        <v>191</v>
      </c>
      <c r="D492">
        <v>1</v>
      </c>
      <c r="E492" t="s">
        <v>180</v>
      </c>
    </row>
    <row r="493" spans="1:5" x14ac:dyDescent="0.25">
      <c r="A493" t="s">
        <v>882</v>
      </c>
      <c r="B493" t="s">
        <v>264</v>
      </c>
      <c r="C493" t="s">
        <v>191</v>
      </c>
      <c r="D493">
        <v>12</v>
      </c>
      <c r="E493" t="s">
        <v>180</v>
      </c>
    </row>
    <row r="494" spans="1:5" x14ac:dyDescent="0.25">
      <c r="A494" t="s">
        <v>883</v>
      </c>
      <c r="B494" t="s">
        <v>203</v>
      </c>
      <c r="C494" t="s">
        <v>179</v>
      </c>
      <c r="D494">
        <v>4</v>
      </c>
      <c r="E494" t="s">
        <v>183</v>
      </c>
    </row>
    <row r="495" spans="1:5" x14ac:dyDescent="0.25">
      <c r="A495" t="s">
        <v>884</v>
      </c>
      <c r="B495" t="s">
        <v>278</v>
      </c>
      <c r="C495" t="s">
        <v>191</v>
      </c>
      <c r="D495">
        <v>12</v>
      </c>
      <c r="E495" t="s">
        <v>183</v>
      </c>
    </row>
    <row r="496" spans="1:5" x14ac:dyDescent="0.25">
      <c r="A496" t="s">
        <v>885</v>
      </c>
      <c r="B496" t="s">
        <v>240</v>
      </c>
      <c r="C496" t="s">
        <v>179</v>
      </c>
      <c r="D496">
        <v>4</v>
      </c>
      <c r="E496" t="s">
        <v>180</v>
      </c>
    </row>
    <row r="497" spans="1:5" x14ac:dyDescent="0.25">
      <c r="A497" t="s">
        <v>886</v>
      </c>
      <c r="B497" t="s">
        <v>613</v>
      </c>
      <c r="C497" t="s">
        <v>219</v>
      </c>
      <c r="D497">
        <v>2</v>
      </c>
      <c r="E497" t="s">
        <v>180</v>
      </c>
    </row>
    <row r="498" spans="1:5" x14ac:dyDescent="0.25">
      <c r="A498" t="s">
        <v>887</v>
      </c>
      <c r="B498" t="s">
        <v>421</v>
      </c>
      <c r="C498" t="s">
        <v>179</v>
      </c>
      <c r="D498">
        <v>1</v>
      </c>
      <c r="E498" t="s">
        <v>180</v>
      </c>
    </row>
    <row r="499" spans="1:5" x14ac:dyDescent="0.25">
      <c r="A499" t="s">
        <v>888</v>
      </c>
      <c r="B499" t="s">
        <v>214</v>
      </c>
      <c r="C499" t="s">
        <v>191</v>
      </c>
      <c r="D499">
        <v>1</v>
      </c>
      <c r="E499" t="s">
        <v>180</v>
      </c>
    </row>
    <row r="500" spans="1:5" x14ac:dyDescent="0.25">
      <c r="A500" t="s">
        <v>889</v>
      </c>
      <c r="B500" t="s">
        <v>683</v>
      </c>
      <c r="C500" t="s">
        <v>179</v>
      </c>
      <c r="D500">
        <v>6</v>
      </c>
      <c r="E500" t="s">
        <v>180</v>
      </c>
    </row>
    <row r="501" spans="1:5" x14ac:dyDescent="0.25">
      <c r="A501" t="s">
        <v>890</v>
      </c>
      <c r="B501" t="s">
        <v>629</v>
      </c>
      <c r="C501" t="s">
        <v>179</v>
      </c>
      <c r="D501">
        <v>1</v>
      </c>
      <c r="E501" t="s">
        <v>199</v>
      </c>
    </row>
    <row r="502" spans="1:5" x14ac:dyDescent="0.25">
      <c r="A502" t="s">
        <v>891</v>
      </c>
      <c r="B502" t="s">
        <v>585</v>
      </c>
      <c r="C502" t="s">
        <v>196</v>
      </c>
      <c r="D502">
        <v>4</v>
      </c>
      <c r="E502" t="s">
        <v>180</v>
      </c>
    </row>
    <row r="503" spans="1:5" x14ac:dyDescent="0.25">
      <c r="A503" t="s">
        <v>892</v>
      </c>
      <c r="B503" t="s">
        <v>259</v>
      </c>
      <c r="C503" t="s">
        <v>179</v>
      </c>
      <c r="D503">
        <v>1</v>
      </c>
      <c r="E503" t="s">
        <v>183</v>
      </c>
    </row>
    <row r="504" spans="1:5" x14ac:dyDescent="0.25">
      <c r="A504" t="s">
        <v>893</v>
      </c>
      <c r="B504" t="s">
        <v>248</v>
      </c>
      <c r="C504" t="s">
        <v>179</v>
      </c>
      <c r="D504">
        <v>5</v>
      </c>
      <c r="E504" t="s">
        <v>180</v>
      </c>
    </row>
    <row r="505" spans="1:5" x14ac:dyDescent="0.25">
      <c r="A505" t="s">
        <v>894</v>
      </c>
      <c r="B505" t="s">
        <v>242</v>
      </c>
      <c r="C505" t="s">
        <v>179</v>
      </c>
      <c r="D505">
        <v>6</v>
      </c>
      <c r="E505" t="s">
        <v>180</v>
      </c>
    </row>
    <row r="506" spans="1:5" x14ac:dyDescent="0.25">
      <c r="A506" t="s">
        <v>895</v>
      </c>
      <c r="B506" t="s">
        <v>423</v>
      </c>
      <c r="C506" t="s">
        <v>179</v>
      </c>
      <c r="D506">
        <v>14</v>
      </c>
      <c r="E506" t="s">
        <v>234</v>
      </c>
    </row>
    <row r="507" spans="1:5" x14ac:dyDescent="0.25">
      <c r="A507" t="s">
        <v>896</v>
      </c>
      <c r="B507" t="s">
        <v>390</v>
      </c>
      <c r="C507" t="s">
        <v>196</v>
      </c>
      <c r="D507">
        <v>14</v>
      </c>
      <c r="E507" t="s">
        <v>199</v>
      </c>
    </row>
    <row r="508" spans="1:5" x14ac:dyDescent="0.25">
      <c r="A508" t="s">
        <v>897</v>
      </c>
      <c r="B508" t="s">
        <v>488</v>
      </c>
      <c r="C508" t="s">
        <v>179</v>
      </c>
      <c r="D508">
        <v>5</v>
      </c>
      <c r="E508" t="s">
        <v>180</v>
      </c>
    </row>
    <row r="509" spans="1:5" x14ac:dyDescent="0.25">
      <c r="A509" t="s">
        <v>898</v>
      </c>
      <c r="B509" t="s">
        <v>225</v>
      </c>
      <c r="C509" t="s">
        <v>191</v>
      </c>
      <c r="D509">
        <v>7</v>
      </c>
      <c r="E509" t="s">
        <v>180</v>
      </c>
    </row>
    <row r="510" spans="1:5" x14ac:dyDescent="0.25">
      <c r="A510" t="s">
        <v>899</v>
      </c>
      <c r="B510" t="s">
        <v>417</v>
      </c>
      <c r="C510" t="s">
        <v>191</v>
      </c>
      <c r="D510">
        <v>2</v>
      </c>
      <c r="E510" t="s">
        <v>234</v>
      </c>
    </row>
    <row r="511" spans="1:5" x14ac:dyDescent="0.25">
      <c r="A511" t="s">
        <v>900</v>
      </c>
      <c r="B511" t="s">
        <v>606</v>
      </c>
      <c r="C511" t="s">
        <v>179</v>
      </c>
      <c r="D511">
        <v>12</v>
      </c>
      <c r="E511" t="s">
        <v>199</v>
      </c>
    </row>
    <row r="512" spans="1:5" x14ac:dyDescent="0.25">
      <c r="A512" t="s">
        <v>901</v>
      </c>
      <c r="B512" t="s">
        <v>613</v>
      </c>
      <c r="C512" t="s">
        <v>191</v>
      </c>
      <c r="D512">
        <v>12</v>
      </c>
      <c r="E512" t="s">
        <v>183</v>
      </c>
    </row>
    <row r="513" spans="1:5" x14ac:dyDescent="0.25">
      <c r="A513" t="s">
        <v>902</v>
      </c>
      <c r="B513" t="s">
        <v>229</v>
      </c>
      <c r="C513" t="s">
        <v>179</v>
      </c>
      <c r="D513">
        <v>8</v>
      </c>
      <c r="E513" t="s">
        <v>188</v>
      </c>
    </row>
    <row r="514" spans="1:5" x14ac:dyDescent="0.25">
      <c r="A514" t="s">
        <v>903</v>
      </c>
      <c r="B514" t="s">
        <v>702</v>
      </c>
      <c r="C514" t="s">
        <v>179</v>
      </c>
      <c r="D514">
        <v>11</v>
      </c>
      <c r="E514" t="s">
        <v>199</v>
      </c>
    </row>
    <row r="515" spans="1:5" x14ac:dyDescent="0.25">
      <c r="A515" t="s">
        <v>904</v>
      </c>
      <c r="B515" t="s">
        <v>291</v>
      </c>
      <c r="C515" t="s">
        <v>191</v>
      </c>
      <c r="D515">
        <v>4</v>
      </c>
      <c r="E515" t="s">
        <v>199</v>
      </c>
    </row>
    <row r="516" spans="1:5" x14ac:dyDescent="0.25">
      <c r="A516" t="s">
        <v>905</v>
      </c>
      <c r="B516" t="s">
        <v>593</v>
      </c>
      <c r="C516" t="s">
        <v>179</v>
      </c>
      <c r="D516">
        <v>6</v>
      </c>
      <c r="E516" t="s">
        <v>199</v>
      </c>
    </row>
    <row r="517" spans="1:5" x14ac:dyDescent="0.25">
      <c r="A517" t="s">
        <v>906</v>
      </c>
      <c r="B517" t="s">
        <v>327</v>
      </c>
      <c r="C517" t="s">
        <v>219</v>
      </c>
      <c r="D517">
        <v>8</v>
      </c>
      <c r="E517" t="s">
        <v>199</v>
      </c>
    </row>
    <row r="518" spans="1:5" x14ac:dyDescent="0.25">
      <c r="A518" t="s">
        <v>907</v>
      </c>
      <c r="B518" t="s">
        <v>381</v>
      </c>
      <c r="C518" t="s">
        <v>191</v>
      </c>
      <c r="D518">
        <v>10</v>
      </c>
      <c r="E518" t="s">
        <v>183</v>
      </c>
    </row>
    <row r="519" spans="1:5" x14ac:dyDescent="0.25">
      <c r="A519" t="s">
        <v>908</v>
      </c>
      <c r="B519" t="s">
        <v>327</v>
      </c>
      <c r="C519" t="s">
        <v>179</v>
      </c>
      <c r="D519">
        <v>13</v>
      </c>
      <c r="E519" t="s">
        <v>234</v>
      </c>
    </row>
    <row r="520" spans="1:5" x14ac:dyDescent="0.25">
      <c r="A520" t="s">
        <v>909</v>
      </c>
      <c r="B520" t="s">
        <v>236</v>
      </c>
      <c r="C520" t="s">
        <v>191</v>
      </c>
      <c r="D520">
        <v>13</v>
      </c>
      <c r="E520" t="s">
        <v>180</v>
      </c>
    </row>
    <row r="521" spans="1:5" x14ac:dyDescent="0.25">
      <c r="A521" t="s">
        <v>910</v>
      </c>
      <c r="B521" t="s">
        <v>911</v>
      </c>
      <c r="C521" t="s">
        <v>179</v>
      </c>
      <c r="D521">
        <v>2</v>
      </c>
      <c r="E521" t="s">
        <v>183</v>
      </c>
    </row>
    <row r="522" spans="1:5" x14ac:dyDescent="0.25">
      <c r="A522" t="s">
        <v>912</v>
      </c>
      <c r="B522" t="s">
        <v>532</v>
      </c>
      <c r="C522" t="s">
        <v>179</v>
      </c>
      <c r="D522">
        <v>11</v>
      </c>
      <c r="E522" t="s">
        <v>183</v>
      </c>
    </row>
    <row r="523" spans="1:5" x14ac:dyDescent="0.25">
      <c r="A523" t="s">
        <v>913</v>
      </c>
      <c r="B523" t="s">
        <v>187</v>
      </c>
      <c r="C523" t="s">
        <v>191</v>
      </c>
      <c r="D523">
        <v>5</v>
      </c>
      <c r="E523" t="s">
        <v>183</v>
      </c>
    </row>
    <row r="524" spans="1:5" x14ac:dyDescent="0.25">
      <c r="A524" t="s">
        <v>914</v>
      </c>
      <c r="B524" t="s">
        <v>193</v>
      </c>
      <c r="C524" t="s">
        <v>191</v>
      </c>
      <c r="D524">
        <v>9</v>
      </c>
      <c r="E524" t="s">
        <v>199</v>
      </c>
    </row>
    <row r="525" spans="1:5" x14ac:dyDescent="0.25">
      <c r="A525" t="s">
        <v>915</v>
      </c>
      <c r="B525" t="s">
        <v>252</v>
      </c>
      <c r="C525" t="s">
        <v>179</v>
      </c>
      <c r="D525">
        <v>14</v>
      </c>
      <c r="E525" t="s">
        <v>183</v>
      </c>
    </row>
    <row r="526" spans="1:5" x14ac:dyDescent="0.25">
      <c r="A526" t="s">
        <v>916</v>
      </c>
      <c r="B526" t="s">
        <v>872</v>
      </c>
      <c r="C526" t="s">
        <v>179</v>
      </c>
      <c r="D526">
        <v>7</v>
      </c>
      <c r="E526" t="s">
        <v>199</v>
      </c>
    </row>
    <row r="527" spans="1:5" x14ac:dyDescent="0.25">
      <c r="A527" t="s">
        <v>917</v>
      </c>
      <c r="B527" t="s">
        <v>371</v>
      </c>
      <c r="C527" t="s">
        <v>191</v>
      </c>
      <c r="D527">
        <v>3</v>
      </c>
      <c r="E527" t="s">
        <v>199</v>
      </c>
    </row>
    <row r="528" spans="1:5" x14ac:dyDescent="0.25">
      <c r="A528" t="s">
        <v>918</v>
      </c>
      <c r="B528" t="s">
        <v>818</v>
      </c>
      <c r="C528" t="s">
        <v>191</v>
      </c>
      <c r="D528">
        <v>1</v>
      </c>
      <c r="E528" t="s">
        <v>180</v>
      </c>
    </row>
    <row r="529" spans="1:5" x14ac:dyDescent="0.25">
      <c r="A529" t="s">
        <v>919</v>
      </c>
      <c r="B529" t="s">
        <v>223</v>
      </c>
      <c r="C529" t="s">
        <v>179</v>
      </c>
      <c r="D529">
        <v>13</v>
      </c>
      <c r="E529" t="s">
        <v>180</v>
      </c>
    </row>
    <row r="530" spans="1:5" x14ac:dyDescent="0.25">
      <c r="A530" t="s">
        <v>920</v>
      </c>
      <c r="B530" t="s">
        <v>223</v>
      </c>
      <c r="C530" t="s">
        <v>191</v>
      </c>
      <c r="D530">
        <v>3</v>
      </c>
      <c r="E530" t="s">
        <v>199</v>
      </c>
    </row>
    <row r="531" spans="1:5" x14ac:dyDescent="0.25">
      <c r="A531" t="s">
        <v>921</v>
      </c>
      <c r="B531" t="s">
        <v>282</v>
      </c>
      <c r="C531" t="s">
        <v>179</v>
      </c>
      <c r="D531">
        <v>6</v>
      </c>
      <c r="E531" t="s">
        <v>199</v>
      </c>
    </row>
    <row r="532" spans="1:5" x14ac:dyDescent="0.25">
      <c r="A532" t="s">
        <v>922</v>
      </c>
      <c r="B532" t="s">
        <v>872</v>
      </c>
      <c r="C532" t="s">
        <v>191</v>
      </c>
      <c r="D532">
        <v>5</v>
      </c>
      <c r="E532" t="s">
        <v>199</v>
      </c>
    </row>
    <row r="533" spans="1:5" x14ac:dyDescent="0.25">
      <c r="A533" t="s">
        <v>923</v>
      </c>
      <c r="B533" t="s">
        <v>456</v>
      </c>
      <c r="C533" t="s">
        <v>191</v>
      </c>
      <c r="D533">
        <v>8</v>
      </c>
      <c r="E533" t="s">
        <v>183</v>
      </c>
    </row>
    <row r="534" spans="1:5" x14ac:dyDescent="0.25">
      <c r="A534" t="s">
        <v>924</v>
      </c>
      <c r="B534" t="s">
        <v>760</v>
      </c>
      <c r="C534" t="s">
        <v>191</v>
      </c>
      <c r="D534">
        <v>12</v>
      </c>
      <c r="E534" t="s">
        <v>183</v>
      </c>
    </row>
    <row r="535" spans="1:5" x14ac:dyDescent="0.25">
      <c r="A535" t="s">
        <v>925</v>
      </c>
      <c r="B535" t="s">
        <v>270</v>
      </c>
      <c r="C535" t="s">
        <v>179</v>
      </c>
      <c r="D535">
        <v>12</v>
      </c>
      <c r="E535" t="s">
        <v>188</v>
      </c>
    </row>
    <row r="536" spans="1:5" x14ac:dyDescent="0.25">
      <c r="A536" t="s">
        <v>926</v>
      </c>
      <c r="B536" t="s">
        <v>629</v>
      </c>
      <c r="C536" t="s">
        <v>191</v>
      </c>
      <c r="D536">
        <v>12</v>
      </c>
      <c r="E536" t="s">
        <v>183</v>
      </c>
    </row>
    <row r="537" spans="1:5" x14ac:dyDescent="0.25">
      <c r="A537" t="s">
        <v>927</v>
      </c>
      <c r="B537" t="s">
        <v>242</v>
      </c>
      <c r="C537" t="s">
        <v>179</v>
      </c>
      <c r="D537">
        <v>5</v>
      </c>
      <c r="E537" t="s">
        <v>199</v>
      </c>
    </row>
    <row r="538" spans="1:5" x14ac:dyDescent="0.25">
      <c r="A538" t="s">
        <v>928</v>
      </c>
      <c r="B538" t="s">
        <v>646</v>
      </c>
      <c r="C538" t="s">
        <v>179</v>
      </c>
      <c r="D538">
        <v>4</v>
      </c>
      <c r="E538" t="s">
        <v>180</v>
      </c>
    </row>
    <row r="539" spans="1:5" x14ac:dyDescent="0.25">
      <c r="A539" t="s">
        <v>929</v>
      </c>
      <c r="B539" t="s">
        <v>702</v>
      </c>
      <c r="C539" t="s">
        <v>191</v>
      </c>
      <c r="D539">
        <v>10</v>
      </c>
      <c r="E539" t="s">
        <v>199</v>
      </c>
    </row>
    <row r="540" spans="1:5" x14ac:dyDescent="0.25">
      <c r="A540" t="s">
        <v>930</v>
      </c>
      <c r="B540" t="s">
        <v>341</v>
      </c>
      <c r="C540" t="s">
        <v>179</v>
      </c>
      <c r="D540">
        <v>6</v>
      </c>
      <c r="E540" t="s">
        <v>199</v>
      </c>
    </row>
    <row r="541" spans="1:5" x14ac:dyDescent="0.25">
      <c r="A541" t="s">
        <v>931</v>
      </c>
      <c r="B541" t="s">
        <v>195</v>
      </c>
      <c r="C541" t="s">
        <v>179</v>
      </c>
      <c r="D541">
        <v>10</v>
      </c>
      <c r="E541" t="s">
        <v>180</v>
      </c>
    </row>
    <row r="542" spans="1:5" x14ac:dyDescent="0.25">
      <c r="A542" t="s">
        <v>932</v>
      </c>
      <c r="B542" t="s">
        <v>796</v>
      </c>
      <c r="C542" t="s">
        <v>191</v>
      </c>
      <c r="D542">
        <v>2</v>
      </c>
      <c r="E542" t="s">
        <v>180</v>
      </c>
    </row>
    <row r="543" spans="1:5" x14ac:dyDescent="0.25">
      <c r="A543" t="s">
        <v>933</v>
      </c>
      <c r="B543" t="s">
        <v>364</v>
      </c>
      <c r="C543" t="s">
        <v>179</v>
      </c>
      <c r="D543">
        <v>3</v>
      </c>
      <c r="E543" t="s">
        <v>199</v>
      </c>
    </row>
    <row r="544" spans="1:5" x14ac:dyDescent="0.25">
      <c r="A544" t="s">
        <v>934</v>
      </c>
      <c r="B544" t="s">
        <v>371</v>
      </c>
      <c r="C544" t="s">
        <v>179</v>
      </c>
      <c r="D544">
        <v>7</v>
      </c>
      <c r="E544" t="s">
        <v>199</v>
      </c>
    </row>
    <row r="545" spans="1:5" x14ac:dyDescent="0.25">
      <c r="A545" t="s">
        <v>935</v>
      </c>
      <c r="B545" t="s">
        <v>268</v>
      </c>
      <c r="C545" t="s">
        <v>179</v>
      </c>
      <c r="D545">
        <v>2</v>
      </c>
      <c r="E545" t="s">
        <v>180</v>
      </c>
    </row>
    <row r="546" spans="1:5" x14ac:dyDescent="0.25">
      <c r="A546" t="s">
        <v>936</v>
      </c>
      <c r="B546" t="s">
        <v>384</v>
      </c>
      <c r="C546" t="s">
        <v>179</v>
      </c>
      <c r="D546">
        <v>3</v>
      </c>
      <c r="E546" t="s">
        <v>199</v>
      </c>
    </row>
    <row r="547" spans="1:5" x14ac:dyDescent="0.25">
      <c r="A547" t="s">
        <v>937</v>
      </c>
      <c r="B547" t="s">
        <v>938</v>
      </c>
      <c r="C547" t="s">
        <v>179</v>
      </c>
      <c r="D547">
        <v>10</v>
      </c>
      <c r="E547" t="s">
        <v>188</v>
      </c>
    </row>
    <row r="548" spans="1:5" x14ac:dyDescent="0.25">
      <c r="A548" t="s">
        <v>939</v>
      </c>
      <c r="B548" t="s">
        <v>846</v>
      </c>
      <c r="C548" t="s">
        <v>196</v>
      </c>
      <c r="D548">
        <v>4</v>
      </c>
      <c r="E548" t="s">
        <v>183</v>
      </c>
    </row>
    <row r="549" spans="1:5" x14ac:dyDescent="0.25">
      <c r="A549" t="s">
        <v>940</v>
      </c>
      <c r="B549" t="s">
        <v>386</v>
      </c>
      <c r="C549" t="s">
        <v>179</v>
      </c>
      <c r="D549">
        <v>3</v>
      </c>
      <c r="E549" t="s">
        <v>199</v>
      </c>
    </row>
    <row r="550" spans="1:5" x14ac:dyDescent="0.25">
      <c r="A550" t="s">
        <v>941</v>
      </c>
      <c r="B550" t="s">
        <v>325</v>
      </c>
      <c r="C550" t="s">
        <v>219</v>
      </c>
      <c r="D550">
        <v>11</v>
      </c>
      <c r="E550" t="s">
        <v>234</v>
      </c>
    </row>
    <row r="551" spans="1:5" x14ac:dyDescent="0.25">
      <c r="A551" t="s">
        <v>942</v>
      </c>
      <c r="B551" t="s">
        <v>683</v>
      </c>
      <c r="C551" t="s">
        <v>179</v>
      </c>
      <c r="D551">
        <v>12</v>
      </c>
      <c r="E551" t="s">
        <v>183</v>
      </c>
    </row>
    <row r="552" spans="1:5" x14ac:dyDescent="0.25">
      <c r="A552" t="s">
        <v>943</v>
      </c>
      <c r="B552" t="s">
        <v>525</v>
      </c>
      <c r="C552" t="s">
        <v>179</v>
      </c>
      <c r="D552">
        <v>8</v>
      </c>
      <c r="E552" t="s">
        <v>234</v>
      </c>
    </row>
    <row r="553" spans="1:5" x14ac:dyDescent="0.25">
      <c r="A553" t="s">
        <v>944</v>
      </c>
      <c r="B553" t="s">
        <v>603</v>
      </c>
      <c r="C553" t="s">
        <v>191</v>
      </c>
      <c r="D553">
        <v>10</v>
      </c>
      <c r="E553" t="s">
        <v>188</v>
      </c>
    </row>
    <row r="554" spans="1:5" x14ac:dyDescent="0.25">
      <c r="A554" t="s">
        <v>945</v>
      </c>
      <c r="B554" t="s">
        <v>274</v>
      </c>
      <c r="C554" t="s">
        <v>191</v>
      </c>
      <c r="D554">
        <v>8</v>
      </c>
      <c r="E554" t="s">
        <v>180</v>
      </c>
    </row>
    <row r="555" spans="1:5" x14ac:dyDescent="0.25">
      <c r="A555" t="s">
        <v>946</v>
      </c>
      <c r="B555" t="s">
        <v>244</v>
      </c>
      <c r="C555" t="s">
        <v>179</v>
      </c>
      <c r="D555">
        <v>11</v>
      </c>
      <c r="E555" t="s">
        <v>199</v>
      </c>
    </row>
    <row r="556" spans="1:5" x14ac:dyDescent="0.25">
      <c r="A556" t="s">
        <v>947</v>
      </c>
      <c r="B556" t="s">
        <v>637</v>
      </c>
      <c r="C556" t="s">
        <v>179</v>
      </c>
      <c r="D556">
        <v>9</v>
      </c>
      <c r="E556" t="s">
        <v>199</v>
      </c>
    </row>
    <row r="557" spans="1:5" x14ac:dyDescent="0.25">
      <c r="A557" t="s">
        <v>948</v>
      </c>
      <c r="B557" t="s">
        <v>210</v>
      </c>
      <c r="C557" t="s">
        <v>219</v>
      </c>
      <c r="D557">
        <v>13</v>
      </c>
      <c r="E557" t="s">
        <v>234</v>
      </c>
    </row>
    <row r="558" spans="1:5" x14ac:dyDescent="0.25">
      <c r="A558" t="s">
        <v>949</v>
      </c>
      <c r="B558" t="s">
        <v>800</v>
      </c>
      <c r="C558" t="s">
        <v>219</v>
      </c>
      <c r="D558">
        <v>13</v>
      </c>
      <c r="E558" t="s">
        <v>234</v>
      </c>
    </row>
    <row r="559" spans="1:5" x14ac:dyDescent="0.25">
      <c r="A559" t="s">
        <v>950</v>
      </c>
      <c r="B559" t="s">
        <v>951</v>
      </c>
      <c r="C559" t="s">
        <v>196</v>
      </c>
      <c r="D559">
        <v>8</v>
      </c>
      <c r="E559" t="s">
        <v>199</v>
      </c>
    </row>
    <row r="560" spans="1:5" x14ac:dyDescent="0.25">
      <c r="A560" t="s">
        <v>952</v>
      </c>
      <c r="B560" t="s">
        <v>953</v>
      </c>
      <c r="C560" t="s">
        <v>179</v>
      </c>
      <c r="D560">
        <v>14</v>
      </c>
      <c r="E560" t="s">
        <v>180</v>
      </c>
    </row>
    <row r="561" spans="1:5" x14ac:dyDescent="0.25">
      <c r="A561" t="s">
        <v>954</v>
      </c>
      <c r="B561" t="s">
        <v>955</v>
      </c>
      <c r="C561" t="s">
        <v>179</v>
      </c>
      <c r="D561">
        <v>13</v>
      </c>
      <c r="E561" t="s">
        <v>234</v>
      </c>
    </row>
    <row r="562" spans="1:5" x14ac:dyDescent="0.25">
      <c r="A562" t="s">
        <v>956</v>
      </c>
      <c r="B562" t="s">
        <v>739</v>
      </c>
      <c r="C562" t="s">
        <v>191</v>
      </c>
      <c r="D562">
        <v>3</v>
      </c>
      <c r="E562" t="s">
        <v>188</v>
      </c>
    </row>
    <row r="563" spans="1:5" x14ac:dyDescent="0.25">
      <c r="A563" t="s">
        <v>957</v>
      </c>
      <c r="B563" t="s">
        <v>396</v>
      </c>
      <c r="C563" t="s">
        <v>179</v>
      </c>
      <c r="D563">
        <v>5</v>
      </c>
      <c r="E563" t="s">
        <v>183</v>
      </c>
    </row>
    <row r="564" spans="1:5" x14ac:dyDescent="0.25">
      <c r="A564" t="s">
        <v>958</v>
      </c>
      <c r="B564" t="s">
        <v>656</v>
      </c>
      <c r="C564" t="s">
        <v>191</v>
      </c>
      <c r="D564">
        <v>1</v>
      </c>
      <c r="E564" t="s">
        <v>180</v>
      </c>
    </row>
    <row r="565" spans="1:5" x14ac:dyDescent="0.25">
      <c r="A565" t="s">
        <v>959</v>
      </c>
      <c r="B565" t="s">
        <v>201</v>
      </c>
      <c r="C565" t="s">
        <v>179</v>
      </c>
      <c r="D565">
        <v>14</v>
      </c>
      <c r="E565" t="s">
        <v>183</v>
      </c>
    </row>
    <row r="566" spans="1:5" x14ac:dyDescent="0.25">
      <c r="A566" t="s">
        <v>960</v>
      </c>
      <c r="B566" t="s">
        <v>338</v>
      </c>
      <c r="C566" t="s">
        <v>179</v>
      </c>
      <c r="D566">
        <v>14</v>
      </c>
      <c r="E566" t="s">
        <v>199</v>
      </c>
    </row>
    <row r="567" spans="1:5" x14ac:dyDescent="0.25">
      <c r="A567" t="s">
        <v>961</v>
      </c>
      <c r="B567" t="s">
        <v>325</v>
      </c>
      <c r="C567" t="s">
        <v>179</v>
      </c>
      <c r="D567">
        <v>2</v>
      </c>
      <c r="E567" t="s">
        <v>234</v>
      </c>
    </row>
    <row r="568" spans="1:5" x14ac:dyDescent="0.25">
      <c r="A568" t="s">
        <v>962</v>
      </c>
      <c r="B568" t="s">
        <v>674</v>
      </c>
      <c r="C568" t="s">
        <v>179</v>
      </c>
      <c r="D568">
        <v>11</v>
      </c>
      <c r="E568" t="s">
        <v>180</v>
      </c>
    </row>
    <row r="569" spans="1:5" x14ac:dyDescent="0.25">
      <c r="A569" t="s">
        <v>963</v>
      </c>
      <c r="B569" t="s">
        <v>532</v>
      </c>
      <c r="C569" t="s">
        <v>191</v>
      </c>
      <c r="D569">
        <v>12</v>
      </c>
      <c r="E569" t="s">
        <v>183</v>
      </c>
    </row>
    <row r="570" spans="1:5" x14ac:dyDescent="0.25">
      <c r="A570" t="s">
        <v>964</v>
      </c>
      <c r="B570" t="s">
        <v>508</v>
      </c>
      <c r="C570" t="s">
        <v>179</v>
      </c>
      <c r="D570">
        <v>2</v>
      </c>
      <c r="E570" t="s">
        <v>183</v>
      </c>
    </row>
    <row r="571" spans="1:5" x14ac:dyDescent="0.25">
      <c r="A571" t="s">
        <v>965</v>
      </c>
      <c r="B571" t="s">
        <v>284</v>
      </c>
      <c r="C571" t="s">
        <v>219</v>
      </c>
      <c r="D571">
        <v>13</v>
      </c>
      <c r="E571" t="s">
        <v>199</v>
      </c>
    </row>
    <row r="572" spans="1:5" x14ac:dyDescent="0.25">
      <c r="A572" t="s">
        <v>966</v>
      </c>
      <c r="B572" t="s">
        <v>293</v>
      </c>
      <c r="C572" t="s">
        <v>179</v>
      </c>
      <c r="D572">
        <v>4</v>
      </c>
      <c r="E572" t="s">
        <v>183</v>
      </c>
    </row>
    <row r="573" spans="1:5" x14ac:dyDescent="0.25">
      <c r="A573" t="s">
        <v>967</v>
      </c>
      <c r="B573" t="s">
        <v>791</v>
      </c>
      <c r="C573" t="s">
        <v>179</v>
      </c>
      <c r="D573">
        <v>12</v>
      </c>
      <c r="E573" t="s">
        <v>188</v>
      </c>
    </row>
    <row r="574" spans="1:5" x14ac:dyDescent="0.25">
      <c r="A574" t="s">
        <v>968</v>
      </c>
      <c r="B574" t="s">
        <v>425</v>
      </c>
      <c r="C574" t="s">
        <v>179</v>
      </c>
      <c r="D574">
        <v>10</v>
      </c>
      <c r="E574" t="s">
        <v>188</v>
      </c>
    </row>
    <row r="575" spans="1:5" x14ac:dyDescent="0.25">
      <c r="A575" t="s">
        <v>969</v>
      </c>
      <c r="B575" t="s">
        <v>481</v>
      </c>
      <c r="C575" t="s">
        <v>179</v>
      </c>
      <c r="D575">
        <v>2</v>
      </c>
      <c r="E575" t="s">
        <v>199</v>
      </c>
    </row>
    <row r="576" spans="1:5" x14ac:dyDescent="0.25">
      <c r="A576" t="s">
        <v>970</v>
      </c>
      <c r="B576" t="s">
        <v>284</v>
      </c>
      <c r="C576" t="s">
        <v>219</v>
      </c>
      <c r="D576">
        <v>3</v>
      </c>
      <c r="E576" t="s">
        <v>183</v>
      </c>
    </row>
    <row r="577" spans="1:5" x14ac:dyDescent="0.25">
      <c r="A577" t="s">
        <v>971</v>
      </c>
      <c r="B577" t="s">
        <v>266</v>
      </c>
      <c r="C577" t="s">
        <v>191</v>
      </c>
      <c r="D577">
        <v>11</v>
      </c>
      <c r="E577" t="s">
        <v>183</v>
      </c>
    </row>
    <row r="578" spans="1:5" x14ac:dyDescent="0.25">
      <c r="A578" t="s">
        <v>972</v>
      </c>
      <c r="B578" t="s">
        <v>643</v>
      </c>
      <c r="C578" t="s">
        <v>191</v>
      </c>
      <c r="D578">
        <v>12</v>
      </c>
      <c r="E578" t="s">
        <v>199</v>
      </c>
    </row>
    <row r="579" spans="1:5" x14ac:dyDescent="0.25">
      <c r="A579" t="s">
        <v>973</v>
      </c>
      <c r="B579" t="s">
        <v>434</v>
      </c>
      <c r="C579" t="s">
        <v>179</v>
      </c>
      <c r="D579">
        <v>14</v>
      </c>
      <c r="E579" t="s">
        <v>199</v>
      </c>
    </row>
    <row r="580" spans="1:5" x14ac:dyDescent="0.25">
      <c r="A580" t="s">
        <v>974</v>
      </c>
      <c r="B580" t="s">
        <v>190</v>
      </c>
      <c r="C580" t="s">
        <v>179</v>
      </c>
      <c r="D580">
        <v>11</v>
      </c>
      <c r="E580" t="s">
        <v>180</v>
      </c>
    </row>
    <row r="581" spans="1:5" x14ac:dyDescent="0.25">
      <c r="A581" t="s">
        <v>975</v>
      </c>
      <c r="B581" t="s">
        <v>425</v>
      </c>
      <c r="C581" t="s">
        <v>191</v>
      </c>
      <c r="D581">
        <v>10</v>
      </c>
      <c r="E581" t="s">
        <v>183</v>
      </c>
    </row>
    <row r="582" spans="1:5" x14ac:dyDescent="0.25">
      <c r="A582" t="s">
        <v>976</v>
      </c>
      <c r="B582" t="s">
        <v>398</v>
      </c>
      <c r="C582" t="s">
        <v>191</v>
      </c>
      <c r="D582">
        <v>13</v>
      </c>
      <c r="E582" t="s">
        <v>199</v>
      </c>
    </row>
    <row r="583" spans="1:5" x14ac:dyDescent="0.25">
      <c r="A583" t="s">
        <v>977</v>
      </c>
      <c r="B583" t="s">
        <v>664</v>
      </c>
      <c r="C583" t="s">
        <v>191</v>
      </c>
      <c r="D583">
        <v>12</v>
      </c>
      <c r="E583" t="s">
        <v>234</v>
      </c>
    </row>
    <row r="584" spans="1:5" x14ac:dyDescent="0.25">
      <c r="A584" t="s">
        <v>978</v>
      </c>
      <c r="B584" t="s">
        <v>441</v>
      </c>
      <c r="C584" t="s">
        <v>191</v>
      </c>
      <c r="D584">
        <v>10</v>
      </c>
      <c r="E584" t="s">
        <v>180</v>
      </c>
    </row>
    <row r="585" spans="1:5" x14ac:dyDescent="0.25">
      <c r="A585" t="s">
        <v>979</v>
      </c>
      <c r="B585" t="s">
        <v>190</v>
      </c>
      <c r="C585" t="s">
        <v>179</v>
      </c>
      <c r="D585">
        <v>12</v>
      </c>
      <c r="E585" t="s">
        <v>199</v>
      </c>
    </row>
    <row r="586" spans="1:5" x14ac:dyDescent="0.25">
      <c r="A586" t="s">
        <v>980</v>
      </c>
      <c r="B586" t="s">
        <v>205</v>
      </c>
      <c r="C586" t="s">
        <v>191</v>
      </c>
      <c r="D586">
        <v>11</v>
      </c>
      <c r="E586" t="s">
        <v>183</v>
      </c>
    </row>
    <row r="587" spans="1:5" x14ac:dyDescent="0.25">
      <c r="A587" t="s">
        <v>981</v>
      </c>
      <c r="B587" t="s">
        <v>421</v>
      </c>
      <c r="C587" t="s">
        <v>179</v>
      </c>
      <c r="D587">
        <v>14</v>
      </c>
      <c r="E587" t="s">
        <v>183</v>
      </c>
    </row>
    <row r="588" spans="1:5" x14ac:dyDescent="0.25">
      <c r="A588" t="s">
        <v>982</v>
      </c>
      <c r="B588" t="s">
        <v>472</v>
      </c>
      <c r="C588" t="s">
        <v>179</v>
      </c>
      <c r="D588">
        <v>13</v>
      </c>
      <c r="E588" t="s">
        <v>199</v>
      </c>
    </row>
    <row r="589" spans="1:5" x14ac:dyDescent="0.25">
      <c r="A589" t="s">
        <v>983</v>
      </c>
      <c r="B589" t="s">
        <v>414</v>
      </c>
      <c r="C589" t="s">
        <v>179</v>
      </c>
      <c r="D589">
        <v>4</v>
      </c>
      <c r="E589" t="s">
        <v>199</v>
      </c>
    </row>
    <row r="590" spans="1:5" x14ac:dyDescent="0.25">
      <c r="A590" t="s">
        <v>984</v>
      </c>
      <c r="B590" t="s">
        <v>760</v>
      </c>
      <c r="C590" t="s">
        <v>179</v>
      </c>
      <c r="D590">
        <v>3</v>
      </c>
      <c r="E590" t="s">
        <v>180</v>
      </c>
    </row>
    <row r="591" spans="1:5" x14ac:dyDescent="0.25">
      <c r="A591" t="s">
        <v>985</v>
      </c>
      <c r="B591" t="s">
        <v>460</v>
      </c>
      <c r="C591" t="s">
        <v>179</v>
      </c>
      <c r="D591">
        <v>14</v>
      </c>
      <c r="E591" t="s">
        <v>180</v>
      </c>
    </row>
    <row r="592" spans="1:5" x14ac:dyDescent="0.25">
      <c r="A592" t="s">
        <v>986</v>
      </c>
      <c r="B592" t="s">
        <v>769</v>
      </c>
      <c r="C592" t="s">
        <v>179</v>
      </c>
      <c r="D592">
        <v>2</v>
      </c>
      <c r="E592" t="s">
        <v>199</v>
      </c>
    </row>
    <row r="593" spans="1:5" x14ac:dyDescent="0.25">
      <c r="A593" t="s">
        <v>987</v>
      </c>
      <c r="B593" t="s">
        <v>262</v>
      </c>
      <c r="C593" t="s">
        <v>179</v>
      </c>
      <c r="D593">
        <v>1</v>
      </c>
      <c r="E593" t="s">
        <v>180</v>
      </c>
    </row>
    <row r="594" spans="1:5" x14ac:dyDescent="0.25">
      <c r="A594" t="s">
        <v>988</v>
      </c>
      <c r="B594" t="s">
        <v>623</v>
      </c>
      <c r="C594" t="s">
        <v>191</v>
      </c>
      <c r="D594">
        <v>7</v>
      </c>
      <c r="E594" t="s">
        <v>199</v>
      </c>
    </row>
    <row r="595" spans="1:5" x14ac:dyDescent="0.25">
      <c r="A595" t="s">
        <v>989</v>
      </c>
      <c r="B595" t="s">
        <v>618</v>
      </c>
      <c r="C595" t="s">
        <v>191</v>
      </c>
      <c r="D595">
        <v>7</v>
      </c>
      <c r="E595" t="s">
        <v>180</v>
      </c>
    </row>
    <row r="596" spans="1:5" x14ac:dyDescent="0.25">
      <c r="A596" t="s">
        <v>990</v>
      </c>
      <c r="B596" t="s">
        <v>618</v>
      </c>
      <c r="C596" t="s">
        <v>191</v>
      </c>
      <c r="D596">
        <v>3</v>
      </c>
      <c r="E596" t="s">
        <v>183</v>
      </c>
    </row>
    <row r="597" spans="1:5" x14ac:dyDescent="0.25">
      <c r="A597" t="s">
        <v>991</v>
      </c>
      <c r="B597" t="s">
        <v>221</v>
      </c>
      <c r="C597" t="s">
        <v>179</v>
      </c>
      <c r="D597">
        <v>2</v>
      </c>
      <c r="E597" t="s">
        <v>199</v>
      </c>
    </row>
    <row r="598" spans="1:5" x14ac:dyDescent="0.25">
      <c r="A598" t="s">
        <v>992</v>
      </c>
      <c r="B598" t="s">
        <v>334</v>
      </c>
      <c r="C598" t="s">
        <v>179</v>
      </c>
      <c r="D598">
        <v>4</v>
      </c>
      <c r="E598" t="s">
        <v>183</v>
      </c>
    </row>
    <row r="599" spans="1:5" x14ac:dyDescent="0.25">
      <c r="A599" t="s">
        <v>993</v>
      </c>
      <c r="B599" t="s">
        <v>358</v>
      </c>
      <c r="C599" t="s">
        <v>179</v>
      </c>
      <c r="D599">
        <v>9</v>
      </c>
      <c r="E599" t="s">
        <v>188</v>
      </c>
    </row>
    <row r="600" spans="1:5" x14ac:dyDescent="0.25">
      <c r="A600" t="s">
        <v>994</v>
      </c>
      <c r="B600" t="s">
        <v>451</v>
      </c>
      <c r="C600" t="s">
        <v>179</v>
      </c>
      <c r="D600">
        <v>11</v>
      </c>
      <c r="E600" t="s">
        <v>199</v>
      </c>
    </row>
    <row r="601" spans="1:5" x14ac:dyDescent="0.25">
      <c r="A601" t="s">
        <v>995</v>
      </c>
      <c r="B601" t="s">
        <v>201</v>
      </c>
      <c r="C601" t="s">
        <v>191</v>
      </c>
      <c r="D601">
        <v>12</v>
      </c>
      <c r="E601" t="s">
        <v>199</v>
      </c>
    </row>
    <row r="602" spans="1:5" x14ac:dyDescent="0.25">
      <c r="A602" t="s">
        <v>996</v>
      </c>
      <c r="B602" t="s">
        <v>540</v>
      </c>
      <c r="C602" t="s">
        <v>179</v>
      </c>
      <c r="D602">
        <v>5</v>
      </c>
      <c r="E602" t="s">
        <v>199</v>
      </c>
    </row>
    <row r="603" spans="1:5" x14ac:dyDescent="0.25">
      <c r="A603" t="s">
        <v>997</v>
      </c>
      <c r="B603" t="s">
        <v>538</v>
      </c>
      <c r="C603" t="s">
        <v>191</v>
      </c>
      <c r="D603">
        <v>8</v>
      </c>
      <c r="E603" t="s">
        <v>180</v>
      </c>
    </row>
    <row r="604" spans="1:5" x14ac:dyDescent="0.25">
      <c r="A604" t="s">
        <v>998</v>
      </c>
      <c r="B604" t="s">
        <v>233</v>
      </c>
      <c r="C604" t="s">
        <v>179</v>
      </c>
      <c r="D604">
        <v>14</v>
      </c>
      <c r="E604" t="s">
        <v>180</v>
      </c>
    </row>
    <row r="605" spans="1:5" x14ac:dyDescent="0.25">
      <c r="A605" t="s">
        <v>999</v>
      </c>
      <c r="B605" t="s">
        <v>313</v>
      </c>
      <c r="C605" t="s">
        <v>191</v>
      </c>
      <c r="D605">
        <v>3</v>
      </c>
      <c r="E605" t="s">
        <v>183</v>
      </c>
    </row>
    <row r="606" spans="1:5" x14ac:dyDescent="0.25">
      <c r="A606" t="s">
        <v>1000</v>
      </c>
      <c r="B606" t="s">
        <v>538</v>
      </c>
      <c r="C606" t="s">
        <v>179</v>
      </c>
      <c r="D606">
        <v>8</v>
      </c>
      <c r="E606" t="s">
        <v>199</v>
      </c>
    </row>
    <row r="607" spans="1:5" x14ac:dyDescent="0.25">
      <c r="A607" t="s">
        <v>1001</v>
      </c>
      <c r="B607" t="s">
        <v>371</v>
      </c>
      <c r="C607" t="s">
        <v>196</v>
      </c>
      <c r="D607">
        <v>1</v>
      </c>
      <c r="E607" t="s">
        <v>199</v>
      </c>
    </row>
    <row r="608" spans="1:5" x14ac:dyDescent="0.25">
      <c r="A608" t="s">
        <v>1002</v>
      </c>
      <c r="B608" t="s">
        <v>280</v>
      </c>
      <c r="C608" t="s">
        <v>191</v>
      </c>
      <c r="D608">
        <v>4</v>
      </c>
      <c r="E608" t="s">
        <v>183</v>
      </c>
    </row>
    <row r="609" spans="1:5" x14ac:dyDescent="0.25">
      <c r="A609" t="s">
        <v>1003</v>
      </c>
      <c r="B609" t="s">
        <v>953</v>
      </c>
      <c r="C609" t="s">
        <v>179</v>
      </c>
      <c r="D609">
        <v>7</v>
      </c>
      <c r="E609" t="s">
        <v>180</v>
      </c>
    </row>
    <row r="610" spans="1:5" x14ac:dyDescent="0.25">
      <c r="A610" t="s">
        <v>1004</v>
      </c>
      <c r="B610" t="s">
        <v>479</v>
      </c>
      <c r="C610" t="s">
        <v>179</v>
      </c>
      <c r="D610">
        <v>4</v>
      </c>
      <c r="E610" t="s">
        <v>199</v>
      </c>
    </row>
    <row r="611" spans="1:5" x14ac:dyDescent="0.25">
      <c r="A611" t="s">
        <v>1005</v>
      </c>
      <c r="B611" t="s">
        <v>697</v>
      </c>
      <c r="C611" t="s">
        <v>191</v>
      </c>
      <c r="D611">
        <v>9</v>
      </c>
      <c r="E611" t="s">
        <v>199</v>
      </c>
    </row>
    <row r="612" spans="1:5" x14ac:dyDescent="0.25">
      <c r="A612" t="s">
        <v>1006</v>
      </c>
      <c r="B612" t="s">
        <v>757</v>
      </c>
      <c r="C612" t="s">
        <v>179</v>
      </c>
      <c r="D612">
        <v>14</v>
      </c>
      <c r="E612" t="s">
        <v>183</v>
      </c>
    </row>
    <row r="613" spans="1:5" x14ac:dyDescent="0.25">
      <c r="A613" t="s">
        <v>1007</v>
      </c>
      <c r="B613" t="s">
        <v>402</v>
      </c>
      <c r="C613" t="s">
        <v>191</v>
      </c>
      <c r="D613">
        <v>3</v>
      </c>
      <c r="E613" t="s">
        <v>180</v>
      </c>
    </row>
    <row r="614" spans="1:5" x14ac:dyDescent="0.25">
      <c r="A614" t="s">
        <v>1008</v>
      </c>
      <c r="B614" t="s">
        <v>706</v>
      </c>
      <c r="C614" t="s">
        <v>179</v>
      </c>
      <c r="D614">
        <v>6</v>
      </c>
      <c r="E614" t="s">
        <v>199</v>
      </c>
    </row>
    <row r="615" spans="1:5" x14ac:dyDescent="0.25">
      <c r="A615" t="s">
        <v>1009</v>
      </c>
      <c r="B615" t="s">
        <v>233</v>
      </c>
      <c r="C615" t="s">
        <v>219</v>
      </c>
      <c r="D615">
        <v>8</v>
      </c>
      <c r="E615" t="s">
        <v>234</v>
      </c>
    </row>
    <row r="616" spans="1:5" x14ac:dyDescent="0.25">
      <c r="A616" t="s">
        <v>1010</v>
      </c>
      <c r="B616" t="s">
        <v>501</v>
      </c>
      <c r="C616" t="s">
        <v>179</v>
      </c>
      <c r="D616">
        <v>6</v>
      </c>
      <c r="E616" t="s">
        <v>199</v>
      </c>
    </row>
    <row r="617" spans="1:5" x14ac:dyDescent="0.25">
      <c r="A617" t="s">
        <v>1011</v>
      </c>
      <c r="B617" t="s">
        <v>182</v>
      </c>
      <c r="C617" t="s">
        <v>179</v>
      </c>
      <c r="D617">
        <v>9</v>
      </c>
      <c r="E617" t="s">
        <v>183</v>
      </c>
    </row>
    <row r="618" spans="1:5" x14ac:dyDescent="0.25">
      <c r="A618" t="s">
        <v>1012</v>
      </c>
      <c r="B618" t="s">
        <v>951</v>
      </c>
      <c r="C618" t="s">
        <v>191</v>
      </c>
      <c r="D618">
        <v>6</v>
      </c>
      <c r="E618" t="s">
        <v>183</v>
      </c>
    </row>
    <row r="619" spans="1:5" x14ac:dyDescent="0.25">
      <c r="A619" t="s">
        <v>1013</v>
      </c>
      <c r="B619" t="s">
        <v>629</v>
      </c>
      <c r="C619" t="s">
        <v>179</v>
      </c>
      <c r="D619">
        <v>11</v>
      </c>
      <c r="E619" t="s">
        <v>199</v>
      </c>
    </row>
    <row r="620" spans="1:5" x14ac:dyDescent="0.25">
      <c r="A620" t="s">
        <v>1014</v>
      </c>
      <c r="B620" t="s">
        <v>1015</v>
      </c>
      <c r="C620" t="s">
        <v>196</v>
      </c>
      <c r="D620">
        <v>14</v>
      </c>
      <c r="E620" t="s">
        <v>188</v>
      </c>
    </row>
    <row r="621" spans="1:5" x14ac:dyDescent="0.25">
      <c r="A621" t="s">
        <v>1016</v>
      </c>
      <c r="B621" t="s">
        <v>248</v>
      </c>
      <c r="C621" t="s">
        <v>179</v>
      </c>
      <c r="D621">
        <v>5</v>
      </c>
      <c r="E621" t="s">
        <v>180</v>
      </c>
    </row>
    <row r="622" spans="1:5" x14ac:dyDescent="0.25">
      <c r="A622" t="s">
        <v>1017</v>
      </c>
      <c r="B622" t="s">
        <v>1018</v>
      </c>
      <c r="C622" t="s">
        <v>179</v>
      </c>
      <c r="D622">
        <v>11</v>
      </c>
      <c r="E622" t="s">
        <v>180</v>
      </c>
    </row>
    <row r="623" spans="1:5" x14ac:dyDescent="0.25">
      <c r="A623" t="s">
        <v>1019</v>
      </c>
      <c r="B623" t="s">
        <v>434</v>
      </c>
      <c r="C623" t="s">
        <v>219</v>
      </c>
      <c r="D623">
        <v>7</v>
      </c>
      <c r="E623" t="s">
        <v>199</v>
      </c>
    </row>
    <row r="624" spans="1:5" x14ac:dyDescent="0.25">
      <c r="A624" t="s">
        <v>1020</v>
      </c>
      <c r="B624" t="s">
        <v>218</v>
      </c>
      <c r="C624" t="s">
        <v>179</v>
      </c>
      <c r="D624">
        <v>9</v>
      </c>
      <c r="E624" t="s">
        <v>180</v>
      </c>
    </row>
    <row r="625" spans="1:5" x14ac:dyDescent="0.25">
      <c r="A625" t="s">
        <v>1021</v>
      </c>
      <c r="B625" t="s">
        <v>301</v>
      </c>
      <c r="C625" t="s">
        <v>191</v>
      </c>
      <c r="D625">
        <v>2</v>
      </c>
      <c r="E625" t="s">
        <v>199</v>
      </c>
    </row>
    <row r="626" spans="1:5" x14ac:dyDescent="0.25">
      <c r="A626" t="s">
        <v>1022</v>
      </c>
      <c r="B626" t="s">
        <v>1023</v>
      </c>
      <c r="C626" t="s">
        <v>179</v>
      </c>
      <c r="D626">
        <v>5</v>
      </c>
      <c r="E626" t="s">
        <v>183</v>
      </c>
    </row>
    <row r="627" spans="1:5" x14ac:dyDescent="0.25">
      <c r="A627" t="s">
        <v>1024</v>
      </c>
      <c r="B627" t="s">
        <v>308</v>
      </c>
      <c r="C627" t="s">
        <v>191</v>
      </c>
      <c r="D627">
        <v>10</v>
      </c>
      <c r="E627" t="s">
        <v>180</v>
      </c>
    </row>
    <row r="628" spans="1:5" x14ac:dyDescent="0.25">
      <c r="A628" t="s">
        <v>1025</v>
      </c>
      <c r="B628" t="s">
        <v>274</v>
      </c>
      <c r="C628" t="s">
        <v>179</v>
      </c>
      <c r="D628">
        <v>8</v>
      </c>
      <c r="E628" t="s">
        <v>199</v>
      </c>
    </row>
    <row r="629" spans="1:5" x14ac:dyDescent="0.25">
      <c r="A629" t="s">
        <v>1026</v>
      </c>
      <c r="B629" t="s">
        <v>955</v>
      </c>
      <c r="C629" t="s">
        <v>191</v>
      </c>
      <c r="D629">
        <v>11</v>
      </c>
      <c r="E629" t="s">
        <v>180</v>
      </c>
    </row>
    <row r="630" spans="1:5" x14ac:dyDescent="0.25">
      <c r="A630" t="s">
        <v>1027</v>
      </c>
      <c r="B630" t="s">
        <v>366</v>
      </c>
      <c r="C630" t="s">
        <v>179</v>
      </c>
      <c r="D630">
        <v>13</v>
      </c>
      <c r="E630" t="s">
        <v>180</v>
      </c>
    </row>
    <row r="631" spans="1:5" x14ac:dyDescent="0.25">
      <c r="A631" t="s">
        <v>1028</v>
      </c>
      <c r="B631" t="s">
        <v>460</v>
      </c>
      <c r="C631" t="s">
        <v>179</v>
      </c>
      <c r="D631">
        <v>7</v>
      </c>
      <c r="E631" t="s">
        <v>183</v>
      </c>
    </row>
    <row r="632" spans="1:5" x14ac:dyDescent="0.25">
      <c r="A632" t="s">
        <v>1029</v>
      </c>
      <c r="B632" t="s">
        <v>460</v>
      </c>
      <c r="C632" t="s">
        <v>191</v>
      </c>
      <c r="D632">
        <v>7</v>
      </c>
      <c r="E632" t="s">
        <v>199</v>
      </c>
    </row>
    <row r="633" spans="1:5" x14ac:dyDescent="0.25">
      <c r="A633" t="s">
        <v>1030</v>
      </c>
      <c r="B633" t="s">
        <v>293</v>
      </c>
      <c r="C633" t="s">
        <v>191</v>
      </c>
      <c r="D633">
        <v>3</v>
      </c>
      <c r="E633" t="s">
        <v>199</v>
      </c>
    </row>
    <row r="634" spans="1:5" x14ac:dyDescent="0.25">
      <c r="A634" t="s">
        <v>1031</v>
      </c>
      <c r="B634" t="s">
        <v>1032</v>
      </c>
      <c r="C634" t="s">
        <v>219</v>
      </c>
      <c r="D634">
        <v>7</v>
      </c>
      <c r="E634" t="s">
        <v>183</v>
      </c>
    </row>
    <row r="635" spans="1:5" x14ac:dyDescent="0.25">
      <c r="A635" t="s">
        <v>1033</v>
      </c>
      <c r="B635" t="s">
        <v>872</v>
      </c>
      <c r="C635" t="s">
        <v>179</v>
      </c>
      <c r="D635">
        <v>13</v>
      </c>
      <c r="E635" t="s">
        <v>199</v>
      </c>
    </row>
    <row r="636" spans="1:5" x14ac:dyDescent="0.25">
      <c r="A636" t="s">
        <v>1034</v>
      </c>
      <c r="B636" t="s">
        <v>327</v>
      </c>
      <c r="C636" t="s">
        <v>191</v>
      </c>
      <c r="D636">
        <v>8</v>
      </c>
      <c r="E636" t="s">
        <v>234</v>
      </c>
    </row>
    <row r="637" spans="1:5" x14ac:dyDescent="0.25">
      <c r="A637" t="s">
        <v>1035</v>
      </c>
      <c r="B637" t="s">
        <v>697</v>
      </c>
      <c r="C637" t="s">
        <v>191</v>
      </c>
      <c r="D637">
        <v>1</v>
      </c>
      <c r="E637" t="s">
        <v>180</v>
      </c>
    </row>
    <row r="638" spans="1:5" x14ac:dyDescent="0.25">
      <c r="A638" t="s">
        <v>1036</v>
      </c>
      <c r="B638" t="s">
        <v>739</v>
      </c>
      <c r="C638" t="s">
        <v>191</v>
      </c>
      <c r="D638">
        <v>10</v>
      </c>
      <c r="E638" t="s">
        <v>199</v>
      </c>
    </row>
    <row r="639" spans="1:5" x14ac:dyDescent="0.25">
      <c r="A639" t="s">
        <v>1037</v>
      </c>
      <c r="B639" t="s">
        <v>911</v>
      </c>
      <c r="C639" t="s">
        <v>179</v>
      </c>
      <c r="D639">
        <v>7</v>
      </c>
      <c r="E639" t="s">
        <v>183</v>
      </c>
    </row>
    <row r="640" spans="1:5" x14ac:dyDescent="0.25">
      <c r="A640" t="s">
        <v>1038</v>
      </c>
      <c r="B640" t="s">
        <v>406</v>
      </c>
      <c r="C640" t="s">
        <v>219</v>
      </c>
      <c r="D640">
        <v>11</v>
      </c>
      <c r="E640" t="s">
        <v>183</v>
      </c>
    </row>
    <row r="641" spans="1:5" x14ac:dyDescent="0.25">
      <c r="A641" t="s">
        <v>1039</v>
      </c>
      <c r="B641" t="s">
        <v>295</v>
      </c>
      <c r="C641" t="s">
        <v>219</v>
      </c>
      <c r="D641">
        <v>5</v>
      </c>
      <c r="E641" t="s">
        <v>234</v>
      </c>
    </row>
    <row r="642" spans="1:5" x14ac:dyDescent="0.25">
      <c r="A642" t="s">
        <v>1040</v>
      </c>
      <c r="B642" t="s">
        <v>396</v>
      </c>
      <c r="C642" t="s">
        <v>179</v>
      </c>
      <c r="D642">
        <v>9</v>
      </c>
      <c r="E642" t="s">
        <v>183</v>
      </c>
    </row>
    <row r="643" spans="1:5" x14ac:dyDescent="0.25">
      <c r="A643" t="s">
        <v>1041</v>
      </c>
      <c r="B643" t="s">
        <v>629</v>
      </c>
      <c r="C643" t="s">
        <v>179</v>
      </c>
      <c r="D643">
        <v>5</v>
      </c>
      <c r="E643" t="s">
        <v>199</v>
      </c>
    </row>
    <row r="644" spans="1:5" x14ac:dyDescent="0.25">
      <c r="A644" t="s">
        <v>1042</v>
      </c>
      <c r="B644" t="s">
        <v>508</v>
      </c>
      <c r="C644" t="s">
        <v>179</v>
      </c>
      <c r="D644">
        <v>14</v>
      </c>
      <c r="E644" t="s">
        <v>180</v>
      </c>
    </row>
    <row r="645" spans="1:5" x14ac:dyDescent="0.25">
      <c r="A645" t="s">
        <v>1043</v>
      </c>
      <c r="B645" t="s">
        <v>715</v>
      </c>
      <c r="C645" t="s">
        <v>179</v>
      </c>
      <c r="D645">
        <v>13</v>
      </c>
      <c r="E645" t="s">
        <v>199</v>
      </c>
    </row>
    <row r="646" spans="1:5" x14ac:dyDescent="0.25">
      <c r="A646" t="s">
        <v>1044</v>
      </c>
      <c r="B646" t="s">
        <v>187</v>
      </c>
      <c r="C646" t="s">
        <v>179</v>
      </c>
      <c r="D646">
        <v>9</v>
      </c>
      <c r="E646" t="s">
        <v>234</v>
      </c>
    </row>
    <row r="647" spans="1:5" x14ac:dyDescent="0.25">
      <c r="A647" t="s">
        <v>1045</v>
      </c>
      <c r="B647" t="s">
        <v>953</v>
      </c>
      <c r="C647" t="s">
        <v>191</v>
      </c>
      <c r="D647">
        <v>2</v>
      </c>
      <c r="E647" t="s">
        <v>199</v>
      </c>
    </row>
    <row r="648" spans="1:5" x14ac:dyDescent="0.25">
      <c r="A648" t="s">
        <v>1046</v>
      </c>
      <c r="B648" t="s">
        <v>406</v>
      </c>
      <c r="C648" t="s">
        <v>179</v>
      </c>
      <c r="D648">
        <v>6</v>
      </c>
      <c r="E648" t="s">
        <v>183</v>
      </c>
    </row>
    <row r="649" spans="1:5" x14ac:dyDescent="0.25">
      <c r="A649" t="s">
        <v>1047</v>
      </c>
      <c r="B649" t="s">
        <v>291</v>
      </c>
      <c r="C649" t="s">
        <v>179</v>
      </c>
      <c r="D649">
        <v>6</v>
      </c>
      <c r="E649" t="s">
        <v>183</v>
      </c>
    </row>
    <row r="650" spans="1:5" x14ac:dyDescent="0.25">
      <c r="A650" t="s">
        <v>1048</v>
      </c>
      <c r="B650" t="s">
        <v>631</v>
      </c>
      <c r="C650" t="s">
        <v>196</v>
      </c>
      <c r="D650">
        <v>14</v>
      </c>
      <c r="E650" t="s">
        <v>180</v>
      </c>
    </row>
    <row r="651" spans="1:5" x14ac:dyDescent="0.25">
      <c r="A651" t="s">
        <v>1049</v>
      </c>
      <c r="B651" t="s">
        <v>402</v>
      </c>
      <c r="C651" t="s">
        <v>179</v>
      </c>
      <c r="D651">
        <v>9</v>
      </c>
      <c r="E651" t="s">
        <v>180</v>
      </c>
    </row>
    <row r="652" spans="1:5" x14ac:dyDescent="0.25">
      <c r="A652" t="s">
        <v>1050</v>
      </c>
      <c r="B652" t="s">
        <v>437</v>
      </c>
      <c r="C652" t="s">
        <v>179</v>
      </c>
      <c r="D652">
        <v>14</v>
      </c>
      <c r="E652" t="s">
        <v>199</v>
      </c>
    </row>
    <row r="653" spans="1:5" x14ac:dyDescent="0.25">
      <c r="A653" t="s">
        <v>1051</v>
      </c>
      <c r="B653" t="s">
        <v>423</v>
      </c>
      <c r="C653" t="s">
        <v>191</v>
      </c>
      <c r="D653">
        <v>2</v>
      </c>
      <c r="E653" t="s">
        <v>183</v>
      </c>
    </row>
    <row r="654" spans="1:5" x14ac:dyDescent="0.25">
      <c r="A654" t="s">
        <v>1052</v>
      </c>
      <c r="B654" t="s">
        <v>233</v>
      </c>
      <c r="C654" t="s">
        <v>219</v>
      </c>
      <c r="D654">
        <v>8</v>
      </c>
      <c r="E654" t="s">
        <v>199</v>
      </c>
    </row>
    <row r="655" spans="1:5" x14ac:dyDescent="0.25">
      <c r="A655" t="s">
        <v>1053</v>
      </c>
      <c r="B655" t="s">
        <v>573</v>
      </c>
      <c r="C655" t="s">
        <v>179</v>
      </c>
      <c r="D655">
        <v>6</v>
      </c>
      <c r="E655" t="s">
        <v>183</v>
      </c>
    </row>
    <row r="656" spans="1:5" x14ac:dyDescent="0.25">
      <c r="A656" t="s">
        <v>1054</v>
      </c>
      <c r="B656" t="s">
        <v>421</v>
      </c>
      <c r="C656" t="s">
        <v>179</v>
      </c>
      <c r="D656">
        <v>12</v>
      </c>
      <c r="E656" t="s">
        <v>199</v>
      </c>
    </row>
    <row r="657" spans="1:5" x14ac:dyDescent="0.25">
      <c r="A657" t="s">
        <v>1055</v>
      </c>
      <c r="B657" t="s">
        <v>513</v>
      </c>
      <c r="C657" t="s">
        <v>191</v>
      </c>
      <c r="D657">
        <v>7</v>
      </c>
      <c r="E657" t="s">
        <v>199</v>
      </c>
    </row>
    <row r="658" spans="1:5" x14ac:dyDescent="0.25">
      <c r="A658" t="s">
        <v>1056</v>
      </c>
      <c r="B658" t="s">
        <v>498</v>
      </c>
      <c r="C658" t="s">
        <v>191</v>
      </c>
      <c r="D658">
        <v>9</v>
      </c>
      <c r="E658" t="s">
        <v>183</v>
      </c>
    </row>
    <row r="659" spans="1:5" x14ac:dyDescent="0.25">
      <c r="A659" t="s">
        <v>1057</v>
      </c>
      <c r="B659" t="s">
        <v>715</v>
      </c>
      <c r="C659" t="s">
        <v>191</v>
      </c>
      <c r="D659">
        <v>6</v>
      </c>
      <c r="E659" t="s">
        <v>183</v>
      </c>
    </row>
    <row r="660" spans="1:5" x14ac:dyDescent="0.25">
      <c r="A660" t="s">
        <v>1058</v>
      </c>
      <c r="B660" t="s">
        <v>1059</v>
      </c>
      <c r="C660" t="s">
        <v>191</v>
      </c>
      <c r="D660">
        <v>4</v>
      </c>
      <c r="E660" t="s">
        <v>183</v>
      </c>
    </row>
    <row r="661" spans="1:5" x14ac:dyDescent="0.25">
      <c r="A661" t="s">
        <v>1060</v>
      </c>
      <c r="B661" t="s">
        <v>190</v>
      </c>
      <c r="C661" t="s">
        <v>219</v>
      </c>
      <c r="D661">
        <v>11</v>
      </c>
      <c r="E661" t="s">
        <v>183</v>
      </c>
    </row>
    <row r="662" spans="1:5" x14ac:dyDescent="0.25">
      <c r="A662" t="s">
        <v>1061</v>
      </c>
      <c r="B662" t="s">
        <v>313</v>
      </c>
      <c r="C662" t="s">
        <v>191</v>
      </c>
      <c r="D662">
        <v>11</v>
      </c>
      <c r="E662" t="s">
        <v>199</v>
      </c>
    </row>
    <row r="663" spans="1:5" x14ac:dyDescent="0.25">
      <c r="A663" t="s">
        <v>1062</v>
      </c>
      <c r="B663" t="s">
        <v>404</v>
      </c>
      <c r="C663" t="s">
        <v>179</v>
      </c>
      <c r="D663">
        <v>7</v>
      </c>
      <c r="E663" t="s">
        <v>199</v>
      </c>
    </row>
    <row r="664" spans="1:5" x14ac:dyDescent="0.25">
      <c r="A664" t="s">
        <v>1063</v>
      </c>
      <c r="B664" t="s">
        <v>1064</v>
      </c>
      <c r="C664" t="s">
        <v>179</v>
      </c>
      <c r="D664">
        <v>10</v>
      </c>
      <c r="E664" t="s">
        <v>180</v>
      </c>
    </row>
    <row r="665" spans="1:5" x14ac:dyDescent="0.25">
      <c r="A665" t="s">
        <v>1065</v>
      </c>
      <c r="B665" t="s">
        <v>278</v>
      </c>
      <c r="C665" t="s">
        <v>179</v>
      </c>
      <c r="D665">
        <v>4</v>
      </c>
      <c r="E665" t="s">
        <v>199</v>
      </c>
    </row>
    <row r="666" spans="1:5" x14ac:dyDescent="0.25">
      <c r="A666" t="s">
        <v>1066</v>
      </c>
      <c r="B666" t="s">
        <v>240</v>
      </c>
      <c r="C666" t="s">
        <v>219</v>
      </c>
      <c r="D666">
        <v>12</v>
      </c>
      <c r="E666" t="s">
        <v>183</v>
      </c>
    </row>
    <row r="667" spans="1:5" x14ac:dyDescent="0.25">
      <c r="A667" t="s">
        <v>1067</v>
      </c>
      <c r="B667" t="s">
        <v>551</v>
      </c>
      <c r="C667" t="s">
        <v>179</v>
      </c>
      <c r="D667">
        <v>6</v>
      </c>
      <c r="E667" t="s">
        <v>234</v>
      </c>
    </row>
    <row r="668" spans="1:5" x14ac:dyDescent="0.25">
      <c r="A668" t="s">
        <v>1068</v>
      </c>
      <c r="B668" t="s">
        <v>306</v>
      </c>
      <c r="C668" t="s">
        <v>179</v>
      </c>
      <c r="D668">
        <v>8</v>
      </c>
      <c r="E668" t="s">
        <v>199</v>
      </c>
    </row>
    <row r="669" spans="1:5" x14ac:dyDescent="0.25">
      <c r="A669" t="s">
        <v>1069</v>
      </c>
      <c r="B669" t="s">
        <v>695</v>
      </c>
      <c r="C669" t="s">
        <v>191</v>
      </c>
      <c r="D669">
        <v>5</v>
      </c>
      <c r="E669" t="s">
        <v>180</v>
      </c>
    </row>
    <row r="670" spans="1:5" x14ac:dyDescent="0.25">
      <c r="A670" t="s">
        <v>1070</v>
      </c>
      <c r="B670" t="s">
        <v>404</v>
      </c>
      <c r="C670" t="s">
        <v>191</v>
      </c>
      <c r="D670">
        <v>3</v>
      </c>
      <c r="E670" t="s">
        <v>199</v>
      </c>
    </row>
    <row r="671" spans="1:5" x14ac:dyDescent="0.25">
      <c r="A671" t="s">
        <v>1071</v>
      </c>
      <c r="B671" t="s">
        <v>520</v>
      </c>
      <c r="C671" t="s">
        <v>179</v>
      </c>
      <c r="D671">
        <v>2</v>
      </c>
      <c r="E671" t="s">
        <v>180</v>
      </c>
    </row>
    <row r="672" spans="1:5" x14ac:dyDescent="0.25">
      <c r="A672" t="s">
        <v>1072</v>
      </c>
      <c r="B672" t="s">
        <v>349</v>
      </c>
      <c r="C672" t="s">
        <v>179</v>
      </c>
      <c r="D672">
        <v>7</v>
      </c>
      <c r="E672" t="s">
        <v>199</v>
      </c>
    </row>
    <row r="673" spans="1:5" x14ac:dyDescent="0.25">
      <c r="A673" t="s">
        <v>1073</v>
      </c>
      <c r="B673" t="s">
        <v>583</v>
      </c>
      <c r="C673" t="s">
        <v>179</v>
      </c>
      <c r="D673">
        <v>2</v>
      </c>
      <c r="E673" t="s">
        <v>183</v>
      </c>
    </row>
    <row r="674" spans="1:5" x14ac:dyDescent="0.25">
      <c r="A674" t="s">
        <v>1074</v>
      </c>
      <c r="B674" t="s">
        <v>791</v>
      </c>
      <c r="C674" t="s">
        <v>219</v>
      </c>
      <c r="D674">
        <v>1</v>
      </c>
      <c r="E674" t="s">
        <v>180</v>
      </c>
    </row>
    <row r="675" spans="1:5" x14ac:dyDescent="0.25">
      <c r="A675" t="s">
        <v>1075</v>
      </c>
      <c r="B675" t="s">
        <v>508</v>
      </c>
      <c r="C675" t="s">
        <v>191</v>
      </c>
      <c r="D675">
        <v>14</v>
      </c>
      <c r="E675" t="s">
        <v>183</v>
      </c>
    </row>
    <row r="676" spans="1:5" x14ac:dyDescent="0.25">
      <c r="A676" t="s">
        <v>1076</v>
      </c>
      <c r="B676" t="s">
        <v>445</v>
      </c>
      <c r="C676" t="s">
        <v>179</v>
      </c>
      <c r="D676">
        <v>3</v>
      </c>
      <c r="E676" t="s">
        <v>199</v>
      </c>
    </row>
    <row r="677" spans="1:5" x14ac:dyDescent="0.25">
      <c r="A677" t="s">
        <v>1077</v>
      </c>
      <c r="B677" t="s">
        <v>360</v>
      </c>
      <c r="C677" t="s">
        <v>219</v>
      </c>
      <c r="D677">
        <v>13</v>
      </c>
      <c r="E677" t="s">
        <v>183</v>
      </c>
    </row>
    <row r="678" spans="1:5" x14ac:dyDescent="0.25">
      <c r="A678" t="s">
        <v>1078</v>
      </c>
      <c r="B678" t="s">
        <v>412</v>
      </c>
      <c r="C678" t="s">
        <v>191</v>
      </c>
      <c r="D678">
        <v>7</v>
      </c>
      <c r="E678" t="s">
        <v>180</v>
      </c>
    </row>
    <row r="679" spans="1:5" x14ac:dyDescent="0.25">
      <c r="A679" t="s">
        <v>1079</v>
      </c>
      <c r="B679" t="s">
        <v>611</v>
      </c>
      <c r="C679" t="s">
        <v>219</v>
      </c>
      <c r="D679">
        <v>11</v>
      </c>
      <c r="E679" t="s">
        <v>199</v>
      </c>
    </row>
    <row r="680" spans="1:5" x14ac:dyDescent="0.25">
      <c r="A680" t="s">
        <v>1080</v>
      </c>
      <c r="B680" t="s">
        <v>560</v>
      </c>
      <c r="C680" t="s">
        <v>179</v>
      </c>
      <c r="D680">
        <v>8</v>
      </c>
      <c r="E680" t="s">
        <v>183</v>
      </c>
    </row>
    <row r="681" spans="1:5" x14ac:dyDescent="0.25">
      <c r="A681" t="s">
        <v>1081</v>
      </c>
      <c r="B681" t="s">
        <v>697</v>
      </c>
      <c r="C681" t="s">
        <v>191</v>
      </c>
      <c r="D681">
        <v>11</v>
      </c>
      <c r="E681" t="s">
        <v>199</v>
      </c>
    </row>
    <row r="682" spans="1:5" x14ac:dyDescent="0.25">
      <c r="A682" t="s">
        <v>1082</v>
      </c>
      <c r="B682" t="s">
        <v>686</v>
      </c>
      <c r="C682" t="s">
        <v>179</v>
      </c>
      <c r="D682">
        <v>10</v>
      </c>
      <c r="E682" t="s">
        <v>199</v>
      </c>
    </row>
    <row r="683" spans="1:5" x14ac:dyDescent="0.25">
      <c r="A683" t="s">
        <v>1083</v>
      </c>
      <c r="B683" t="s">
        <v>634</v>
      </c>
      <c r="C683" t="s">
        <v>179</v>
      </c>
      <c r="D683">
        <v>9</v>
      </c>
      <c r="E683" t="s">
        <v>199</v>
      </c>
    </row>
    <row r="684" spans="1:5" x14ac:dyDescent="0.25">
      <c r="A684" t="s">
        <v>1084</v>
      </c>
      <c r="B684" t="s">
        <v>352</v>
      </c>
      <c r="C684" t="s">
        <v>179</v>
      </c>
      <c r="D684">
        <v>1</v>
      </c>
      <c r="E684" t="s">
        <v>199</v>
      </c>
    </row>
    <row r="685" spans="1:5" x14ac:dyDescent="0.25">
      <c r="A685" t="s">
        <v>1085</v>
      </c>
      <c r="B685" t="s">
        <v>573</v>
      </c>
      <c r="C685" t="s">
        <v>191</v>
      </c>
      <c r="D685">
        <v>5</v>
      </c>
      <c r="E685" t="s">
        <v>183</v>
      </c>
    </row>
    <row r="686" spans="1:5" x14ac:dyDescent="0.25">
      <c r="A686" t="s">
        <v>1086</v>
      </c>
      <c r="B686" t="s">
        <v>301</v>
      </c>
      <c r="C686" t="s">
        <v>179</v>
      </c>
      <c r="D686">
        <v>5</v>
      </c>
      <c r="E686" t="s">
        <v>234</v>
      </c>
    </row>
    <row r="687" spans="1:5" x14ac:dyDescent="0.25">
      <c r="A687" t="s">
        <v>1087</v>
      </c>
      <c r="B687" t="s">
        <v>412</v>
      </c>
      <c r="C687" t="s">
        <v>179</v>
      </c>
      <c r="D687">
        <v>4</v>
      </c>
      <c r="E687" t="s">
        <v>180</v>
      </c>
    </row>
    <row r="688" spans="1:5" x14ac:dyDescent="0.25">
      <c r="A688" t="s">
        <v>1088</v>
      </c>
      <c r="B688" t="s">
        <v>656</v>
      </c>
      <c r="C688" t="s">
        <v>191</v>
      </c>
      <c r="D688">
        <v>1</v>
      </c>
      <c r="E688" t="s">
        <v>199</v>
      </c>
    </row>
    <row r="689" spans="1:5" x14ac:dyDescent="0.25">
      <c r="A689" t="s">
        <v>1089</v>
      </c>
      <c r="B689" t="s">
        <v>481</v>
      </c>
      <c r="C689" t="s">
        <v>219</v>
      </c>
      <c r="D689">
        <v>12</v>
      </c>
      <c r="E689" t="s">
        <v>180</v>
      </c>
    </row>
    <row r="690" spans="1:5" x14ac:dyDescent="0.25">
      <c r="A690" t="s">
        <v>1090</v>
      </c>
      <c r="B690" t="s">
        <v>1023</v>
      </c>
      <c r="C690" t="s">
        <v>191</v>
      </c>
      <c r="D690">
        <v>12</v>
      </c>
      <c r="E690" t="s">
        <v>183</v>
      </c>
    </row>
    <row r="691" spans="1:5" x14ac:dyDescent="0.25">
      <c r="A691" t="s">
        <v>1091</v>
      </c>
      <c r="B691" t="s">
        <v>760</v>
      </c>
      <c r="C691" t="s">
        <v>179</v>
      </c>
      <c r="D691">
        <v>2</v>
      </c>
      <c r="E691" t="s">
        <v>188</v>
      </c>
    </row>
    <row r="692" spans="1:5" x14ac:dyDescent="0.25">
      <c r="A692" t="s">
        <v>1092</v>
      </c>
      <c r="B692" t="s">
        <v>423</v>
      </c>
      <c r="C692" t="s">
        <v>179</v>
      </c>
      <c r="D692">
        <v>14</v>
      </c>
      <c r="E692" t="s">
        <v>180</v>
      </c>
    </row>
    <row r="693" spans="1:5" x14ac:dyDescent="0.25">
      <c r="A693" t="s">
        <v>1093</v>
      </c>
      <c r="B693" t="s">
        <v>513</v>
      </c>
      <c r="C693" t="s">
        <v>179</v>
      </c>
      <c r="D693">
        <v>5</v>
      </c>
      <c r="E693" t="s">
        <v>180</v>
      </c>
    </row>
    <row r="694" spans="1:5" x14ac:dyDescent="0.25">
      <c r="A694" t="s">
        <v>1094</v>
      </c>
      <c r="B694" t="s">
        <v>643</v>
      </c>
      <c r="C694" t="s">
        <v>179</v>
      </c>
      <c r="D694">
        <v>12</v>
      </c>
      <c r="E694" t="s">
        <v>199</v>
      </c>
    </row>
    <row r="695" spans="1:5" x14ac:dyDescent="0.25">
      <c r="A695" t="s">
        <v>1095</v>
      </c>
      <c r="B695" t="s">
        <v>396</v>
      </c>
      <c r="C695" t="s">
        <v>191</v>
      </c>
      <c r="D695">
        <v>9</v>
      </c>
      <c r="E695" t="s">
        <v>180</v>
      </c>
    </row>
    <row r="696" spans="1:5" x14ac:dyDescent="0.25">
      <c r="A696" t="s">
        <v>1096</v>
      </c>
      <c r="B696" t="s">
        <v>233</v>
      </c>
      <c r="C696" t="s">
        <v>191</v>
      </c>
      <c r="D696">
        <v>1</v>
      </c>
      <c r="E696" t="s">
        <v>180</v>
      </c>
    </row>
    <row r="697" spans="1:5" x14ac:dyDescent="0.25">
      <c r="A697" t="s">
        <v>1097</v>
      </c>
      <c r="B697" t="s">
        <v>1098</v>
      </c>
      <c r="C697" t="s">
        <v>179</v>
      </c>
      <c r="D697">
        <v>5</v>
      </c>
      <c r="E697" t="s">
        <v>183</v>
      </c>
    </row>
    <row r="698" spans="1:5" x14ac:dyDescent="0.25">
      <c r="A698" t="s">
        <v>1099</v>
      </c>
      <c r="B698" t="s">
        <v>842</v>
      </c>
      <c r="C698" t="s">
        <v>179</v>
      </c>
      <c r="D698">
        <v>8</v>
      </c>
      <c r="E698" t="s">
        <v>180</v>
      </c>
    </row>
    <row r="699" spans="1:5" x14ac:dyDescent="0.25">
      <c r="A699" t="s">
        <v>1100</v>
      </c>
      <c r="B699" t="s">
        <v>201</v>
      </c>
      <c r="C699" t="s">
        <v>191</v>
      </c>
      <c r="D699">
        <v>14</v>
      </c>
      <c r="E699" t="s">
        <v>199</v>
      </c>
    </row>
    <row r="700" spans="1:5" x14ac:dyDescent="0.25">
      <c r="A700" t="s">
        <v>1101</v>
      </c>
      <c r="B700" t="s">
        <v>1102</v>
      </c>
      <c r="C700" t="s">
        <v>179</v>
      </c>
      <c r="D700">
        <v>4</v>
      </c>
      <c r="E700" t="s">
        <v>199</v>
      </c>
    </row>
    <row r="701" spans="1:5" x14ac:dyDescent="0.25">
      <c r="A701" t="s">
        <v>1103</v>
      </c>
      <c r="B701" t="s">
        <v>1104</v>
      </c>
      <c r="C701" t="s">
        <v>179</v>
      </c>
      <c r="D701">
        <v>9</v>
      </c>
      <c r="E701" t="s">
        <v>199</v>
      </c>
    </row>
    <row r="702" spans="1:5" x14ac:dyDescent="0.25">
      <c r="A702" t="s">
        <v>1105</v>
      </c>
      <c r="B702" t="s">
        <v>510</v>
      </c>
      <c r="C702" t="s">
        <v>179</v>
      </c>
      <c r="D702">
        <v>10</v>
      </c>
      <c r="E702" t="s">
        <v>199</v>
      </c>
    </row>
    <row r="703" spans="1:5" x14ac:dyDescent="0.25">
      <c r="A703" t="s">
        <v>1106</v>
      </c>
      <c r="B703" t="s">
        <v>629</v>
      </c>
      <c r="C703" t="s">
        <v>179</v>
      </c>
      <c r="D703">
        <v>13</v>
      </c>
      <c r="E703" t="s">
        <v>183</v>
      </c>
    </row>
    <row r="704" spans="1:5" x14ac:dyDescent="0.25">
      <c r="A704" t="s">
        <v>1107</v>
      </c>
      <c r="B704" t="s">
        <v>229</v>
      </c>
      <c r="C704" t="s">
        <v>219</v>
      </c>
      <c r="D704">
        <v>5</v>
      </c>
      <c r="E704" t="s">
        <v>183</v>
      </c>
    </row>
    <row r="705" spans="1:5" x14ac:dyDescent="0.25">
      <c r="A705" t="s">
        <v>1108</v>
      </c>
      <c r="B705" t="s">
        <v>458</v>
      </c>
      <c r="C705" t="s">
        <v>191</v>
      </c>
      <c r="D705">
        <v>4</v>
      </c>
      <c r="E705" t="s">
        <v>183</v>
      </c>
    </row>
    <row r="706" spans="1:5" x14ac:dyDescent="0.25">
      <c r="A706" t="s">
        <v>1109</v>
      </c>
      <c r="B706" t="s">
        <v>432</v>
      </c>
      <c r="C706" t="s">
        <v>179</v>
      </c>
      <c r="D706">
        <v>9</v>
      </c>
      <c r="E706" t="s">
        <v>180</v>
      </c>
    </row>
    <row r="707" spans="1:5" x14ac:dyDescent="0.25">
      <c r="A707" t="s">
        <v>1110</v>
      </c>
      <c r="B707" t="s">
        <v>585</v>
      </c>
      <c r="C707" t="s">
        <v>179</v>
      </c>
      <c r="D707">
        <v>3</v>
      </c>
      <c r="E707" t="s">
        <v>199</v>
      </c>
    </row>
    <row r="708" spans="1:5" x14ac:dyDescent="0.25">
      <c r="A708" t="s">
        <v>1111</v>
      </c>
      <c r="B708" t="s">
        <v>341</v>
      </c>
      <c r="C708" t="s">
        <v>191</v>
      </c>
      <c r="D708">
        <v>11</v>
      </c>
      <c r="E708" t="s">
        <v>199</v>
      </c>
    </row>
    <row r="709" spans="1:5" x14ac:dyDescent="0.25">
      <c r="A709" t="s">
        <v>1112</v>
      </c>
      <c r="B709" t="s">
        <v>656</v>
      </c>
      <c r="C709" t="s">
        <v>191</v>
      </c>
      <c r="D709">
        <v>7</v>
      </c>
      <c r="E709" t="s">
        <v>183</v>
      </c>
    </row>
    <row r="710" spans="1:5" x14ac:dyDescent="0.25">
      <c r="A710" t="s">
        <v>1113</v>
      </c>
      <c r="B710" t="s">
        <v>818</v>
      </c>
      <c r="C710" t="s">
        <v>219</v>
      </c>
      <c r="D710">
        <v>2</v>
      </c>
      <c r="E710" t="s">
        <v>199</v>
      </c>
    </row>
    <row r="711" spans="1:5" x14ac:dyDescent="0.25">
      <c r="A711" t="s">
        <v>1114</v>
      </c>
      <c r="B711" t="s">
        <v>394</v>
      </c>
      <c r="C711" t="s">
        <v>179</v>
      </c>
      <c r="D711">
        <v>7</v>
      </c>
      <c r="E711" t="s">
        <v>199</v>
      </c>
    </row>
    <row r="712" spans="1:5" x14ac:dyDescent="0.25">
      <c r="A712" t="s">
        <v>1115</v>
      </c>
      <c r="B712" t="s">
        <v>724</v>
      </c>
      <c r="C712" t="s">
        <v>191</v>
      </c>
      <c r="D712">
        <v>6</v>
      </c>
      <c r="E712" t="s">
        <v>180</v>
      </c>
    </row>
    <row r="713" spans="1:5" x14ac:dyDescent="0.25">
      <c r="A713" t="s">
        <v>1116</v>
      </c>
      <c r="B713" t="s">
        <v>428</v>
      </c>
      <c r="C713" t="s">
        <v>179</v>
      </c>
      <c r="D713">
        <v>9</v>
      </c>
      <c r="E713" t="s">
        <v>183</v>
      </c>
    </row>
    <row r="714" spans="1:5" x14ac:dyDescent="0.25">
      <c r="A714" t="s">
        <v>1117</v>
      </c>
      <c r="B714" t="s">
        <v>451</v>
      </c>
      <c r="C714" t="s">
        <v>191</v>
      </c>
      <c r="D714">
        <v>10</v>
      </c>
      <c r="E714" t="s">
        <v>183</v>
      </c>
    </row>
    <row r="715" spans="1:5" x14ac:dyDescent="0.25">
      <c r="A715" t="s">
        <v>1118</v>
      </c>
      <c r="B715" t="s">
        <v>1032</v>
      </c>
      <c r="C715" t="s">
        <v>179</v>
      </c>
      <c r="D715">
        <v>8</v>
      </c>
      <c r="E715" t="s">
        <v>183</v>
      </c>
    </row>
    <row r="716" spans="1:5" x14ac:dyDescent="0.25">
      <c r="A716" t="s">
        <v>1119</v>
      </c>
      <c r="B716" t="s">
        <v>412</v>
      </c>
      <c r="C716" t="s">
        <v>191</v>
      </c>
      <c r="D716">
        <v>1</v>
      </c>
      <c r="E716" t="s">
        <v>180</v>
      </c>
    </row>
    <row r="717" spans="1:5" x14ac:dyDescent="0.25">
      <c r="A717" t="s">
        <v>1120</v>
      </c>
      <c r="B717" t="s">
        <v>289</v>
      </c>
      <c r="C717" t="s">
        <v>179</v>
      </c>
      <c r="D717">
        <v>13</v>
      </c>
      <c r="E717" t="s">
        <v>188</v>
      </c>
    </row>
    <row r="718" spans="1:5" x14ac:dyDescent="0.25">
      <c r="A718" t="s">
        <v>1121</v>
      </c>
      <c r="B718" t="s">
        <v>569</v>
      </c>
      <c r="C718" t="s">
        <v>179</v>
      </c>
      <c r="D718">
        <v>11</v>
      </c>
      <c r="E718" t="s">
        <v>199</v>
      </c>
    </row>
    <row r="719" spans="1:5" x14ac:dyDescent="0.25">
      <c r="A719" t="s">
        <v>1122</v>
      </c>
      <c r="B719" t="s">
        <v>493</v>
      </c>
      <c r="C719" t="s">
        <v>191</v>
      </c>
      <c r="D719">
        <v>14</v>
      </c>
      <c r="E719" t="s">
        <v>180</v>
      </c>
    </row>
    <row r="720" spans="1:5" x14ac:dyDescent="0.25">
      <c r="A720" t="s">
        <v>1123</v>
      </c>
      <c r="B720" t="s">
        <v>313</v>
      </c>
      <c r="C720" t="s">
        <v>179</v>
      </c>
      <c r="D720">
        <v>11</v>
      </c>
      <c r="E720" t="s">
        <v>199</v>
      </c>
    </row>
    <row r="721" spans="1:5" x14ac:dyDescent="0.25">
      <c r="A721" t="s">
        <v>1124</v>
      </c>
      <c r="B721" t="s">
        <v>776</v>
      </c>
      <c r="C721" t="s">
        <v>179</v>
      </c>
      <c r="D721">
        <v>3</v>
      </c>
      <c r="E721" t="s">
        <v>199</v>
      </c>
    </row>
    <row r="722" spans="1:5" x14ac:dyDescent="0.25">
      <c r="A722" t="s">
        <v>1125</v>
      </c>
      <c r="B722" t="s">
        <v>706</v>
      </c>
      <c r="C722" t="s">
        <v>179</v>
      </c>
      <c r="D722">
        <v>2</v>
      </c>
      <c r="E722" t="s">
        <v>199</v>
      </c>
    </row>
    <row r="723" spans="1:5" x14ac:dyDescent="0.25">
      <c r="A723" t="s">
        <v>1126</v>
      </c>
      <c r="B723" t="s">
        <v>618</v>
      </c>
      <c r="C723" t="s">
        <v>191</v>
      </c>
      <c r="D723">
        <v>14</v>
      </c>
      <c r="E723" t="s">
        <v>199</v>
      </c>
    </row>
    <row r="724" spans="1:5" x14ac:dyDescent="0.25">
      <c r="A724" t="s">
        <v>1127</v>
      </c>
      <c r="B724" t="s">
        <v>187</v>
      </c>
      <c r="C724" t="s">
        <v>196</v>
      </c>
      <c r="D724">
        <v>8</v>
      </c>
      <c r="E724" t="s">
        <v>199</v>
      </c>
    </row>
    <row r="725" spans="1:5" x14ac:dyDescent="0.25">
      <c r="A725" t="s">
        <v>1128</v>
      </c>
      <c r="B725" t="s">
        <v>520</v>
      </c>
      <c r="C725" t="s">
        <v>179</v>
      </c>
      <c r="D725">
        <v>2</v>
      </c>
      <c r="E725" t="s">
        <v>199</v>
      </c>
    </row>
    <row r="726" spans="1:5" x14ac:dyDescent="0.25">
      <c r="A726" t="s">
        <v>1129</v>
      </c>
      <c r="B726" t="s">
        <v>530</v>
      </c>
      <c r="C726" t="s">
        <v>219</v>
      </c>
      <c r="D726">
        <v>11</v>
      </c>
      <c r="E726" t="s">
        <v>199</v>
      </c>
    </row>
    <row r="727" spans="1:5" x14ac:dyDescent="0.25">
      <c r="A727" t="s">
        <v>1130</v>
      </c>
      <c r="B727" t="s">
        <v>757</v>
      </c>
      <c r="C727" t="s">
        <v>179</v>
      </c>
      <c r="D727">
        <v>7</v>
      </c>
      <c r="E727" t="s">
        <v>199</v>
      </c>
    </row>
    <row r="728" spans="1:5" x14ac:dyDescent="0.25">
      <c r="A728" t="s">
        <v>1131</v>
      </c>
      <c r="B728" t="s">
        <v>343</v>
      </c>
      <c r="C728" t="s">
        <v>179</v>
      </c>
      <c r="D728">
        <v>2</v>
      </c>
      <c r="E728" t="s">
        <v>180</v>
      </c>
    </row>
    <row r="729" spans="1:5" x14ac:dyDescent="0.25">
      <c r="A729" t="s">
        <v>1132</v>
      </c>
      <c r="B729" t="s">
        <v>789</v>
      </c>
      <c r="C729" t="s">
        <v>219</v>
      </c>
      <c r="D729">
        <v>4</v>
      </c>
      <c r="E729" t="s">
        <v>188</v>
      </c>
    </row>
    <row r="730" spans="1:5" x14ac:dyDescent="0.25">
      <c r="A730" t="s">
        <v>1133</v>
      </c>
      <c r="B730" t="s">
        <v>460</v>
      </c>
      <c r="C730" t="s">
        <v>219</v>
      </c>
      <c r="D730">
        <v>14</v>
      </c>
      <c r="E730" t="s">
        <v>183</v>
      </c>
    </row>
    <row r="731" spans="1:5" x14ac:dyDescent="0.25">
      <c r="A731" t="s">
        <v>1134</v>
      </c>
      <c r="B731" t="s">
        <v>800</v>
      </c>
      <c r="C731" t="s">
        <v>179</v>
      </c>
      <c r="D731">
        <v>5</v>
      </c>
      <c r="E731" t="s">
        <v>180</v>
      </c>
    </row>
    <row r="732" spans="1:5" x14ac:dyDescent="0.25">
      <c r="A732" t="s">
        <v>1135</v>
      </c>
      <c r="B732" t="s">
        <v>481</v>
      </c>
      <c r="C732" t="s">
        <v>179</v>
      </c>
      <c r="D732">
        <v>1</v>
      </c>
      <c r="E732" t="s">
        <v>183</v>
      </c>
    </row>
    <row r="733" spans="1:5" x14ac:dyDescent="0.25">
      <c r="A733" t="s">
        <v>1136</v>
      </c>
      <c r="B733" t="s">
        <v>195</v>
      </c>
      <c r="C733" t="s">
        <v>179</v>
      </c>
      <c r="D733">
        <v>4</v>
      </c>
      <c r="E733" t="s">
        <v>180</v>
      </c>
    </row>
    <row r="734" spans="1:5" x14ac:dyDescent="0.25">
      <c r="A734" t="s">
        <v>1137</v>
      </c>
      <c r="B734" t="s">
        <v>656</v>
      </c>
      <c r="C734" t="s">
        <v>191</v>
      </c>
      <c r="D734">
        <v>10</v>
      </c>
      <c r="E734" t="s">
        <v>199</v>
      </c>
    </row>
    <row r="735" spans="1:5" x14ac:dyDescent="0.25">
      <c r="A735" t="s">
        <v>1138</v>
      </c>
      <c r="B735" t="s">
        <v>1023</v>
      </c>
      <c r="C735" t="s">
        <v>191</v>
      </c>
      <c r="D735">
        <v>14</v>
      </c>
      <c r="E735" t="s">
        <v>188</v>
      </c>
    </row>
    <row r="736" spans="1:5" x14ac:dyDescent="0.25">
      <c r="A736" t="s">
        <v>1139</v>
      </c>
      <c r="B736" t="s">
        <v>291</v>
      </c>
      <c r="C736" t="s">
        <v>219</v>
      </c>
      <c r="D736">
        <v>8</v>
      </c>
      <c r="E736" t="s">
        <v>188</v>
      </c>
    </row>
    <row r="737" spans="1:5" x14ac:dyDescent="0.25">
      <c r="A737" t="s">
        <v>1140</v>
      </c>
      <c r="B737" t="s">
        <v>769</v>
      </c>
      <c r="C737" t="s">
        <v>179</v>
      </c>
      <c r="D737">
        <v>8</v>
      </c>
      <c r="E737" t="s">
        <v>199</v>
      </c>
    </row>
    <row r="738" spans="1:5" x14ac:dyDescent="0.25">
      <c r="A738" t="s">
        <v>1141</v>
      </c>
      <c r="B738" t="s">
        <v>345</v>
      </c>
      <c r="C738" t="s">
        <v>179</v>
      </c>
      <c r="D738">
        <v>1</v>
      </c>
      <c r="E738" t="s">
        <v>188</v>
      </c>
    </row>
    <row r="739" spans="1:5" x14ac:dyDescent="0.25">
      <c r="A739" t="s">
        <v>1142</v>
      </c>
      <c r="B739" t="s">
        <v>769</v>
      </c>
      <c r="C739" t="s">
        <v>191</v>
      </c>
      <c r="D739">
        <v>14</v>
      </c>
      <c r="E739" t="s">
        <v>183</v>
      </c>
    </row>
    <row r="740" spans="1:5" x14ac:dyDescent="0.25">
      <c r="A740" t="s">
        <v>1143</v>
      </c>
      <c r="B740" t="s">
        <v>369</v>
      </c>
      <c r="C740" t="s">
        <v>191</v>
      </c>
      <c r="D740">
        <v>4</v>
      </c>
      <c r="E740" t="s">
        <v>180</v>
      </c>
    </row>
    <row r="741" spans="1:5" x14ac:dyDescent="0.25">
      <c r="A741" t="s">
        <v>1144</v>
      </c>
      <c r="B741" t="s">
        <v>518</v>
      </c>
      <c r="C741" t="s">
        <v>191</v>
      </c>
      <c r="D741">
        <v>3</v>
      </c>
      <c r="E741" t="s">
        <v>183</v>
      </c>
    </row>
    <row r="742" spans="1:5" x14ac:dyDescent="0.25">
      <c r="A742" t="s">
        <v>1145</v>
      </c>
      <c r="B742" t="s">
        <v>441</v>
      </c>
      <c r="C742" t="s">
        <v>179</v>
      </c>
      <c r="D742">
        <v>1</v>
      </c>
      <c r="E742" t="s">
        <v>234</v>
      </c>
    </row>
    <row r="743" spans="1:5" x14ac:dyDescent="0.25">
      <c r="A743" t="s">
        <v>1146</v>
      </c>
      <c r="B743" t="s">
        <v>178</v>
      </c>
      <c r="C743" t="s">
        <v>219</v>
      </c>
      <c r="D743">
        <v>12</v>
      </c>
      <c r="E743" t="s">
        <v>234</v>
      </c>
    </row>
    <row r="744" spans="1:5" x14ac:dyDescent="0.25">
      <c r="A744" t="s">
        <v>1147</v>
      </c>
      <c r="B744" t="s">
        <v>454</v>
      </c>
      <c r="C744" t="s">
        <v>179</v>
      </c>
      <c r="D744">
        <v>11</v>
      </c>
      <c r="E744" t="s">
        <v>183</v>
      </c>
    </row>
    <row r="745" spans="1:5" x14ac:dyDescent="0.25">
      <c r="A745" t="s">
        <v>1148</v>
      </c>
      <c r="B745" t="s">
        <v>198</v>
      </c>
      <c r="C745" t="s">
        <v>179</v>
      </c>
      <c r="D745">
        <v>2</v>
      </c>
      <c r="E745" t="s">
        <v>199</v>
      </c>
    </row>
    <row r="746" spans="1:5" x14ac:dyDescent="0.25">
      <c r="A746" t="s">
        <v>1149</v>
      </c>
      <c r="B746" t="s">
        <v>244</v>
      </c>
      <c r="C746" t="s">
        <v>179</v>
      </c>
      <c r="D746">
        <v>9</v>
      </c>
      <c r="E746" t="s">
        <v>183</v>
      </c>
    </row>
    <row r="747" spans="1:5" x14ac:dyDescent="0.25">
      <c r="A747" t="s">
        <v>1150</v>
      </c>
      <c r="B747" t="s">
        <v>872</v>
      </c>
      <c r="C747" t="s">
        <v>179</v>
      </c>
      <c r="D747">
        <v>10</v>
      </c>
      <c r="E747" t="s">
        <v>199</v>
      </c>
    </row>
    <row r="748" spans="1:5" x14ac:dyDescent="0.25">
      <c r="A748" t="s">
        <v>1151</v>
      </c>
      <c r="B748" t="s">
        <v>623</v>
      </c>
      <c r="C748" t="s">
        <v>179</v>
      </c>
      <c r="D748">
        <v>14</v>
      </c>
      <c r="E748" t="s">
        <v>199</v>
      </c>
    </row>
    <row r="749" spans="1:5" x14ac:dyDescent="0.25">
      <c r="A749" t="s">
        <v>1152</v>
      </c>
      <c r="B749" t="s">
        <v>706</v>
      </c>
      <c r="C749" t="s">
        <v>179</v>
      </c>
      <c r="D749">
        <v>6</v>
      </c>
      <c r="E749" t="s">
        <v>183</v>
      </c>
    </row>
    <row r="750" spans="1:5" x14ac:dyDescent="0.25">
      <c r="A750" t="s">
        <v>1153</v>
      </c>
      <c r="B750" t="s">
        <v>182</v>
      </c>
      <c r="C750" t="s">
        <v>191</v>
      </c>
      <c r="D750">
        <v>10</v>
      </c>
      <c r="E750" t="s">
        <v>183</v>
      </c>
    </row>
    <row r="751" spans="1:5" x14ac:dyDescent="0.25">
      <c r="A751" t="s">
        <v>1154</v>
      </c>
      <c r="B751" t="s">
        <v>311</v>
      </c>
      <c r="C751" t="s">
        <v>179</v>
      </c>
      <c r="D751">
        <v>5</v>
      </c>
      <c r="E751" t="s">
        <v>234</v>
      </c>
    </row>
    <row r="752" spans="1:5" x14ac:dyDescent="0.25">
      <c r="A752" t="s">
        <v>1155</v>
      </c>
      <c r="B752" t="s">
        <v>456</v>
      </c>
      <c r="C752" t="s">
        <v>191</v>
      </c>
      <c r="D752">
        <v>9</v>
      </c>
      <c r="E752" t="s">
        <v>199</v>
      </c>
    </row>
    <row r="753" spans="1:5" x14ac:dyDescent="0.25">
      <c r="A753" t="s">
        <v>1156</v>
      </c>
      <c r="B753" t="s">
        <v>510</v>
      </c>
      <c r="C753" t="s">
        <v>179</v>
      </c>
      <c r="D753">
        <v>8</v>
      </c>
      <c r="E753" t="s">
        <v>199</v>
      </c>
    </row>
    <row r="754" spans="1:5" x14ac:dyDescent="0.25">
      <c r="A754" t="s">
        <v>1157</v>
      </c>
      <c r="B754" t="s">
        <v>583</v>
      </c>
      <c r="C754" t="s">
        <v>179</v>
      </c>
      <c r="D754">
        <v>12</v>
      </c>
      <c r="E754" t="s">
        <v>183</v>
      </c>
    </row>
    <row r="755" spans="1:5" x14ac:dyDescent="0.25">
      <c r="A755" t="s">
        <v>1158</v>
      </c>
      <c r="B755" t="s">
        <v>637</v>
      </c>
      <c r="C755" t="s">
        <v>179</v>
      </c>
      <c r="D755">
        <v>5</v>
      </c>
      <c r="E755" t="s">
        <v>180</v>
      </c>
    </row>
    <row r="756" spans="1:5" x14ac:dyDescent="0.25">
      <c r="A756" t="s">
        <v>1159</v>
      </c>
      <c r="B756" t="s">
        <v>490</v>
      </c>
      <c r="C756" t="s">
        <v>179</v>
      </c>
      <c r="D756">
        <v>14</v>
      </c>
      <c r="E756" t="s">
        <v>183</v>
      </c>
    </row>
    <row r="757" spans="1:5" x14ac:dyDescent="0.25">
      <c r="A757" t="s">
        <v>1160</v>
      </c>
      <c r="B757" t="s">
        <v>244</v>
      </c>
      <c r="C757" t="s">
        <v>179</v>
      </c>
      <c r="D757">
        <v>4</v>
      </c>
      <c r="E757" t="s">
        <v>183</v>
      </c>
    </row>
    <row r="758" spans="1:5" x14ac:dyDescent="0.25">
      <c r="A758" t="s">
        <v>1161</v>
      </c>
      <c r="B758" t="s">
        <v>456</v>
      </c>
      <c r="C758" t="s">
        <v>179</v>
      </c>
      <c r="D758">
        <v>12</v>
      </c>
      <c r="E758" t="s">
        <v>188</v>
      </c>
    </row>
    <row r="759" spans="1:5" x14ac:dyDescent="0.25">
      <c r="A759" t="s">
        <v>1162</v>
      </c>
      <c r="B759" t="s">
        <v>412</v>
      </c>
      <c r="C759" t="s">
        <v>179</v>
      </c>
      <c r="D759">
        <v>8</v>
      </c>
      <c r="E759" t="s">
        <v>183</v>
      </c>
    </row>
    <row r="760" spans="1:5" x14ac:dyDescent="0.25">
      <c r="A760" t="s">
        <v>1163</v>
      </c>
      <c r="B760" t="s">
        <v>334</v>
      </c>
      <c r="C760" t="s">
        <v>191</v>
      </c>
      <c r="D760">
        <v>11</v>
      </c>
      <c r="E760" t="s">
        <v>199</v>
      </c>
    </row>
    <row r="761" spans="1:5" x14ac:dyDescent="0.25">
      <c r="A761" t="s">
        <v>1164</v>
      </c>
      <c r="B761" t="s">
        <v>195</v>
      </c>
      <c r="C761" t="s">
        <v>179</v>
      </c>
      <c r="D761">
        <v>5</v>
      </c>
      <c r="E761" t="s">
        <v>188</v>
      </c>
    </row>
    <row r="762" spans="1:5" x14ac:dyDescent="0.25">
      <c r="A762" t="s">
        <v>1165</v>
      </c>
      <c r="B762" t="s">
        <v>532</v>
      </c>
      <c r="C762" t="s">
        <v>196</v>
      </c>
      <c r="D762">
        <v>7</v>
      </c>
      <c r="E762" t="s">
        <v>199</v>
      </c>
    </row>
    <row r="763" spans="1:5" x14ac:dyDescent="0.25">
      <c r="A763" t="s">
        <v>1166</v>
      </c>
      <c r="B763" t="s">
        <v>1015</v>
      </c>
      <c r="C763" t="s">
        <v>191</v>
      </c>
      <c r="D763">
        <v>12</v>
      </c>
      <c r="E763" t="s">
        <v>183</v>
      </c>
    </row>
    <row r="764" spans="1:5" x14ac:dyDescent="0.25">
      <c r="A764" t="s">
        <v>1167</v>
      </c>
      <c r="B764" t="s">
        <v>187</v>
      </c>
      <c r="C764" t="s">
        <v>179</v>
      </c>
      <c r="D764">
        <v>11</v>
      </c>
      <c r="E764" t="s">
        <v>199</v>
      </c>
    </row>
    <row r="765" spans="1:5" x14ac:dyDescent="0.25">
      <c r="A765" t="s">
        <v>1168</v>
      </c>
      <c r="B765" t="s">
        <v>1023</v>
      </c>
      <c r="C765" t="s">
        <v>196</v>
      </c>
      <c r="D765">
        <v>3</v>
      </c>
      <c r="E765" t="s">
        <v>199</v>
      </c>
    </row>
    <row r="766" spans="1:5" x14ac:dyDescent="0.25">
      <c r="A766" t="s">
        <v>1169</v>
      </c>
      <c r="B766" t="s">
        <v>724</v>
      </c>
      <c r="C766" t="s">
        <v>179</v>
      </c>
      <c r="D766">
        <v>12</v>
      </c>
      <c r="E766" t="s">
        <v>183</v>
      </c>
    </row>
    <row r="767" spans="1:5" x14ac:dyDescent="0.25">
      <c r="A767" t="s">
        <v>1170</v>
      </c>
      <c r="B767" t="s">
        <v>583</v>
      </c>
      <c r="C767" t="s">
        <v>196</v>
      </c>
      <c r="D767">
        <v>11</v>
      </c>
      <c r="E767" t="s">
        <v>199</v>
      </c>
    </row>
    <row r="768" spans="1:5" x14ac:dyDescent="0.25">
      <c r="A768" t="s">
        <v>1171</v>
      </c>
      <c r="B768" t="s">
        <v>178</v>
      </c>
      <c r="C768" t="s">
        <v>179</v>
      </c>
      <c r="D768">
        <v>9</v>
      </c>
      <c r="E768" t="s">
        <v>199</v>
      </c>
    </row>
    <row r="769" spans="1:5" x14ac:dyDescent="0.25">
      <c r="A769" t="s">
        <v>1172</v>
      </c>
      <c r="B769" t="s">
        <v>764</v>
      </c>
      <c r="C769" t="s">
        <v>191</v>
      </c>
      <c r="D769">
        <v>1</v>
      </c>
      <c r="E769" t="s">
        <v>180</v>
      </c>
    </row>
    <row r="770" spans="1:5" x14ac:dyDescent="0.25">
      <c r="A770" t="s">
        <v>1173</v>
      </c>
      <c r="B770" t="s">
        <v>674</v>
      </c>
      <c r="C770" t="s">
        <v>191</v>
      </c>
      <c r="D770">
        <v>13</v>
      </c>
      <c r="E770" t="s">
        <v>199</v>
      </c>
    </row>
    <row r="771" spans="1:5" x14ac:dyDescent="0.25">
      <c r="A771" t="s">
        <v>1174</v>
      </c>
      <c r="B771" t="s">
        <v>248</v>
      </c>
      <c r="C771" t="s">
        <v>179</v>
      </c>
      <c r="D771">
        <v>4</v>
      </c>
      <c r="E771" t="s">
        <v>180</v>
      </c>
    </row>
    <row r="772" spans="1:5" x14ac:dyDescent="0.25">
      <c r="A772" t="s">
        <v>1175</v>
      </c>
      <c r="B772" t="s">
        <v>301</v>
      </c>
      <c r="C772" t="s">
        <v>191</v>
      </c>
      <c r="D772">
        <v>4</v>
      </c>
      <c r="E772" t="s">
        <v>180</v>
      </c>
    </row>
    <row r="773" spans="1:5" x14ac:dyDescent="0.25">
      <c r="A773" t="s">
        <v>1176</v>
      </c>
      <c r="B773" t="s">
        <v>593</v>
      </c>
      <c r="C773" t="s">
        <v>179</v>
      </c>
      <c r="D773">
        <v>5</v>
      </c>
      <c r="E773" t="s">
        <v>234</v>
      </c>
    </row>
    <row r="774" spans="1:5" x14ac:dyDescent="0.25">
      <c r="A774" t="s">
        <v>1177</v>
      </c>
      <c r="B774" t="s">
        <v>538</v>
      </c>
      <c r="C774" t="s">
        <v>179</v>
      </c>
      <c r="D774">
        <v>4</v>
      </c>
      <c r="E774" t="s">
        <v>183</v>
      </c>
    </row>
    <row r="775" spans="1:5" x14ac:dyDescent="0.25">
      <c r="A775" t="s">
        <v>1178</v>
      </c>
      <c r="B775" t="s">
        <v>406</v>
      </c>
      <c r="C775" t="s">
        <v>191</v>
      </c>
      <c r="D775">
        <v>12</v>
      </c>
      <c r="E775" t="s">
        <v>188</v>
      </c>
    </row>
    <row r="776" spans="1:5" x14ac:dyDescent="0.25">
      <c r="A776" t="s">
        <v>1179</v>
      </c>
      <c r="B776" t="s">
        <v>404</v>
      </c>
      <c r="C776" t="s">
        <v>179</v>
      </c>
      <c r="D776">
        <v>12</v>
      </c>
      <c r="E776" t="s">
        <v>180</v>
      </c>
    </row>
    <row r="777" spans="1:5" x14ac:dyDescent="0.25">
      <c r="A777" t="s">
        <v>1180</v>
      </c>
      <c r="B777" t="s">
        <v>739</v>
      </c>
      <c r="C777" t="s">
        <v>219</v>
      </c>
      <c r="D777">
        <v>1</v>
      </c>
      <c r="E777" t="s">
        <v>180</v>
      </c>
    </row>
    <row r="778" spans="1:5" x14ac:dyDescent="0.25">
      <c r="A778" t="s">
        <v>1181</v>
      </c>
      <c r="B778" t="s">
        <v>575</v>
      </c>
      <c r="C778" t="s">
        <v>191</v>
      </c>
      <c r="D778">
        <v>3</v>
      </c>
      <c r="E778" t="s">
        <v>199</v>
      </c>
    </row>
    <row r="779" spans="1:5" x14ac:dyDescent="0.25">
      <c r="A779" t="s">
        <v>1182</v>
      </c>
      <c r="B779" t="s">
        <v>695</v>
      </c>
      <c r="C779" t="s">
        <v>179</v>
      </c>
      <c r="D779">
        <v>5</v>
      </c>
      <c r="E779" t="s">
        <v>199</v>
      </c>
    </row>
    <row r="780" spans="1:5" x14ac:dyDescent="0.25">
      <c r="A780" t="s">
        <v>1183</v>
      </c>
      <c r="B780" t="s">
        <v>284</v>
      </c>
      <c r="C780" t="s">
        <v>219</v>
      </c>
      <c r="D780">
        <v>10</v>
      </c>
      <c r="E780" t="s">
        <v>234</v>
      </c>
    </row>
    <row r="781" spans="1:5" x14ac:dyDescent="0.25">
      <c r="A781" t="s">
        <v>1184</v>
      </c>
      <c r="B781" t="s">
        <v>803</v>
      </c>
      <c r="C781" t="s">
        <v>179</v>
      </c>
      <c r="D781">
        <v>9</v>
      </c>
      <c r="E781" t="s">
        <v>183</v>
      </c>
    </row>
    <row r="782" spans="1:5" x14ac:dyDescent="0.25">
      <c r="A782" t="s">
        <v>1185</v>
      </c>
      <c r="B782" t="s">
        <v>656</v>
      </c>
      <c r="C782" t="s">
        <v>179</v>
      </c>
      <c r="D782">
        <v>4</v>
      </c>
      <c r="E782" t="s">
        <v>199</v>
      </c>
    </row>
    <row r="783" spans="1:5" x14ac:dyDescent="0.25">
      <c r="A783" t="s">
        <v>1186</v>
      </c>
      <c r="B783" t="s">
        <v>400</v>
      </c>
      <c r="C783" t="s">
        <v>191</v>
      </c>
      <c r="D783">
        <v>11</v>
      </c>
      <c r="E783" t="s">
        <v>199</v>
      </c>
    </row>
    <row r="784" spans="1:5" x14ac:dyDescent="0.25">
      <c r="A784" t="s">
        <v>1187</v>
      </c>
      <c r="B784" t="s">
        <v>513</v>
      </c>
      <c r="C784" t="s">
        <v>191</v>
      </c>
      <c r="D784">
        <v>10</v>
      </c>
      <c r="E784" t="s">
        <v>199</v>
      </c>
    </row>
    <row r="785" spans="1:5" x14ac:dyDescent="0.25">
      <c r="A785" t="s">
        <v>1188</v>
      </c>
      <c r="B785" t="s">
        <v>656</v>
      </c>
      <c r="C785" t="s">
        <v>196</v>
      </c>
      <c r="D785">
        <v>6</v>
      </c>
      <c r="E785" t="s">
        <v>183</v>
      </c>
    </row>
    <row r="786" spans="1:5" x14ac:dyDescent="0.25">
      <c r="A786" t="s">
        <v>1189</v>
      </c>
      <c r="B786" t="s">
        <v>187</v>
      </c>
      <c r="C786" t="s">
        <v>179</v>
      </c>
      <c r="D786">
        <v>10</v>
      </c>
      <c r="E786" t="s">
        <v>199</v>
      </c>
    </row>
    <row r="787" spans="1:5" x14ac:dyDescent="0.25">
      <c r="A787" t="s">
        <v>1190</v>
      </c>
      <c r="B787" t="s">
        <v>611</v>
      </c>
      <c r="C787" t="s">
        <v>179</v>
      </c>
      <c r="D787">
        <v>4</v>
      </c>
      <c r="E787" t="s">
        <v>183</v>
      </c>
    </row>
    <row r="788" spans="1:5" x14ac:dyDescent="0.25">
      <c r="A788" t="s">
        <v>1191</v>
      </c>
      <c r="B788" t="s">
        <v>419</v>
      </c>
      <c r="C788" t="s">
        <v>191</v>
      </c>
      <c r="D788">
        <v>4</v>
      </c>
      <c r="E788" t="s">
        <v>234</v>
      </c>
    </row>
    <row r="789" spans="1:5" x14ac:dyDescent="0.25">
      <c r="A789" t="s">
        <v>1192</v>
      </c>
      <c r="B789" t="s">
        <v>872</v>
      </c>
      <c r="C789" t="s">
        <v>179</v>
      </c>
      <c r="D789">
        <v>1</v>
      </c>
      <c r="E789" t="s">
        <v>199</v>
      </c>
    </row>
    <row r="790" spans="1:5" x14ac:dyDescent="0.25">
      <c r="A790" t="s">
        <v>1193</v>
      </c>
      <c r="B790" t="s">
        <v>301</v>
      </c>
      <c r="C790" t="s">
        <v>179</v>
      </c>
      <c r="D790">
        <v>5</v>
      </c>
      <c r="E790" t="s">
        <v>199</v>
      </c>
    </row>
    <row r="791" spans="1:5" x14ac:dyDescent="0.25">
      <c r="A791" t="s">
        <v>1194</v>
      </c>
      <c r="B791" t="s">
        <v>284</v>
      </c>
      <c r="C791" t="s">
        <v>191</v>
      </c>
      <c r="D791">
        <v>4</v>
      </c>
      <c r="E791" t="s">
        <v>183</v>
      </c>
    </row>
    <row r="792" spans="1:5" x14ac:dyDescent="0.25">
      <c r="A792" t="s">
        <v>1195</v>
      </c>
      <c r="B792" t="s">
        <v>437</v>
      </c>
      <c r="C792" t="s">
        <v>191</v>
      </c>
      <c r="D792">
        <v>6</v>
      </c>
      <c r="E792" t="s">
        <v>234</v>
      </c>
    </row>
    <row r="793" spans="1:5" x14ac:dyDescent="0.25">
      <c r="A793" t="s">
        <v>1196</v>
      </c>
      <c r="B793" t="s">
        <v>190</v>
      </c>
      <c r="C793" t="s">
        <v>191</v>
      </c>
      <c r="D793">
        <v>11</v>
      </c>
      <c r="E793" t="s">
        <v>180</v>
      </c>
    </row>
    <row r="794" spans="1:5" x14ac:dyDescent="0.25">
      <c r="A794" t="s">
        <v>1197</v>
      </c>
      <c r="B794" t="s">
        <v>227</v>
      </c>
      <c r="C794" t="s">
        <v>179</v>
      </c>
      <c r="D794">
        <v>5</v>
      </c>
      <c r="E794" t="s">
        <v>180</v>
      </c>
    </row>
    <row r="795" spans="1:5" x14ac:dyDescent="0.25">
      <c r="A795" t="s">
        <v>1198</v>
      </c>
      <c r="B795" t="s">
        <v>331</v>
      </c>
      <c r="C795" t="s">
        <v>179</v>
      </c>
      <c r="D795">
        <v>6</v>
      </c>
      <c r="E795" t="s">
        <v>199</v>
      </c>
    </row>
    <row r="796" spans="1:5" x14ac:dyDescent="0.25">
      <c r="A796" t="s">
        <v>1199</v>
      </c>
      <c r="B796" t="s">
        <v>255</v>
      </c>
      <c r="C796" t="s">
        <v>191</v>
      </c>
      <c r="D796">
        <v>13</v>
      </c>
      <c r="E796" t="s">
        <v>183</v>
      </c>
    </row>
    <row r="797" spans="1:5" x14ac:dyDescent="0.25">
      <c r="A797" t="s">
        <v>1200</v>
      </c>
      <c r="B797" t="s">
        <v>434</v>
      </c>
      <c r="C797" t="s">
        <v>179</v>
      </c>
      <c r="D797">
        <v>14</v>
      </c>
      <c r="E797" t="s">
        <v>199</v>
      </c>
    </row>
    <row r="798" spans="1:5" x14ac:dyDescent="0.25">
      <c r="A798" t="s">
        <v>1201</v>
      </c>
      <c r="B798" t="s">
        <v>520</v>
      </c>
      <c r="C798" t="s">
        <v>179</v>
      </c>
      <c r="D798">
        <v>10</v>
      </c>
      <c r="E798" t="s">
        <v>199</v>
      </c>
    </row>
    <row r="799" spans="1:5" x14ac:dyDescent="0.25">
      <c r="A799" t="s">
        <v>1202</v>
      </c>
      <c r="B799" t="s">
        <v>585</v>
      </c>
      <c r="C799" t="s">
        <v>179</v>
      </c>
      <c r="D799">
        <v>9</v>
      </c>
      <c r="E799" t="s">
        <v>199</v>
      </c>
    </row>
    <row r="800" spans="1:5" x14ac:dyDescent="0.25">
      <c r="A800" t="s">
        <v>1203</v>
      </c>
      <c r="B800" t="s">
        <v>308</v>
      </c>
      <c r="C800" t="s">
        <v>179</v>
      </c>
      <c r="D800">
        <v>6</v>
      </c>
      <c r="E800" t="s">
        <v>183</v>
      </c>
    </row>
    <row r="801" spans="1:5" x14ac:dyDescent="0.25">
      <c r="A801" t="s">
        <v>1204</v>
      </c>
      <c r="B801" t="s">
        <v>472</v>
      </c>
      <c r="C801" t="s">
        <v>179</v>
      </c>
      <c r="D801">
        <v>9</v>
      </c>
      <c r="E801" t="s">
        <v>199</v>
      </c>
    </row>
    <row r="802" spans="1:5" x14ac:dyDescent="0.25">
      <c r="A802" t="s">
        <v>1205</v>
      </c>
      <c r="B802" t="s">
        <v>953</v>
      </c>
      <c r="C802" t="s">
        <v>191</v>
      </c>
      <c r="D802">
        <v>2</v>
      </c>
      <c r="E802" t="s">
        <v>180</v>
      </c>
    </row>
    <row r="803" spans="1:5" x14ac:dyDescent="0.25">
      <c r="A803" t="s">
        <v>1206</v>
      </c>
      <c r="B803" t="s">
        <v>246</v>
      </c>
      <c r="C803" t="s">
        <v>191</v>
      </c>
      <c r="D803">
        <v>2</v>
      </c>
      <c r="E803" t="s">
        <v>234</v>
      </c>
    </row>
    <row r="804" spans="1:5" x14ac:dyDescent="0.25">
      <c r="A804" t="s">
        <v>1207</v>
      </c>
      <c r="B804" t="s">
        <v>593</v>
      </c>
      <c r="C804" t="s">
        <v>179</v>
      </c>
      <c r="D804">
        <v>14</v>
      </c>
      <c r="E804" t="s">
        <v>188</v>
      </c>
    </row>
    <row r="805" spans="1:5" x14ac:dyDescent="0.25">
      <c r="A805" t="s">
        <v>1208</v>
      </c>
      <c r="B805" t="s">
        <v>724</v>
      </c>
      <c r="C805" t="s">
        <v>219</v>
      </c>
      <c r="D805">
        <v>12</v>
      </c>
      <c r="E805" t="s">
        <v>183</v>
      </c>
    </row>
    <row r="806" spans="1:5" x14ac:dyDescent="0.25">
      <c r="A806" t="s">
        <v>1209</v>
      </c>
      <c r="B806" t="s">
        <v>345</v>
      </c>
      <c r="C806" t="s">
        <v>191</v>
      </c>
      <c r="D806">
        <v>7</v>
      </c>
      <c r="E806" t="s">
        <v>199</v>
      </c>
    </row>
    <row r="807" spans="1:5" x14ac:dyDescent="0.25">
      <c r="A807" t="s">
        <v>1210</v>
      </c>
      <c r="B807" t="s">
        <v>493</v>
      </c>
      <c r="C807" t="s">
        <v>179</v>
      </c>
      <c r="D807">
        <v>12</v>
      </c>
      <c r="E807" t="s">
        <v>183</v>
      </c>
    </row>
    <row r="808" spans="1:5" x14ac:dyDescent="0.25">
      <c r="A808" t="s">
        <v>1211</v>
      </c>
      <c r="B808" t="s">
        <v>1104</v>
      </c>
      <c r="C808" t="s">
        <v>179</v>
      </c>
      <c r="D808">
        <v>3</v>
      </c>
      <c r="E808" t="s">
        <v>180</v>
      </c>
    </row>
    <row r="809" spans="1:5" x14ac:dyDescent="0.25">
      <c r="A809" t="s">
        <v>1212</v>
      </c>
      <c r="B809" t="s">
        <v>409</v>
      </c>
      <c r="C809" t="s">
        <v>191</v>
      </c>
      <c r="D809">
        <v>13</v>
      </c>
      <c r="E809" t="s">
        <v>199</v>
      </c>
    </row>
    <row r="810" spans="1:5" x14ac:dyDescent="0.25">
      <c r="A810" t="s">
        <v>1213</v>
      </c>
      <c r="B810" t="s">
        <v>364</v>
      </c>
      <c r="C810" t="s">
        <v>191</v>
      </c>
      <c r="D810">
        <v>10</v>
      </c>
      <c r="E810" t="s">
        <v>199</v>
      </c>
    </row>
    <row r="811" spans="1:5" x14ac:dyDescent="0.25">
      <c r="A811" t="s">
        <v>1214</v>
      </c>
      <c r="B811" t="s">
        <v>637</v>
      </c>
      <c r="C811" t="s">
        <v>179</v>
      </c>
      <c r="D811">
        <v>10</v>
      </c>
      <c r="E811" t="s">
        <v>199</v>
      </c>
    </row>
    <row r="812" spans="1:5" x14ac:dyDescent="0.25">
      <c r="A812" t="s">
        <v>1215</v>
      </c>
      <c r="B812" t="s">
        <v>951</v>
      </c>
      <c r="C812" t="s">
        <v>179</v>
      </c>
      <c r="D812">
        <v>11</v>
      </c>
      <c r="E812" t="s">
        <v>199</v>
      </c>
    </row>
    <row r="813" spans="1:5" x14ac:dyDescent="0.25">
      <c r="A813" t="s">
        <v>1216</v>
      </c>
      <c r="B813" t="s">
        <v>394</v>
      </c>
      <c r="C813" t="s">
        <v>179</v>
      </c>
      <c r="D813">
        <v>2</v>
      </c>
      <c r="E813" t="s">
        <v>183</v>
      </c>
    </row>
    <row r="814" spans="1:5" x14ac:dyDescent="0.25">
      <c r="A814" t="s">
        <v>1217</v>
      </c>
      <c r="B814" t="s">
        <v>366</v>
      </c>
      <c r="C814" t="s">
        <v>179</v>
      </c>
      <c r="D814">
        <v>11</v>
      </c>
      <c r="E814" t="s">
        <v>188</v>
      </c>
    </row>
    <row r="815" spans="1:5" x14ac:dyDescent="0.25">
      <c r="A815" t="s">
        <v>1218</v>
      </c>
      <c r="B815" t="s">
        <v>1098</v>
      </c>
      <c r="C815" t="s">
        <v>179</v>
      </c>
      <c r="D815">
        <v>11</v>
      </c>
      <c r="E815" t="s">
        <v>183</v>
      </c>
    </row>
    <row r="816" spans="1:5" x14ac:dyDescent="0.25">
      <c r="A816" t="s">
        <v>1219</v>
      </c>
      <c r="B816" t="s">
        <v>955</v>
      </c>
      <c r="C816" t="s">
        <v>179</v>
      </c>
      <c r="D816">
        <v>8</v>
      </c>
      <c r="E816" t="s">
        <v>199</v>
      </c>
    </row>
    <row r="817" spans="1:5" x14ac:dyDescent="0.25">
      <c r="A817" t="s">
        <v>1220</v>
      </c>
      <c r="B817" t="s">
        <v>244</v>
      </c>
      <c r="C817" t="s">
        <v>219</v>
      </c>
      <c r="D817">
        <v>3</v>
      </c>
      <c r="E817" t="s">
        <v>180</v>
      </c>
    </row>
    <row r="818" spans="1:5" x14ac:dyDescent="0.25">
      <c r="A818" t="s">
        <v>1221</v>
      </c>
      <c r="B818" t="s">
        <v>611</v>
      </c>
      <c r="C818" t="s">
        <v>219</v>
      </c>
      <c r="D818">
        <v>12</v>
      </c>
      <c r="E818" t="s">
        <v>183</v>
      </c>
    </row>
    <row r="819" spans="1:5" x14ac:dyDescent="0.25">
      <c r="A819" t="s">
        <v>1222</v>
      </c>
      <c r="B819" t="s">
        <v>400</v>
      </c>
      <c r="C819" t="s">
        <v>219</v>
      </c>
      <c r="D819">
        <v>14</v>
      </c>
      <c r="E819" t="s">
        <v>199</v>
      </c>
    </row>
    <row r="820" spans="1:5" x14ac:dyDescent="0.25">
      <c r="A820" t="s">
        <v>1223</v>
      </c>
      <c r="B820" t="s">
        <v>510</v>
      </c>
      <c r="C820" t="s">
        <v>191</v>
      </c>
      <c r="D820">
        <v>4</v>
      </c>
      <c r="E820" t="s">
        <v>188</v>
      </c>
    </row>
    <row r="821" spans="1:5" x14ac:dyDescent="0.25">
      <c r="A821" t="s">
        <v>1224</v>
      </c>
      <c r="B821" t="s">
        <v>321</v>
      </c>
      <c r="C821" t="s">
        <v>179</v>
      </c>
      <c r="D821">
        <v>9</v>
      </c>
      <c r="E821" t="s">
        <v>183</v>
      </c>
    </row>
    <row r="822" spans="1:5" x14ac:dyDescent="0.25">
      <c r="A822" t="s">
        <v>1225</v>
      </c>
      <c r="B822" t="s">
        <v>421</v>
      </c>
      <c r="C822" t="s">
        <v>179</v>
      </c>
      <c r="D822">
        <v>2</v>
      </c>
      <c r="E822" t="s">
        <v>188</v>
      </c>
    </row>
    <row r="823" spans="1:5" x14ac:dyDescent="0.25">
      <c r="A823" t="s">
        <v>1226</v>
      </c>
      <c r="B823" t="s">
        <v>238</v>
      </c>
      <c r="C823" t="s">
        <v>179</v>
      </c>
      <c r="D823">
        <v>11</v>
      </c>
      <c r="E823" t="s">
        <v>199</v>
      </c>
    </row>
    <row r="824" spans="1:5" x14ac:dyDescent="0.25">
      <c r="A824" t="s">
        <v>1227</v>
      </c>
      <c r="B824" t="s">
        <v>404</v>
      </c>
      <c r="C824" t="s">
        <v>179</v>
      </c>
      <c r="D824">
        <v>1</v>
      </c>
      <c r="E824" t="s">
        <v>180</v>
      </c>
    </row>
    <row r="825" spans="1:5" x14ac:dyDescent="0.25">
      <c r="A825" t="s">
        <v>1228</v>
      </c>
      <c r="B825" t="s">
        <v>345</v>
      </c>
      <c r="C825" t="s">
        <v>179</v>
      </c>
      <c r="D825">
        <v>4</v>
      </c>
      <c r="E825" t="s">
        <v>234</v>
      </c>
    </row>
    <row r="826" spans="1:5" x14ac:dyDescent="0.25">
      <c r="A826" t="s">
        <v>1229</v>
      </c>
      <c r="B826" t="s">
        <v>560</v>
      </c>
      <c r="C826" t="s">
        <v>191</v>
      </c>
      <c r="D826">
        <v>9</v>
      </c>
      <c r="E826" t="s">
        <v>180</v>
      </c>
    </row>
    <row r="827" spans="1:5" x14ac:dyDescent="0.25">
      <c r="A827" t="s">
        <v>1230</v>
      </c>
      <c r="B827" t="s">
        <v>262</v>
      </c>
      <c r="C827" t="s">
        <v>179</v>
      </c>
      <c r="D827">
        <v>3</v>
      </c>
      <c r="E827" t="s">
        <v>180</v>
      </c>
    </row>
    <row r="828" spans="1:5" x14ac:dyDescent="0.25">
      <c r="A828" t="s">
        <v>1231</v>
      </c>
      <c r="B828" t="s">
        <v>390</v>
      </c>
      <c r="C828" t="s">
        <v>179</v>
      </c>
      <c r="D828">
        <v>14</v>
      </c>
      <c r="E828" t="s">
        <v>234</v>
      </c>
    </row>
    <row r="829" spans="1:5" x14ac:dyDescent="0.25">
      <c r="A829" t="s">
        <v>1232</v>
      </c>
      <c r="B829" t="s">
        <v>702</v>
      </c>
      <c r="C829" t="s">
        <v>179</v>
      </c>
      <c r="D829">
        <v>5</v>
      </c>
      <c r="E829" t="s">
        <v>234</v>
      </c>
    </row>
    <row r="830" spans="1:5" x14ac:dyDescent="0.25">
      <c r="A830" t="s">
        <v>1233</v>
      </c>
      <c r="B830" t="s">
        <v>419</v>
      </c>
      <c r="C830" t="s">
        <v>219</v>
      </c>
      <c r="D830">
        <v>4</v>
      </c>
      <c r="E830" t="s">
        <v>180</v>
      </c>
    </row>
    <row r="831" spans="1:5" x14ac:dyDescent="0.25">
      <c r="A831" t="s">
        <v>1234</v>
      </c>
      <c r="B831" t="s">
        <v>223</v>
      </c>
      <c r="C831" t="s">
        <v>179</v>
      </c>
      <c r="D831">
        <v>8</v>
      </c>
      <c r="E831" t="s">
        <v>188</v>
      </c>
    </row>
    <row r="832" spans="1:5" x14ac:dyDescent="0.25">
      <c r="A832" t="s">
        <v>1235</v>
      </c>
      <c r="B832" t="s">
        <v>190</v>
      </c>
      <c r="C832" t="s">
        <v>219</v>
      </c>
      <c r="D832">
        <v>10</v>
      </c>
      <c r="E832" t="s">
        <v>183</v>
      </c>
    </row>
    <row r="833" spans="1:5" x14ac:dyDescent="0.25">
      <c r="A833" t="s">
        <v>1236</v>
      </c>
      <c r="B833" t="s">
        <v>428</v>
      </c>
      <c r="C833" t="s">
        <v>179</v>
      </c>
      <c r="D833">
        <v>6</v>
      </c>
      <c r="E833" t="s">
        <v>199</v>
      </c>
    </row>
    <row r="834" spans="1:5" x14ac:dyDescent="0.25">
      <c r="A834" t="s">
        <v>1237</v>
      </c>
      <c r="B834" t="s">
        <v>818</v>
      </c>
      <c r="C834" t="s">
        <v>179</v>
      </c>
      <c r="D834">
        <v>13</v>
      </c>
      <c r="E834" t="s">
        <v>199</v>
      </c>
    </row>
    <row r="835" spans="1:5" x14ac:dyDescent="0.25">
      <c r="A835" t="s">
        <v>1238</v>
      </c>
      <c r="B835" t="s">
        <v>190</v>
      </c>
      <c r="C835" t="s">
        <v>179</v>
      </c>
      <c r="D835">
        <v>1</v>
      </c>
      <c r="E835" t="s">
        <v>183</v>
      </c>
    </row>
    <row r="836" spans="1:5" x14ac:dyDescent="0.25">
      <c r="A836" t="s">
        <v>1239</v>
      </c>
      <c r="B836" t="s">
        <v>377</v>
      </c>
      <c r="C836" t="s">
        <v>179</v>
      </c>
      <c r="D836">
        <v>7</v>
      </c>
      <c r="E836" t="s">
        <v>183</v>
      </c>
    </row>
    <row r="837" spans="1:5" x14ac:dyDescent="0.25">
      <c r="A837" t="s">
        <v>1240</v>
      </c>
      <c r="B837" t="s">
        <v>842</v>
      </c>
      <c r="C837" t="s">
        <v>191</v>
      </c>
      <c r="D837">
        <v>13</v>
      </c>
      <c r="E837" t="s">
        <v>180</v>
      </c>
    </row>
    <row r="838" spans="1:5" x14ac:dyDescent="0.25">
      <c r="A838" t="s">
        <v>1241</v>
      </c>
      <c r="B838" t="s">
        <v>794</v>
      </c>
      <c r="C838" t="s">
        <v>191</v>
      </c>
      <c r="D838">
        <v>11</v>
      </c>
      <c r="E838" t="s">
        <v>183</v>
      </c>
    </row>
    <row r="839" spans="1:5" x14ac:dyDescent="0.25">
      <c r="A839" t="s">
        <v>1242</v>
      </c>
      <c r="B839" t="s">
        <v>313</v>
      </c>
      <c r="C839" t="s">
        <v>179</v>
      </c>
      <c r="D839">
        <v>2</v>
      </c>
      <c r="E839" t="s">
        <v>199</v>
      </c>
    </row>
    <row r="840" spans="1:5" x14ac:dyDescent="0.25">
      <c r="A840" t="s">
        <v>1243</v>
      </c>
      <c r="B840" t="s">
        <v>388</v>
      </c>
      <c r="C840" t="s">
        <v>191</v>
      </c>
      <c r="D840">
        <v>5</v>
      </c>
      <c r="E840" t="s">
        <v>199</v>
      </c>
    </row>
    <row r="841" spans="1:5" x14ac:dyDescent="0.25">
      <c r="A841" t="s">
        <v>1244</v>
      </c>
      <c r="B841" t="s">
        <v>404</v>
      </c>
      <c r="C841" t="s">
        <v>219</v>
      </c>
      <c r="D841">
        <v>7</v>
      </c>
      <c r="E841" t="s">
        <v>199</v>
      </c>
    </row>
    <row r="842" spans="1:5" x14ac:dyDescent="0.25">
      <c r="A842" t="s">
        <v>1245</v>
      </c>
      <c r="B842" t="s">
        <v>185</v>
      </c>
      <c r="C842" t="s">
        <v>191</v>
      </c>
      <c r="D842">
        <v>5</v>
      </c>
      <c r="E842" t="s">
        <v>199</v>
      </c>
    </row>
    <row r="843" spans="1:5" x14ac:dyDescent="0.25">
      <c r="A843" t="s">
        <v>1246</v>
      </c>
      <c r="B843" t="s">
        <v>1247</v>
      </c>
      <c r="C843" t="s">
        <v>219</v>
      </c>
      <c r="D843">
        <v>10</v>
      </c>
      <c r="E843" t="s">
        <v>199</v>
      </c>
    </row>
    <row r="844" spans="1:5" x14ac:dyDescent="0.25">
      <c r="A844" t="s">
        <v>1248</v>
      </c>
      <c r="B844" t="s">
        <v>295</v>
      </c>
      <c r="C844" t="s">
        <v>179</v>
      </c>
      <c r="D844">
        <v>2</v>
      </c>
      <c r="E844" t="s">
        <v>183</v>
      </c>
    </row>
    <row r="845" spans="1:5" x14ac:dyDescent="0.25">
      <c r="A845" t="s">
        <v>1249</v>
      </c>
      <c r="B845" t="s">
        <v>421</v>
      </c>
      <c r="C845" t="s">
        <v>179</v>
      </c>
      <c r="D845">
        <v>4</v>
      </c>
      <c r="E845" t="s">
        <v>199</v>
      </c>
    </row>
    <row r="846" spans="1:5" x14ac:dyDescent="0.25">
      <c r="A846" t="s">
        <v>1250</v>
      </c>
      <c r="B846" t="s">
        <v>1251</v>
      </c>
      <c r="C846" t="s">
        <v>179</v>
      </c>
      <c r="D846">
        <v>1</v>
      </c>
      <c r="E846" t="s">
        <v>188</v>
      </c>
    </row>
    <row r="847" spans="1:5" x14ac:dyDescent="0.25">
      <c r="A847" t="s">
        <v>1252</v>
      </c>
      <c r="B847" t="s">
        <v>293</v>
      </c>
      <c r="C847" t="s">
        <v>179</v>
      </c>
      <c r="D847">
        <v>3</v>
      </c>
      <c r="E847" t="s">
        <v>199</v>
      </c>
    </row>
    <row r="848" spans="1:5" x14ac:dyDescent="0.25">
      <c r="A848" t="s">
        <v>1253</v>
      </c>
      <c r="B848" t="s">
        <v>631</v>
      </c>
      <c r="C848" t="s">
        <v>179</v>
      </c>
      <c r="D848">
        <v>5</v>
      </c>
      <c r="E848" t="s">
        <v>199</v>
      </c>
    </row>
    <row r="849" spans="1:5" x14ac:dyDescent="0.25">
      <c r="A849" t="s">
        <v>1254</v>
      </c>
      <c r="B849" t="s">
        <v>1023</v>
      </c>
      <c r="C849" t="s">
        <v>179</v>
      </c>
      <c r="D849">
        <v>5</v>
      </c>
      <c r="E849" t="s">
        <v>183</v>
      </c>
    </row>
    <row r="850" spans="1:5" x14ac:dyDescent="0.25">
      <c r="A850" t="s">
        <v>1255</v>
      </c>
      <c r="B850" t="s">
        <v>425</v>
      </c>
      <c r="C850" t="s">
        <v>191</v>
      </c>
      <c r="D850">
        <v>6</v>
      </c>
      <c r="E850" t="s">
        <v>183</v>
      </c>
    </row>
    <row r="851" spans="1:5" x14ac:dyDescent="0.25">
      <c r="A851" t="s">
        <v>1256</v>
      </c>
      <c r="B851" t="s">
        <v>508</v>
      </c>
      <c r="C851" t="s">
        <v>179</v>
      </c>
      <c r="D851">
        <v>12</v>
      </c>
      <c r="E851" t="s">
        <v>183</v>
      </c>
    </row>
    <row r="852" spans="1:5" x14ac:dyDescent="0.25">
      <c r="A852" t="s">
        <v>1257</v>
      </c>
      <c r="B852" t="s">
        <v>244</v>
      </c>
      <c r="C852" t="s">
        <v>179</v>
      </c>
      <c r="D852">
        <v>3</v>
      </c>
      <c r="E852" t="s">
        <v>199</v>
      </c>
    </row>
    <row r="853" spans="1:5" x14ac:dyDescent="0.25">
      <c r="A853" t="s">
        <v>1258</v>
      </c>
      <c r="B853" t="s">
        <v>955</v>
      </c>
      <c r="C853" t="s">
        <v>191</v>
      </c>
      <c r="D853">
        <v>10</v>
      </c>
      <c r="E853" t="s">
        <v>183</v>
      </c>
    </row>
    <row r="854" spans="1:5" x14ac:dyDescent="0.25">
      <c r="A854" t="s">
        <v>1259</v>
      </c>
      <c r="B854" t="s">
        <v>358</v>
      </c>
      <c r="C854" t="s">
        <v>191</v>
      </c>
      <c r="D854">
        <v>14</v>
      </c>
      <c r="E854" t="s">
        <v>199</v>
      </c>
    </row>
    <row r="855" spans="1:5" x14ac:dyDescent="0.25">
      <c r="A855" t="s">
        <v>1260</v>
      </c>
      <c r="B855" t="s">
        <v>198</v>
      </c>
      <c r="C855" t="s">
        <v>179</v>
      </c>
      <c r="D855">
        <v>12</v>
      </c>
      <c r="E855" t="s">
        <v>180</v>
      </c>
    </row>
    <row r="856" spans="1:5" x14ac:dyDescent="0.25">
      <c r="A856" t="s">
        <v>1261</v>
      </c>
      <c r="B856" t="s">
        <v>603</v>
      </c>
      <c r="C856" t="s">
        <v>179</v>
      </c>
      <c r="D856">
        <v>10</v>
      </c>
      <c r="E856" t="s">
        <v>199</v>
      </c>
    </row>
    <row r="857" spans="1:5" x14ac:dyDescent="0.25">
      <c r="A857" t="s">
        <v>1262</v>
      </c>
      <c r="B857" t="s">
        <v>404</v>
      </c>
      <c r="C857" t="s">
        <v>179</v>
      </c>
      <c r="D857">
        <v>4</v>
      </c>
      <c r="E857" t="s">
        <v>234</v>
      </c>
    </row>
    <row r="858" spans="1:5" x14ac:dyDescent="0.25">
      <c r="A858" t="s">
        <v>1263</v>
      </c>
      <c r="B858" t="s">
        <v>284</v>
      </c>
      <c r="C858" t="s">
        <v>179</v>
      </c>
      <c r="D858">
        <v>2</v>
      </c>
      <c r="E858" t="s">
        <v>180</v>
      </c>
    </row>
    <row r="859" spans="1:5" x14ac:dyDescent="0.25">
      <c r="A859" t="s">
        <v>1264</v>
      </c>
      <c r="B859" t="s">
        <v>603</v>
      </c>
      <c r="C859" t="s">
        <v>179</v>
      </c>
      <c r="D859">
        <v>7</v>
      </c>
      <c r="E859" t="s">
        <v>199</v>
      </c>
    </row>
    <row r="860" spans="1:5" x14ac:dyDescent="0.25">
      <c r="A860" t="s">
        <v>1265</v>
      </c>
      <c r="B860" t="s">
        <v>242</v>
      </c>
      <c r="C860" t="s">
        <v>191</v>
      </c>
      <c r="D860">
        <v>2</v>
      </c>
      <c r="E860" t="s">
        <v>199</v>
      </c>
    </row>
    <row r="861" spans="1:5" x14ac:dyDescent="0.25">
      <c r="A861" t="s">
        <v>1266</v>
      </c>
      <c r="B861" t="s">
        <v>341</v>
      </c>
      <c r="C861" t="s">
        <v>179</v>
      </c>
      <c r="D861">
        <v>2</v>
      </c>
      <c r="E861" t="s">
        <v>183</v>
      </c>
    </row>
    <row r="862" spans="1:5" x14ac:dyDescent="0.25">
      <c r="A862" t="s">
        <v>1267</v>
      </c>
      <c r="B862" t="s">
        <v>437</v>
      </c>
      <c r="C862" t="s">
        <v>179</v>
      </c>
      <c r="D862">
        <v>8</v>
      </c>
      <c r="E862" t="s">
        <v>183</v>
      </c>
    </row>
    <row r="863" spans="1:5" x14ac:dyDescent="0.25">
      <c r="A863" t="s">
        <v>1268</v>
      </c>
      <c r="B863" t="s">
        <v>341</v>
      </c>
      <c r="C863" t="s">
        <v>196</v>
      </c>
      <c r="D863">
        <v>13</v>
      </c>
      <c r="E863" t="s">
        <v>199</v>
      </c>
    </row>
    <row r="864" spans="1:5" x14ac:dyDescent="0.25">
      <c r="A864" t="s">
        <v>1269</v>
      </c>
      <c r="B864" t="s">
        <v>362</v>
      </c>
      <c r="C864" t="s">
        <v>179</v>
      </c>
      <c r="D864">
        <v>1</v>
      </c>
      <c r="E864" t="s">
        <v>199</v>
      </c>
    </row>
    <row r="865" spans="1:5" x14ac:dyDescent="0.25">
      <c r="A865" t="s">
        <v>1270</v>
      </c>
      <c r="B865" t="s">
        <v>650</v>
      </c>
      <c r="C865" t="s">
        <v>191</v>
      </c>
      <c r="D865">
        <v>14</v>
      </c>
      <c r="E865" t="s">
        <v>199</v>
      </c>
    </row>
    <row r="866" spans="1:5" x14ac:dyDescent="0.25">
      <c r="A866" t="s">
        <v>1271</v>
      </c>
      <c r="B866" t="s">
        <v>428</v>
      </c>
      <c r="C866" t="s">
        <v>179</v>
      </c>
      <c r="D866">
        <v>6</v>
      </c>
      <c r="E866" t="s">
        <v>234</v>
      </c>
    </row>
    <row r="867" spans="1:5" x14ac:dyDescent="0.25">
      <c r="A867" t="s">
        <v>1272</v>
      </c>
      <c r="B867" t="s">
        <v>951</v>
      </c>
      <c r="C867" t="s">
        <v>196</v>
      </c>
      <c r="D867">
        <v>13</v>
      </c>
      <c r="E867" t="s">
        <v>180</v>
      </c>
    </row>
    <row r="868" spans="1:5" x14ac:dyDescent="0.25">
      <c r="A868" t="s">
        <v>1273</v>
      </c>
      <c r="B868" t="s">
        <v>352</v>
      </c>
      <c r="C868" t="s">
        <v>179</v>
      </c>
      <c r="D868">
        <v>8</v>
      </c>
      <c r="E868" t="s">
        <v>199</v>
      </c>
    </row>
    <row r="869" spans="1:5" x14ac:dyDescent="0.25">
      <c r="A869" t="s">
        <v>1274</v>
      </c>
      <c r="B869" t="s">
        <v>216</v>
      </c>
      <c r="C869" t="s">
        <v>219</v>
      </c>
      <c r="D869">
        <v>11</v>
      </c>
      <c r="E869" t="s">
        <v>183</v>
      </c>
    </row>
    <row r="870" spans="1:5" x14ac:dyDescent="0.25">
      <c r="A870" t="s">
        <v>1275</v>
      </c>
      <c r="B870" t="s">
        <v>396</v>
      </c>
      <c r="C870" t="s">
        <v>191</v>
      </c>
      <c r="D870">
        <v>1</v>
      </c>
      <c r="E870" t="s">
        <v>199</v>
      </c>
    </row>
    <row r="871" spans="1:5" x14ac:dyDescent="0.25">
      <c r="A871" t="s">
        <v>1276</v>
      </c>
      <c r="B871" t="s">
        <v>248</v>
      </c>
      <c r="C871" t="s">
        <v>179</v>
      </c>
      <c r="D871">
        <v>11</v>
      </c>
      <c r="E871" t="s">
        <v>199</v>
      </c>
    </row>
    <row r="872" spans="1:5" x14ac:dyDescent="0.25">
      <c r="A872" t="s">
        <v>1277</v>
      </c>
      <c r="B872" t="s">
        <v>317</v>
      </c>
      <c r="C872" t="s">
        <v>179</v>
      </c>
      <c r="D872">
        <v>8</v>
      </c>
      <c r="E872" t="s">
        <v>234</v>
      </c>
    </row>
    <row r="873" spans="1:5" x14ac:dyDescent="0.25">
      <c r="A873" t="s">
        <v>1278</v>
      </c>
      <c r="B873" t="s">
        <v>611</v>
      </c>
      <c r="C873" t="s">
        <v>179</v>
      </c>
      <c r="D873">
        <v>14</v>
      </c>
      <c r="E873" t="s">
        <v>180</v>
      </c>
    </row>
    <row r="874" spans="1:5" x14ac:dyDescent="0.25">
      <c r="A874" t="s">
        <v>1279</v>
      </c>
      <c r="B874" t="s">
        <v>686</v>
      </c>
      <c r="C874" t="s">
        <v>179</v>
      </c>
      <c r="D874">
        <v>13</v>
      </c>
      <c r="E874" t="s">
        <v>180</v>
      </c>
    </row>
    <row r="875" spans="1:5" x14ac:dyDescent="0.25">
      <c r="A875" t="s">
        <v>1280</v>
      </c>
      <c r="B875" t="s">
        <v>739</v>
      </c>
      <c r="C875" t="s">
        <v>191</v>
      </c>
      <c r="D875">
        <v>11</v>
      </c>
      <c r="E875" t="s">
        <v>199</v>
      </c>
    </row>
    <row r="876" spans="1:5" x14ac:dyDescent="0.25">
      <c r="A876" t="s">
        <v>1281</v>
      </c>
      <c r="B876" t="s">
        <v>394</v>
      </c>
      <c r="C876" t="s">
        <v>179</v>
      </c>
      <c r="D876">
        <v>9</v>
      </c>
      <c r="E876" t="s">
        <v>183</v>
      </c>
    </row>
    <row r="877" spans="1:5" x14ac:dyDescent="0.25">
      <c r="A877" t="s">
        <v>1282</v>
      </c>
      <c r="B877" t="s">
        <v>508</v>
      </c>
      <c r="C877" t="s">
        <v>191</v>
      </c>
      <c r="D877">
        <v>8</v>
      </c>
      <c r="E877" t="s">
        <v>199</v>
      </c>
    </row>
    <row r="878" spans="1:5" x14ac:dyDescent="0.25">
      <c r="A878" t="s">
        <v>1283</v>
      </c>
      <c r="B878" t="s">
        <v>504</v>
      </c>
      <c r="C878" t="s">
        <v>179</v>
      </c>
      <c r="D878">
        <v>7</v>
      </c>
      <c r="E878" t="s">
        <v>199</v>
      </c>
    </row>
    <row r="879" spans="1:5" x14ac:dyDescent="0.25">
      <c r="A879" t="s">
        <v>1284</v>
      </c>
      <c r="B879" t="s">
        <v>601</v>
      </c>
      <c r="C879" t="s">
        <v>191</v>
      </c>
      <c r="D879">
        <v>14</v>
      </c>
      <c r="E879" t="s">
        <v>180</v>
      </c>
    </row>
    <row r="880" spans="1:5" x14ac:dyDescent="0.25">
      <c r="A880" t="s">
        <v>1285</v>
      </c>
      <c r="B880" t="s">
        <v>278</v>
      </c>
      <c r="C880" t="s">
        <v>191</v>
      </c>
      <c r="D880">
        <v>9</v>
      </c>
      <c r="E880" t="s">
        <v>180</v>
      </c>
    </row>
    <row r="881" spans="1:5" x14ac:dyDescent="0.25">
      <c r="A881" t="s">
        <v>1286</v>
      </c>
      <c r="B881" t="s">
        <v>306</v>
      </c>
      <c r="C881" t="s">
        <v>219</v>
      </c>
      <c r="D881">
        <v>3</v>
      </c>
      <c r="E881" t="s">
        <v>180</v>
      </c>
    </row>
    <row r="882" spans="1:5" x14ac:dyDescent="0.25">
      <c r="A882" t="s">
        <v>1287</v>
      </c>
      <c r="B882" t="s">
        <v>404</v>
      </c>
      <c r="C882" t="s">
        <v>179</v>
      </c>
      <c r="D882">
        <v>1</v>
      </c>
      <c r="E882" t="s">
        <v>199</v>
      </c>
    </row>
    <row r="883" spans="1:5" x14ac:dyDescent="0.25">
      <c r="A883" t="s">
        <v>1288</v>
      </c>
      <c r="B883" t="s">
        <v>603</v>
      </c>
      <c r="C883" t="s">
        <v>179</v>
      </c>
      <c r="D883">
        <v>7</v>
      </c>
      <c r="E883" t="s">
        <v>188</v>
      </c>
    </row>
    <row r="884" spans="1:5" x14ac:dyDescent="0.25">
      <c r="A884" t="s">
        <v>1289</v>
      </c>
      <c r="B884" t="s">
        <v>190</v>
      </c>
      <c r="C884" t="s">
        <v>179</v>
      </c>
      <c r="D884">
        <v>14</v>
      </c>
      <c r="E884" t="s">
        <v>199</v>
      </c>
    </row>
    <row r="885" spans="1:5" x14ac:dyDescent="0.25">
      <c r="A885" t="s">
        <v>1290</v>
      </c>
      <c r="B885" t="s">
        <v>276</v>
      </c>
      <c r="C885" t="s">
        <v>191</v>
      </c>
      <c r="D885">
        <v>1</v>
      </c>
      <c r="E885" t="s">
        <v>180</v>
      </c>
    </row>
    <row r="886" spans="1:5" x14ac:dyDescent="0.25">
      <c r="A886" t="s">
        <v>1291</v>
      </c>
      <c r="B886" t="s">
        <v>697</v>
      </c>
      <c r="C886" t="s">
        <v>179</v>
      </c>
      <c r="D886">
        <v>11</v>
      </c>
      <c r="E886" t="s">
        <v>199</v>
      </c>
    </row>
    <row r="887" spans="1:5" x14ac:dyDescent="0.25">
      <c r="A887" t="s">
        <v>1292</v>
      </c>
      <c r="B887" t="s">
        <v>456</v>
      </c>
      <c r="C887" t="s">
        <v>179</v>
      </c>
      <c r="D887">
        <v>6</v>
      </c>
      <c r="E887" t="s">
        <v>199</v>
      </c>
    </row>
    <row r="888" spans="1:5" x14ac:dyDescent="0.25">
      <c r="A888" t="s">
        <v>1293</v>
      </c>
      <c r="B888" t="s">
        <v>419</v>
      </c>
      <c r="C888" t="s">
        <v>179</v>
      </c>
      <c r="D888">
        <v>11</v>
      </c>
      <c r="E888" t="s">
        <v>183</v>
      </c>
    </row>
    <row r="889" spans="1:5" x14ac:dyDescent="0.25">
      <c r="A889" t="s">
        <v>1294</v>
      </c>
      <c r="B889" t="s">
        <v>377</v>
      </c>
      <c r="C889" t="s">
        <v>179</v>
      </c>
      <c r="D889">
        <v>5</v>
      </c>
      <c r="E889" t="s">
        <v>180</v>
      </c>
    </row>
    <row r="890" spans="1:5" x14ac:dyDescent="0.25">
      <c r="A890" t="s">
        <v>1295</v>
      </c>
      <c r="B890" t="s">
        <v>210</v>
      </c>
      <c r="C890" t="s">
        <v>179</v>
      </c>
      <c r="D890">
        <v>8</v>
      </c>
      <c r="E890" t="s">
        <v>183</v>
      </c>
    </row>
    <row r="891" spans="1:5" x14ac:dyDescent="0.25">
      <c r="A891" t="s">
        <v>1296</v>
      </c>
      <c r="B891" t="s">
        <v>293</v>
      </c>
      <c r="C891" t="s">
        <v>179</v>
      </c>
      <c r="D891">
        <v>6</v>
      </c>
      <c r="E891" t="s">
        <v>199</v>
      </c>
    </row>
    <row r="892" spans="1:5" x14ac:dyDescent="0.25">
      <c r="A892" t="s">
        <v>1297</v>
      </c>
      <c r="B892" t="s">
        <v>724</v>
      </c>
      <c r="C892" t="s">
        <v>191</v>
      </c>
      <c r="D892">
        <v>10</v>
      </c>
      <c r="E892" t="s">
        <v>180</v>
      </c>
    </row>
    <row r="893" spans="1:5" x14ac:dyDescent="0.25">
      <c r="A893" t="s">
        <v>1298</v>
      </c>
      <c r="B893" t="s">
        <v>301</v>
      </c>
      <c r="C893" t="s">
        <v>179</v>
      </c>
      <c r="D893">
        <v>14</v>
      </c>
      <c r="E893" t="s">
        <v>199</v>
      </c>
    </row>
    <row r="894" spans="1:5" x14ac:dyDescent="0.25">
      <c r="A894" t="s">
        <v>1299</v>
      </c>
      <c r="B894" t="s">
        <v>653</v>
      </c>
      <c r="C894" t="s">
        <v>219</v>
      </c>
      <c r="D894">
        <v>7</v>
      </c>
      <c r="E894" t="s">
        <v>183</v>
      </c>
    </row>
    <row r="895" spans="1:5" x14ac:dyDescent="0.25">
      <c r="A895" t="s">
        <v>1300</v>
      </c>
      <c r="B895" t="s">
        <v>637</v>
      </c>
      <c r="C895" t="s">
        <v>179</v>
      </c>
      <c r="D895">
        <v>3</v>
      </c>
      <c r="E895" t="s">
        <v>199</v>
      </c>
    </row>
    <row r="896" spans="1:5" x14ac:dyDescent="0.25">
      <c r="A896" t="s">
        <v>1301</v>
      </c>
      <c r="B896" t="s">
        <v>800</v>
      </c>
      <c r="C896" t="s">
        <v>179</v>
      </c>
      <c r="D896">
        <v>9</v>
      </c>
      <c r="E896" t="s">
        <v>199</v>
      </c>
    </row>
    <row r="897" spans="1:5" x14ac:dyDescent="0.25">
      <c r="A897" t="s">
        <v>1302</v>
      </c>
      <c r="B897" t="s">
        <v>1303</v>
      </c>
      <c r="C897" t="s">
        <v>191</v>
      </c>
      <c r="D897">
        <v>4</v>
      </c>
      <c r="E897" t="s">
        <v>199</v>
      </c>
    </row>
    <row r="898" spans="1:5" x14ac:dyDescent="0.25">
      <c r="A898" t="s">
        <v>1304</v>
      </c>
      <c r="B898" t="s">
        <v>818</v>
      </c>
      <c r="C898" t="s">
        <v>179</v>
      </c>
      <c r="D898">
        <v>4</v>
      </c>
      <c r="E898" t="s">
        <v>183</v>
      </c>
    </row>
    <row r="899" spans="1:5" x14ac:dyDescent="0.25">
      <c r="A899" t="s">
        <v>1305</v>
      </c>
      <c r="B899" t="s">
        <v>715</v>
      </c>
      <c r="C899" t="s">
        <v>191</v>
      </c>
      <c r="D899">
        <v>1</v>
      </c>
      <c r="E899" t="s">
        <v>199</v>
      </c>
    </row>
    <row r="900" spans="1:5" x14ac:dyDescent="0.25">
      <c r="A900" t="s">
        <v>1306</v>
      </c>
      <c r="B900" t="s">
        <v>634</v>
      </c>
      <c r="C900" t="s">
        <v>191</v>
      </c>
      <c r="D900">
        <v>3</v>
      </c>
      <c r="E900" t="s">
        <v>199</v>
      </c>
    </row>
    <row r="901" spans="1:5" x14ac:dyDescent="0.25">
      <c r="A901" t="s">
        <v>1307</v>
      </c>
      <c r="B901" t="s">
        <v>396</v>
      </c>
      <c r="C901" t="s">
        <v>191</v>
      </c>
      <c r="D901">
        <v>14</v>
      </c>
      <c r="E901" t="s">
        <v>183</v>
      </c>
    </row>
    <row r="902" spans="1:5" x14ac:dyDescent="0.25">
      <c r="A902" t="s">
        <v>1308</v>
      </c>
      <c r="B902" t="s">
        <v>386</v>
      </c>
      <c r="C902" t="s">
        <v>191</v>
      </c>
      <c r="D902">
        <v>2</v>
      </c>
      <c r="E902" t="s">
        <v>199</v>
      </c>
    </row>
    <row r="903" spans="1:5" x14ac:dyDescent="0.25">
      <c r="A903" t="s">
        <v>1309</v>
      </c>
      <c r="B903" t="s">
        <v>301</v>
      </c>
      <c r="C903" t="s">
        <v>191</v>
      </c>
      <c r="D903">
        <v>9</v>
      </c>
      <c r="E903" t="s">
        <v>183</v>
      </c>
    </row>
    <row r="904" spans="1:5" x14ac:dyDescent="0.25">
      <c r="A904" t="s">
        <v>1310</v>
      </c>
      <c r="B904" t="s">
        <v>396</v>
      </c>
      <c r="C904" t="s">
        <v>179</v>
      </c>
      <c r="D904">
        <v>3</v>
      </c>
      <c r="E904" t="s">
        <v>199</v>
      </c>
    </row>
    <row r="905" spans="1:5" x14ac:dyDescent="0.25">
      <c r="A905" t="s">
        <v>1311</v>
      </c>
      <c r="B905" t="s">
        <v>535</v>
      </c>
      <c r="C905" t="s">
        <v>179</v>
      </c>
      <c r="D905">
        <v>8</v>
      </c>
      <c r="E905" t="s">
        <v>199</v>
      </c>
    </row>
    <row r="906" spans="1:5" x14ac:dyDescent="0.25">
      <c r="A906" t="s">
        <v>1312</v>
      </c>
      <c r="B906" t="s">
        <v>205</v>
      </c>
      <c r="C906" t="s">
        <v>191</v>
      </c>
      <c r="D906">
        <v>5</v>
      </c>
      <c r="E906" t="s">
        <v>199</v>
      </c>
    </row>
    <row r="907" spans="1:5" x14ac:dyDescent="0.25">
      <c r="A907" t="s">
        <v>1313</v>
      </c>
      <c r="B907" t="s">
        <v>185</v>
      </c>
      <c r="C907" t="s">
        <v>179</v>
      </c>
      <c r="D907">
        <v>12</v>
      </c>
      <c r="E907" t="s">
        <v>188</v>
      </c>
    </row>
    <row r="908" spans="1:5" x14ac:dyDescent="0.25">
      <c r="A908" t="s">
        <v>1314</v>
      </c>
      <c r="B908" t="s">
        <v>423</v>
      </c>
      <c r="C908" t="s">
        <v>179</v>
      </c>
      <c r="D908">
        <v>11</v>
      </c>
      <c r="E908" t="s">
        <v>188</v>
      </c>
    </row>
    <row r="909" spans="1:5" x14ac:dyDescent="0.25">
      <c r="A909" t="s">
        <v>1315</v>
      </c>
      <c r="B909" t="s">
        <v>583</v>
      </c>
      <c r="C909" t="s">
        <v>191</v>
      </c>
      <c r="D909">
        <v>3</v>
      </c>
      <c r="E909" t="s">
        <v>183</v>
      </c>
    </row>
    <row r="910" spans="1:5" x14ac:dyDescent="0.25">
      <c r="A910" t="s">
        <v>1316</v>
      </c>
      <c r="B910" t="s">
        <v>776</v>
      </c>
      <c r="C910" t="s">
        <v>191</v>
      </c>
      <c r="D910">
        <v>3</v>
      </c>
      <c r="E910" t="s">
        <v>199</v>
      </c>
    </row>
    <row r="911" spans="1:5" x14ac:dyDescent="0.25">
      <c r="A911" t="s">
        <v>1317</v>
      </c>
      <c r="B911" t="s">
        <v>419</v>
      </c>
      <c r="C911" t="s">
        <v>219</v>
      </c>
      <c r="D911">
        <v>8</v>
      </c>
      <c r="E911" t="s">
        <v>188</v>
      </c>
    </row>
    <row r="912" spans="1:5" x14ac:dyDescent="0.25">
      <c r="A912" t="s">
        <v>1318</v>
      </c>
      <c r="B912" t="s">
        <v>419</v>
      </c>
      <c r="C912" t="s">
        <v>179</v>
      </c>
      <c r="D912">
        <v>3</v>
      </c>
      <c r="E912" t="s">
        <v>188</v>
      </c>
    </row>
    <row r="913" spans="1:5" x14ac:dyDescent="0.25">
      <c r="A913" t="s">
        <v>1319</v>
      </c>
      <c r="B913" t="s">
        <v>425</v>
      </c>
      <c r="C913" t="s">
        <v>179</v>
      </c>
      <c r="D913">
        <v>3</v>
      </c>
      <c r="E913" t="s">
        <v>183</v>
      </c>
    </row>
    <row r="914" spans="1:5" x14ac:dyDescent="0.25">
      <c r="A914" t="s">
        <v>1320</v>
      </c>
      <c r="B914" t="s">
        <v>518</v>
      </c>
      <c r="C914" t="s">
        <v>179</v>
      </c>
      <c r="D914">
        <v>11</v>
      </c>
      <c r="E914" t="s">
        <v>180</v>
      </c>
    </row>
    <row r="915" spans="1:5" x14ac:dyDescent="0.25">
      <c r="A915" t="s">
        <v>1321</v>
      </c>
      <c r="B915" t="s">
        <v>390</v>
      </c>
      <c r="C915" t="s">
        <v>179</v>
      </c>
      <c r="D915">
        <v>6</v>
      </c>
      <c r="E915" t="s">
        <v>183</v>
      </c>
    </row>
    <row r="916" spans="1:5" x14ac:dyDescent="0.25">
      <c r="A916" t="s">
        <v>1322</v>
      </c>
      <c r="B916" t="s">
        <v>432</v>
      </c>
      <c r="C916" t="s">
        <v>179</v>
      </c>
      <c r="D916">
        <v>7</v>
      </c>
      <c r="E916" t="s">
        <v>183</v>
      </c>
    </row>
    <row r="917" spans="1:5" x14ac:dyDescent="0.25">
      <c r="A917" t="s">
        <v>1323</v>
      </c>
      <c r="B917" t="s">
        <v>366</v>
      </c>
      <c r="C917" t="s">
        <v>219</v>
      </c>
      <c r="D917">
        <v>13</v>
      </c>
      <c r="E917" t="s">
        <v>180</v>
      </c>
    </row>
    <row r="918" spans="1:5" x14ac:dyDescent="0.25">
      <c r="A918" t="s">
        <v>1324</v>
      </c>
      <c r="B918" t="s">
        <v>221</v>
      </c>
      <c r="C918" t="s">
        <v>179</v>
      </c>
      <c r="D918">
        <v>9</v>
      </c>
      <c r="E918" t="s">
        <v>183</v>
      </c>
    </row>
    <row r="919" spans="1:5" x14ac:dyDescent="0.25">
      <c r="A919" t="s">
        <v>1325</v>
      </c>
      <c r="B919" t="s">
        <v>485</v>
      </c>
      <c r="C919" t="s">
        <v>191</v>
      </c>
      <c r="D919">
        <v>14</v>
      </c>
      <c r="E919" t="s">
        <v>199</v>
      </c>
    </row>
    <row r="920" spans="1:5" x14ac:dyDescent="0.25">
      <c r="A920" t="s">
        <v>1326</v>
      </c>
      <c r="B920" t="s">
        <v>460</v>
      </c>
      <c r="C920" t="s">
        <v>179</v>
      </c>
      <c r="D920">
        <v>7</v>
      </c>
      <c r="E920" t="s">
        <v>199</v>
      </c>
    </row>
    <row r="921" spans="1:5" x14ac:dyDescent="0.25">
      <c r="A921" t="s">
        <v>1327</v>
      </c>
      <c r="B921" t="s">
        <v>739</v>
      </c>
      <c r="C921" t="s">
        <v>179</v>
      </c>
      <c r="D921">
        <v>1</v>
      </c>
      <c r="E921" t="s">
        <v>180</v>
      </c>
    </row>
    <row r="922" spans="1:5" x14ac:dyDescent="0.25">
      <c r="A922" t="s">
        <v>1328</v>
      </c>
      <c r="B922" t="s">
        <v>1102</v>
      </c>
      <c r="C922" t="s">
        <v>219</v>
      </c>
      <c r="D922">
        <v>4</v>
      </c>
      <c r="E922" t="s">
        <v>199</v>
      </c>
    </row>
    <row r="923" spans="1:5" x14ac:dyDescent="0.25">
      <c r="A923" t="s">
        <v>1329</v>
      </c>
      <c r="B923" t="s">
        <v>198</v>
      </c>
      <c r="C923" t="s">
        <v>196</v>
      </c>
      <c r="D923">
        <v>8</v>
      </c>
      <c r="E923" t="s">
        <v>199</v>
      </c>
    </row>
    <row r="924" spans="1:5" x14ac:dyDescent="0.25">
      <c r="A924" t="s">
        <v>1330</v>
      </c>
      <c r="B924" t="s">
        <v>208</v>
      </c>
      <c r="C924" t="s">
        <v>179</v>
      </c>
      <c r="D924">
        <v>2</v>
      </c>
      <c r="E924" t="s">
        <v>199</v>
      </c>
    </row>
    <row r="925" spans="1:5" x14ac:dyDescent="0.25">
      <c r="A925" t="s">
        <v>1331</v>
      </c>
      <c r="B925" t="s">
        <v>596</v>
      </c>
      <c r="C925" t="s">
        <v>191</v>
      </c>
      <c r="D925">
        <v>12</v>
      </c>
      <c r="E925" t="s">
        <v>199</v>
      </c>
    </row>
    <row r="926" spans="1:5" x14ac:dyDescent="0.25">
      <c r="A926" t="s">
        <v>1332</v>
      </c>
      <c r="B926" t="s">
        <v>1023</v>
      </c>
      <c r="C926" t="s">
        <v>196</v>
      </c>
      <c r="D926">
        <v>2</v>
      </c>
      <c r="E926" t="s">
        <v>180</v>
      </c>
    </row>
    <row r="927" spans="1:5" x14ac:dyDescent="0.25">
      <c r="A927" t="s">
        <v>1333</v>
      </c>
      <c r="B927" t="s">
        <v>695</v>
      </c>
      <c r="C927" t="s">
        <v>179</v>
      </c>
      <c r="D927">
        <v>10</v>
      </c>
      <c r="E927" t="s">
        <v>199</v>
      </c>
    </row>
    <row r="928" spans="1:5" x14ac:dyDescent="0.25">
      <c r="A928" t="s">
        <v>1334</v>
      </c>
      <c r="B928" t="s">
        <v>379</v>
      </c>
      <c r="C928" t="s">
        <v>219</v>
      </c>
      <c r="D928">
        <v>10</v>
      </c>
      <c r="E928" t="s">
        <v>183</v>
      </c>
    </row>
    <row r="929" spans="1:5" x14ac:dyDescent="0.25">
      <c r="A929" t="s">
        <v>1335</v>
      </c>
      <c r="B929" t="s">
        <v>451</v>
      </c>
      <c r="C929" t="s">
        <v>191</v>
      </c>
      <c r="D929">
        <v>6</v>
      </c>
      <c r="E929" t="s">
        <v>199</v>
      </c>
    </row>
    <row r="930" spans="1:5" x14ac:dyDescent="0.25">
      <c r="A930" t="s">
        <v>1336</v>
      </c>
      <c r="B930" t="s">
        <v>706</v>
      </c>
      <c r="C930" t="s">
        <v>179</v>
      </c>
      <c r="D930">
        <v>9</v>
      </c>
      <c r="E930" t="s">
        <v>199</v>
      </c>
    </row>
    <row r="931" spans="1:5" x14ac:dyDescent="0.25">
      <c r="A931" t="s">
        <v>1337</v>
      </c>
      <c r="B931" t="s">
        <v>284</v>
      </c>
      <c r="C931" t="s">
        <v>179</v>
      </c>
      <c r="D931">
        <v>2</v>
      </c>
      <c r="E931" t="s">
        <v>183</v>
      </c>
    </row>
    <row r="932" spans="1:5" x14ac:dyDescent="0.25">
      <c r="A932" t="s">
        <v>1338</v>
      </c>
      <c r="B932" t="s">
        <v>379</v>
      </c>
      <c r="C932" t="s">
        <v>179</v>
      </c>
      <c r="D932">
        <v>9</v>
      </c>
      <c r="E932" t="s">
        <v>180</v>
      </c>
    </row>
    <row r="933" spans="1:5" x14ac:dyDescent="0.25">
      <c r="A933" t="s">
        <v>1339</v>
      </c>
      <c r="B933" t="s">
        <v>303</v>
      </c>
      <c r="C933" t="s">
        <v>219</v>
      </c>
      <c r="D933">
        <v>5</v>
      </c>
      <c r="E933" t="s">
        <v>180</v>
      </c>
    </row>
    <row r="934" spans="1:5" x14ac:dyDescent="0.25">
      <c r="A934" t="s">
        <v>1340</v>
      </c>
      <c r="B934" t="s">
        <v>178</v>
      </c>
      <c r="C934" t="s">
        <v>179</v>
      </c>
      <c r="D934">
        <v>12</v>
      </c>
      <c r="E934" t="s">
        <v>199</v>
      </c>
    </row>
    <row r="935" spans="1:5" x14ac:dyDescent="0.25">
      <c r="A935" t="s">
        <v>1341</v>
      </c>
      <c r="B935" t="s">
        <v>276</v>
      </c>
      <c r="C935" t="s">
        <v>179</v>
      </c>
      <c r="D935">
        <v>1</v>
      </c>
      <c r="E935" t="s">
        <v>199</v>
      </c>
    </row>
    <row r="936" spans="1:5" x14ac:dyDescent="0.25">
      <c r="A936" t="s">
        <v>1342</v>
      </c>
      <c r="B936" t="s">
        <v>282</v>
      </c>
      <c r="C936" t="s">
        <v>179</v>
      </c>
      <c r="D936">
        <v>14</v>
      </c>
      <c r="E936" t="s">
        <v>199</v>
      </c>
    </row>
    <row r="937" spans="1:5" x14ac:dyDescent="0.25">
      <c r="A937" t="s">
        <v>1343</v>
      </c>
      <c r="B937" t="s">
        <v>203</v>
      </c>
      <c r="C937" t="s">
        <v>179</v>
      </c>
      <c r="D937">
        <v>6</v>
      </c>
      <c r="E937" t="s">
        <v>180</v>
      </c>
    </row>
    <row r="938" spans="1:5" x14ac:dyDescent="0.25">
      <c r="A938" t="s">
        <v>1344</v>
      </c>
      <c r="B938" t="s">
        <v>1102</v>
      </c>
      <c r="C938" t="s">
        <v>179</v>
      </c>
      <c r="D938">
        <v>7</v>
      </c>
      <c r="E938" t="s">
        <v>199</v>
      </c>
    </row>
    <row r="939" spans="1:5" x14ac:dyDescent="0.25">
      <c r="A939" t="s">
        <v>1345</v>
      </c>
      <c r="B939" t="s">
        <v>242</v>
      </c>
      <c r="C939" t="s">
        <v>219</v>
      </c>
      <c r="D939">
        <v>12</v>
      </c>
      <c r="E939" t="s">
        <v>180</v>
      </c>
    </row>
    <row r="940" spans="1:5" x14ac:dyDescent="0.25">
      <c r="A940" t="s">
        <v>1346</v>
      </c>
      <c r="B940" t="s">
        <v>225</v>
      </c>
      <c r="C940" t="s">
        <v>219</v>
      </c>
      <c r="D940">
        <v>13</v>
      </c>
      <c r="E940" t="s">
        <v>199</v>
      </c>
    </row>
    <row r="941" spans="1:5" x14ac:dyDescent="0.25">
      <c r="A941" t="s">
        <v>1347</v>
      </c>
      <c r="B941" t="s">
        <v>445</v>
      </c>
      <c r="C941" t="s">
        <v>179</v>
      </c>
      <c r="D941">
        <v>5</v>
      </c>
      <c r="E941" t="s">
        <v>234</v>
      </c>
    </row>
    <row r="942" spans="1:5" x14ac:dyDescent="0.25">
      <c r="A942" t="s">
        <v>1348</v>
      </c>
      <c r="B942" t="s">
        <v>485</v>
      </c>
      <c r="C942" t="s">
        <v>191</v>
      </c>
      <c r="D942">
        <v>1</v>
      </c>
      <c r="E942" t="s">
        <v>199</v>
      </c>
    </row>
    <row r="943" spans="1:5" x14ac:dyDescent="0.25">
      <c r="A943" t="s">
        <v>1349</v>
      </c>
      <c r="B943" t="s">
        <v>749</v>
      </c>
      <c r="C943" t="s">
        <v>196</v>
      </c>
      <c r="D943">
        <v>5</v>
      </c>
      <c r="E943" t="s">
        <v>180</v>
      </c>
    </row>
    <row r="944" spans="1:5" x14ac:dyDescent="0.25">
      <c r="A944" t="s">
        <v>1350</v>
      </c>
      <c r="B944" t="s">
        <v>1032</v>
      </c>
      <c r="C944" t="s">
        <v>219</v>
      </c>
      <c r="D944">
        <v>2</v>
      </c>
      <c r="E944" t="s">
        <v>199</v>
      </c>
    </row>
    <row r="945" spans="1:5" x14ac:dyDescent="0.25">
      <c r="A945" t="s">
        <v>1351</v>
      </c>
      <c r="B945" t="s">
        <v>289</v>
      </c>
      <c r="C945" t="s">
        <v>191</v>
      </c>
      <c r="D945">
        <v>1</v>
      </c>
      <c r="E945" t="s">
        <v>183</v>
      </c>
    </row>
    <row r="946" spans="1:5" x14ac:dyDescent="0.25">
      <c r="A946" t="s">
        <v>1352</v>
      </c>
      <c r="B946" t="s">
        <v>308</v>
      </c>
      <c r="C946" t="s">
        <v>191</v>
      </c>
      <c r="D946">
        <v>12</v>
      </c>
      <c r="E946" t="s">
        <v>199</v>
      </c>
    </row>
    <row r="947" spans="1:5" x14ac:dyDescent="0.25">
      <c r="A947" t="s">
        <v>1353</v>
      </c>
      <c r="B947" t="s">
        <v>210</v>
      </c>
      <c r="C947" t="s">
        <v>179</v>
      </c>
      <c r="D947">
        <v>12</v>
      </c>
      <c r="E947" t="s">
        <v>199</v>
      </c>
    </row>
    <row r="948" spans="1:5" x14ac:dyDescent="0.25">
      <c r="A948" t="s">
        <v>1354</v>
      </c>
      <c r="B948" t="s">
        <v>203</v>
      </c>
      <c r="C948" t="s">
        <v>219</v>
      </c>
      <c r="D948">
        <v>10</v>
      </c>
      <c r="E948" t="s">
        <v>234</v>
      </c>
    </row>
    <row r="949" spans="1:5" x14ac:dyDescent="0.25">
      <c r="A949" t="s">
        <v>1355</v>
      </c>
      <c r="B949" t="s">
        <v>1018</v>
      </c>
      <c r="C949" t="s">
        <v>179</v>
      </c>
      <c r="D949">
        <v>12</v>
      </c>
      <c r="E949" t="s">
        <v>234</v>
      </c>
    </row>
    <row r="950" spans="1:5" x14ac:dyDescent="0.25">
      <c r="A950" t="s">
        <v>1356</v>
      </c>
      <c r="B950" t="s">
        <v>366</v>
      </c>
      <c r="C950" t="s">
        <v>191</v>
      </c>
      <c r="D950">
        <v>3</v>
      </c>
      <c r="E950" t="s">
        <v>199</v>
      </c>
    </row>
    <row r="951" spans="1:5" x14ac:dyDescent="0.25">
      <c r="A951" t="s">
        <v>1357</v>
      </c>
      <c r="B951" t="s">
        <v>683</v>
      </c>
      <c r="C951" t="s">
        <v>179</v>
      </c>
      <c r="D951">
        <v>8</v>
      </c>
      <c r="E951" t="s">
        <v>234</v>
      </c>
    </row>
    <row r="952" spans="1:5" x14ac:dyDescent="0.25">
      <c r="A952" t="s">
        <v>1358</v>
      </c>
      <c r="B952" t="s">
        <v>846</v>
      </c>
      <c r="C952" t="s">
        <v>179</v>
      </c>
      <c r="D952">
        <v>9</v>
      </c>
      <c r="E952" t="s">
        <v>234</v>
      </c>
    </row>
    <row r="953" spans="1:5" x14ac:dyDescent="0.25">
      <c r="A953" t="s">
        <v>1359</v>
      </c>
      <c r="B953" t="s">
        <v>347</v>
      </c>
      <c r="C953" t="s">
        <v>191</v>
      </c>
      <c r="D953">
        <v>10</v>
      </c>
      <c r="E953" t="s">
        <v>234</v>
      </c>
    </row>
    <row r="954" spans="1:5" x14ac:dyDescent="0.25">
      <c r="A954" t="s">
        <v>1360</v>
      </c>
      <c r="B954" t="s">
        <v>842</v>
      </c>
      <c r="C954" t="s">
        <v>179</v>
      </c>
      <c r="D954">
        <v>9</v>
      </c>
      <c r="E954" t="s">
        <v>199</v>
      </c>
    </row>
    <row r="955" spans="1:5" x14ac:dyDescent="0.25">
      <c r="A955" t="s">
        <v>1361</v>
      </c>
      <c r="B955" t="s">
        <v>618</v>
      </c>
      <c r="C955" t="s">
        <v>191</v>
      </c>
      <c r="D955">
        <v>13</v>
      </c>
      <c r="E955" t="s">
        <v>180</v>
      </c>
    </row>
    <row r="956" spans="1:5" x14ac:dyDescent="0.25">
      <c r="A956" t="s">
        <v>1362</v>
      </c>
      <c r="B956" t="s">
        <v>272</v>
      </c>
      <c r="C956" t="s">
        <v>179</v>
      </c>
      <c r="D956">
        <v>9</v>
      </c>
      <c r="E956" t="s">
        <v>183</v>
      </c>
    </row>
    <row r="957" spans="1:5" x14ac:dyDescent="0.25">
      <c r="A957" t="s">
        <v>1363</v>
      </c>
      <c r="B957" t="s">
        <v>1098</v>
      </c>
      <c r="C957" t="s">
        <v>179</v>
      </c>
      <c r="D957">
        <v>4</v>
      </c>
      <c r="E957" t="s">
        <v>199</v>
      </c>
    </row>
    <row r="958" spans="1:5" x14ac:dyDescent="0.25">
      <c r="A958" t="s">
        <v>1364</v>
      </c>
      <c r="B958" t="s">
        <v>569</v>
      </c>
      <c r="C958" t="s">
        <v>219</v>
      </c>
      <c r="D958">
        <v>6</v>
      </c>
      <c r="E958" t="s">
        <v>183</v>
      </c>
    </row>
    <row r="959" spans="1:5" x14ac:dyDescent="0.25">
      <c r="A959" t="s">
        <v>1365</v>
      </c>
      <c r="B959" t="s">
        <v>369</v>
      </c>
      <c r="C959" t="s">
        <v>179</v>
      </c>
      <c r="D959">
        <v>12</v>
      </c>
      <c r="E959" t="s">
        <v>199</v>
      </c>
    </row>
    <row r="960" spans="1:5" x14ac:dyDescent="0.25">
      <c r="A960" t="s">
        <v>1366</v>
      </c>
      <c r="B960" t="s">
        <v>297</v>
      </c>
      <c r="C960" t="s">
        <v>179</v>
      </c>
      <c r="D960">
        <v>10</v>
      </c>
      <c r="E960" t="s">
        <v>199</v>
      </c>
    </row>
    <row r="961" spans="1:5" x14ac:dyDescent="0.25">
      <c r="A961" t="s">
        <v>1367</v>
      </c>
      <c r="B961" t="s">
        <v>525</v>
      </c>
      <c r="C961" t="s">
        <v>191</v>
      </c>
      <c r="D961">
        <v>13</v>
      </c>
      <c r="E961" t="s">
        <v>199</v>
      </c>
    </row>
    <row r="962" spans="1:5" x14ac:dyDescent="0.25">
      <c r="A962" t="s">
        <v>1368</v>
      </c>
      <c r="B962" t="s">
        <v>432</v>
      </c>
      <c r="C962" t="s">
        <v>191</v>
      </c>
      <c r="D962">
        <v>7</v>
      </c>
      <c r="E962" t="s">
        <v>199</v>
      </c>
    </row>
    <row r="963" spans="1:5" x14ac:dyDescent="0.25">
      <c r="A963" t="s">
        <v>1369</v>
      </c>
      <c r="B963" t="s">
        <v>329</v>
      </c>
      <c r="C963" t="s">
        <v>191</v>
      </c>
      <c r="D963">
        <v>1</v>
      </c>
      <c r="E963" t="s">
        <v>234</v>
      </c>
    </row>
    <row r="964" spans="1:5" x14ac:dyDescent="0.25">
      <c r="A964" t="s">
        <v>1370</v>
      </c>
      <c r="B964" t="s">
        <v>702</v>
      </c>
      <c r="C964" t="s">
        <v>179</v>
      </c>
      <c r="D964">
        <v>7</v>
      </c>
      <c r="E964" t="s">
        <v>183</v>
      </c>
    </row>
    <row r="965" spans="1:5" x14ac:dyDescent="0.25">
      <c r="A965" t="s">
        <v>1371</v>
      </c>
      <c r="B965" t="s">
        <v>528</v>
      </c>
      <c r="C965" t="s">
        <v>219</v>
      </c>
      <c r="D965">
        <v>13</v>
      </c>
      <c r="E965" t="s">
        <v>183</v>
      </c>
    </row>
    <row r="966" spans="1:5" x14ac:dyDescent="0.25">
      <c r="A966" t="s">
        <v>1372</v>
      </c>
      <c r="B966" t="s">
        <v>284</v>
      </c>
      <c r="C966" t="s">
        <v>179</v>
      </c>
      <c r="D966">
        <v>6</v>
      </c>
      <c r="E966" t="s">
        <v>199</v>
      </c>
    </row>
    <row r="967" spans="1:5" x14ac:dyDescent="0.25">
      <c r="A967" t="s">
        <v>1373</v>
      </c>
      <c r="B967" t="s">
        <v>394</v>
      </c>
      <c r="C967" t="s">
        <v>219</v>
      </c>
      <c r="D967">
        <v>3</v>
      </c>
      <c r="E967" t="s">
        <v>183</v>
      </c>
    </row>
    <row r="968" spans="1:5" x14ac:dyDescent="0.25">
      <c r="A968" t="s">
        <v>1374</v>
      </c>
      <c r="B968" t="s">
        <v>631</v>
      </c>
      <c r="C968" t="s">
        <v>191</v>
      </c>
      <c r="D968">
        <v>4</v>
      </c>
      <c r="E968" t="s">
        <v>234</v>
      </c>
    </row>
    <row r="969" spans="1:5" x14ac:dyDescent="0.25">
      <c r="A969" t="s">
        <v>1375</v>
      </c>
      <c r="B969" t="s">
        <v>323</v>
      </c>
      <c r="C969" t="s">
        <v>191</v>
      </c>
      <c r="D969">
        <v>8</v>
      </c>
      <c r="E969" t="s">
        <v>180</v>
      </c>
    </row>
    <row r="970" spans="1:5" x14ac:dyDescent="0.25">
      <c r="A970" t="s">
        <v>1376</v>
      </c>
      <c r="B970" t="s">
        <v>1251</v>
      </c>
      <c r="C970" t="s">
        <v>179</v>
      </c>
      <c r="D970">
        <v>14</v>
      </c>
      <c r="E970" t="s">
        <v>180</v>
      </c>
    </row>
    <row r="971" spans="1:5" x14ac:dyDescent="0.25">
      <c r="A971" t="s">
        <v>1377</v>
      </c>
      <c r="B971" t="s">
        <v>375</v>
      </c>
      <c r="C971" t="s">
        <v>179</v>
      </c>
      <c r="D971">
        <v>14</v>
      </c>
      <c r="E971" t="s">
        <v>199</v>
      </c>
    </row>
    <row r="972" spans="1:5" x14ac:dyDescent="0.25">
      <c r="A972" t="s">
        <v>1378</v>
      </c>
      <c r="B972" t="s">
        <v>629</v>
      </c>
      <c r="C972" t="s">
        <v>191</v>
      </c>
      <c r="D972">
        <v>6</v>
      </c>
      <c r="E972" t="s">
        <v>234</v>
      </c>
    </row>
    <row r="973" spans="1:5" x14ac:dyDescent="0.25">
      <c r="A973" t="s">
        <v>1379</v>
      </c>
      <c r="B973" t="s">
        <v>458</v>
      </c>
      <c r="C973" t="s">
        <v>179</v>
      </c>
      <c r="D973">
        <v>3</v>
      </c>
      <c r="E973" t="s">
        <v>234</v>
      </c>
    </row>
    <row r="974" spans="1:5" x14ac:dyDescent="0.25">
      <c r="A974" t="s">
        <v>1380</v>
      </c>
      <c r="B974" t="s">
        <v>321</v>
      </c>
      <c r="C974" t="s">
        <v>219</v>
      </c>
      <c r="D974">
        <v>14</v>
      </c>
      <c r="E974" t="s">
        <v>234</v>
      </c>
    </row>
    <row r="975" spans="1:5" x14ac:dyDescent="0.25">
      <c r="A975" t="s">
        <v>1381</v>
      </c>
      <c r="B975" t="s">
        <v>276</v>
      </c>
      <c r="C975" t="s">
        <v>219</v>
      </c>
      <c r="D975">
        <v>12</v>
      </c>
      <c r="E975" t="s">
        <v>234</v>
      </c>
    </row>
    <row r="976" spans="1:5" x14ac:dyDescent="0.25">
      <c r="A976" t="s">
        <v>1382</v>
      </c>
      <c r="B976" t="s">
        <v>1015</v>
      </c>
      <c r="C976" t="s">
        <v>179</v>
      </c>
      <c r="D976">
        <v>10</v>
      </c>
      <c r="E976" t="s">
        <v>183</v>
      </c>
    </row>
    <row r="977" spans="1:5" x14ac:dyDescent="0.25">
      <c r="A977" t="s">
        <v>1383</v>
      </c>
      <c r="B977" t="s">
        <v>293</v>
      </c>
      <c r="C977" t="s">
        <v>179</v>
      </c>
      <c r="D977">
        <v>4</v>
      </c>
      <c r="E977" t="s">
        <v>199</v>
      </c>
    </row>
    <row r="978" spans="1:5" x14ac:dyDescent="0.25">
      <c r="A978" t="s">
        <v>1384</v>
      </c>
      <c r="B978" t="s">
        <v>686</v>
      </c>
      <c r="C978" t="s">
        <v>179</v>
      </c>
      <c r="D978">
        <v>12</v>
      </c>
      <c r="E978" t="s">
        <v>180</v>
      </c>
    </row>
    <row r="979" spans="1:5" x14ac:dyDescent="0.25">
      <c r="A979" t="s">
        <v>1385</v>
      </c>
      <c r="B979" t="s">
        <v>246</v>
      </c>
      <c r="C979" t="s">
        <v>191</v>
      </c>
      <c r="D979">
        <v>14</v>
      </c>
      <c r="E979" t="s">
        <v>183</v>
      </c>
    </row>
    <row r="980" spans="1:5" x14ac:dyDescent="0.25">
      <c r="A980" t="s">
        <v>1386</v>
      </c>
      <c r="B980" t="s">
        <v>272</v>
      </c>
      <c r="C980" t="s">
        <v>179</v>
      </c>
      <c r="D980">
        <v>8</v>
      </c>
      <c r="E980" t="s">
        <v>183</v>
      </c>
    </row>
    <row r="981" spans="1:5" x14ac:dyDescent="0.25">
      <c r="A981" t="s">
        <v>1387</v>
      </c>
      <c r="B981" t="s">
        <v>358</v>
      </c>
      <c r="C981" t="s">
        <v>179</v>
      </c>
      <c r="D981">
        <v>8</v>
      </c>
      <c r="E981" t="s">
        <v>188</v>
      </c>
    </row>
    <row r="982" spans="1:5" x14ac:dyDescent="0.25">
      <c r="A982" t="s">
        <v>1388</v>
      </c>
      <c r="B982" t="s">
        <v>575</v>
      </c>
      <c r="C982" t="s">
        <v>219</v>
      </c>
      <c r="D982">
        <v>2</v>
      </c>
      <c r="E982" t="s">
        <v>199</v>
      </c>
    </row>
    <row r="983" spans="1:5" x14ac:dyDescent="0.25">
      <c r="A983" t="s">
        <v>1389</v>
      </c>
      <c r="B983" t="s">
        <v>456</v>
      </c>
      <c r="C983" t="s">
        <v>179</v>
      </c>
      <c r="D983">
        <v>6</v>
      </c>
      <c r="E983" t="s">
        <v>188</v>
      </c>
    </row>
    <row r="984" spans="1:5" x14ac:dyDescent="0.25">
      <c r="A984" t="s">
        <v>1390</v>
      </c>
      <c r="B984" t="s">
        <v>653</v>
      </c>
      <c r="C984" t="s">
        <v>219</v>
      </c>
      <c r="D984">
        <v>9</v>
      </c>
      <c r="E984" t="s">
        <v>234</v>
      </c>
    </row>
    <row r="985" spans="1:5" x14ac:dyDescent="0.25">
      <c r="A985" t="s">
        <v>1391</v>
      </c>
      <c r="B985" t="s">
        <v>419</v>
      </c>
      <c r="C985" t="s">
        <v>179</v>
      </c>
      <c r="D985">
        <v>6</v>
      </c>
      <c r="E985" t="s">
        <v>183</v>
      </c>
    </row>
    <row r="986" spans="1:5" x14ac:dyDescent="0.25">
      <c r="A986" t="s">
        <v>1392</v>
      </c>
      <c r="B986" t="s">
        <v>301</v>
      </c>
      <c r="C986" t="s">
        <v>219</v>
      </c>
      <c r="D986">
        <v>4</v>
      </c>
      <c r="E986" t="s">
        <v>183</v>
      </c>
    </row>
    <row r="987" spans="1:5" x14ac:dyDescent="0.25">
      <c r="A987" t="s">
        <v>1393</v>
      </c>
      <c r="B987" t="s">
        <v>205</v>
      </c>
      <c r="C987" t="s">
        <v>191</v>
      </c>
      <c r="D987">
        <v>5</v>
      </c>
      <c r="E987" t="s">
        <v>180</v>
      </c>
    </row>
    <row r="988" spans="1:5" x14ac:dyDescent="0.25">
      <c r="A988" t="s">
        <v>1394</v>
      </c>
      <c r="B988" t="s">
        <v>352</v>
      </c>
      <c r="C988" t="s">
        <v>179</v>
      </c>
      <c r="D988">
        <v>10</v>
      </c>
      <c r="E988" t="s">
        <v>183</v>
      </c>
    </row>
    <row r="989" spans="1:5" x14ac:dyDescent="0.25">
      <c r="A989" t="s">
        <v>1395</v>
      </c>
      <c r="B989" t="s">
        <v>551</v>
      </c>
      <c r="C989" t="s">
        <v>179</v>
      </c>
      <c r="D989">
        <v>11</v>
      </c>
      <c r="E989" t="s">
        <v>234</v>
      </c>
    </row>
    <row r="990" spans="1:5" x14ac:dyDescent="0.25">
      <c r="A990" t="s">
        <v>1396</v>
      </c>
      <c r="B990" t="s">
        <v>198</v>
      </c>
      <c r="C990" t="s">
        <v>179</v>
      </c>
      <c r="D990">
        <v>11</v>
      </c>
      <c r="E990" t="s">
        <v>180</v>
      </c>
    </row>
    <row r="991" spans="1:5" x14ac:dyDescent="0.25">
      <c r="A991" t="s">
        <v>1397</v>
      </c>
      <c r="B991" t="s">
        <v>417</v>
      </c>
      <c r="C991" t="s">
        <v>191</v>
      </c>
      <c r="D991">
        <v>13</v>
      </c>
      <c r="E991" t="s">
        <v>183</v>
      </c>
    </row>
    <row r="992" spans="1:5" x14ac:dyDescent="0.25">
      <c r="A992" t="s">
        <v>1398</v>
      </c>
      <c r="B992" t="s">
        <v>287</v>
      </c>
      <c r="C992" t="s">
        <v>196</v>
      </c>
      <c r="D992">
        <v>10</v>
      </c>
      <c r="E992" t="s">
        <v>199</v>
      </c>
    </row>
    <row r="993" spans="1:5" x14ac:dyDescent="0.25">
      <c r="A993" t="s">
        <v>1399</v>
      </c>
      <c r="B993" t="s">
        <v>329</v>
      </c>
      <c r="C993" t="s">
        <v>179</v>
      </c>
      <c r="D993">
        <v>5</v>
      </c>
      <c r="E993" t="s">
        <v>183</v>
      </c>
    </row>
    <row r="994" spans="1:5" x14ac:dyDescent="0.25">
      <c r="A994" t="s">
        <v>1400</v>
      </c>
      <c r="B994" t="s">
        <v>287</v>
      </c>
      <c r="C994" t="s">
        <v>191</v>
      </c>
      <c r="D994">
        <v>11</v>
      </c>
      <c r="E994" t="s">
        <v>199</v>
      </c>
    </row>
    <row r="995" spans="1:5" x14ac:dyDescent="0.25">
      <c r="A995" t="s">
        <v>1401</v>
      </c>
      <c r="B995" t="s">
        <v>1402</v>
      </c>
      <c r="C995" t="s">
        <v>179</v>
      </c>
      <c r="D995">
        <v>12</v>
      </c>
      <c r="E995" t="s">
        <v>199</v>
      </c>
    </row>
    <row r="996" spans="1:5" x14ac:dyDescent="0.25">
      <c r="A996" t="s">
        <v>1403</v>
      </c>
      <c r="B996" t="s">
        <v>255</v>
      </c>
      <c r="C996" t="s">
        <v>191</v>
      </c>
      <c r="D996">
        <v>8</v>
      </c>
      <c r="E996" t="s">
        <v>199</v>
      </c>
    </row>
    <row r="997" spans="1:5" x14ac:dyDescent="0.25">
      <c r="A997" t="s">
        <v>1404</v>
      </c>
      <c r="B997" t="s">
        <v>664</v>
      </c>
      <c r="C997" t="s">
        <v>219</v>
      </c>
      <c r="D997">
        <v>8</v>
      </c>
      <c r="E997" t="s">
        <v>199</v>
      </c>
    </row>
    <row r="998" spans="1:5" x14ac:dyDescent="0.25">
      <c r="A998" t="s">
        <v>1405</v>
      </c>
      <c r="B998" t="s">
        <v>1098</v>
      </c>
      <c r="C998" t="s">
        <v>179</v>
      </c>
      <c r="D998">
        <v>10</v>
      </c>
      <c r="E998" t="s">
        <v>199</v>
      </c>
    </row>
    <row r="999" spans="1:5" x14ac:dyDescent="0.25">
      <c r="A999" t="s">
        <v>1406</v>
      </c>
      <c r="B999" t="s">
        <v>525</v>
      </c>
      <c r="C999" t="s">
        <v>179</v>
      </c>
      <c r="D999">
        <v>6</v>
      </c>
      <c r="E999" t="s">
        <v>199</v>
      </c>
    </row>
    <row r="1000" spans="1:5" x14ac:dyDescent="0.25">
      <c r="A1000" t="s">
        <v>1407</v>
      </c>
      <c r="B1000" t="s">
        <v>301</v>
      </c>
      <c r="C1000" t="s">
        <v>179</v>
      </c>
      <c r="D1000">
        <v>12</v>
      </c>
      <c r="E1000" t="s">
        <v>180</v>
      </c>
    </row>
    <row r="1001" spans="1:5" x14ac:dyDescent="0.25">
      <c r="A1001" t="s">
        <v>1408</v>
      </c>
      <c r="B1001" t="s">
        <v>311</v>
      </c>
      <c r="C1001" t="s">
        <v>179</v>
      </c>
      <c r="D1001">
        <v>5</v>
      </c>
      <c r="E1001" t="s">
        <v>199</v>
      </c>
    </row>
    <row r="1002" spans="1:5" x14ac:dyDescent="0.25">
      <c r="A1002" t="s">
        <v>1409</v>
      </c>
      <c r="B1002" t="s">
        <v>244</v>
      </c>
      <c r="C1002" t="s">
        <v>191</v>
      </c>
      <c r="D1002">
        <v>3</v>
      </c>
      <c r="E1002" t="s">
        <v>199</v>
      </c>
    </row>
    <row r="1003" spans="1:5" x14ac:dyDescent="0.25">
      <c r="A1003" t="s">
        <v>1410</v>
      </c>
      <c r="B1003" t="s">
        <v>252</v>
      </c>
      <c r="C1003" t="s">
        <v>219</v>
      </c>
      <c r="D1003">
        <v>5</v>
      </c>
      <c r="E1003" t="s">
        <v>183</v>
      </c>
    </row>
    <row r="1004" spans="1:5" x14ac:dyDescent="0.25">
      <c r="A1004" t="s">
        <v>1411</v>
      </c>
      <c r="B1004" t="s">
        <v>560</v>
      </c>
      <c r="C1004" t="s">
        <v>179</v>
      </c>
      <c r="D1004">
        <v>6</v>
      </c>
      <c r="E1004" t="s">
        <v>199</v>
      </c>
    </row>
    <row r="1005" spans="1:5" x14ac:dyDescent="0.25">
      <c r="A1005" t="s">
        <v>1412</v>
      </c>
      <c r="B1005" t="s">
        <v>246</v>
      </c>
      <c r="C1005" t="s">
        <v>179</v>
      </c>
      <c r="D1005">
        <v>7</v>
      </c>
      <c r="E1005" t="s">
        <v>199</v>
      </c>
    </row>
    <row r="1006" spans="1:5" x14ac:dyDescent="0.25">
      <c r="A1006" t="s">
        <v>1413</v>
      </c>
      <c r="B1006" t="s">
        <v>702</v>
      </c>
      <c r="C1006" t="s">
        <v>191</v>
      </c>
      <c r="D1006">
        <v>12</v>
      </c>
      <c r="E1006" t="s">
        <v>180</v>
      </c>
    </row>
    <row r="1007" spans="1:5" x14ac:dyDescent="0.25">
      <c r="A1007" t="s">
        <v>1414</v>
      </c>
      <c r="B1007" t="s">
        <v>303</v>
      </c>
      <c r="C1007" t="s">
        <v>179</v>
      </c>
      <c r="D1007">
        <v>3</v>
      </c>
      <c r="E1007" t="s">
        <v>180</v>
      </c>
    </row>
    <row r="1008" spans="1:5" x14ac:dyDescent="0.25">
      <c r="A1008" t="s">
        <v>1415</v>
      </c>
      <c r="B1008" t="s">
        <v>423</v>
      </c>
      <c r="C1008" t="s">
        <v>179</v>
      </c>
      <c r="D1008">
        <v>7</v>
      </c>
      <c r="E1008" t="s">
        <v>234</v>
      </c>
    </row>
    <row r="1009" spans="1:5" x14ac:dyDescent="0.25">
      <c r="A1009" t="s">
        <v>1416</v>
      </c>
      <c r="B1009" t="s">
        <v>412</v>
      </c>
      <c r="C1009" t="s">
        <v>191</v>
      </c>
      <c r="D1009">
        <v>7</v>
      </c>
      <c r="E1009" t="s">
        <v>188</v>
      </c>
    </row>
    <row r="1010" spans="1:5" x14ac:dyDescent="0.25">
      <c r="A1010" t="s">
        <v>1417</v>
      </c>
      <c r="B1010" t="s">
        <v>354</v>
      </c>
      <c r="C1010" t="s">
        <v>219</v>
      </c>
      <c r="D1010">
        <v>7</v>
      </c>
      <c r="E1010" t="s">
        <v>199</v>
      </c>
    </row>
    <row r="1011" spans="1:5" x14ac:dyDescent="0.25">
      <c r="A1011" t="s">
        <v>1418</v>
      </c>
      <c r="B1011" t="s">
        <v>613</v>
      </c>
      <c r="C1011" t="s">
        <v>179</v>
      </c>
      <c r="D1011">
        <v>13</v>
      </c>
      <c r="E1011" t="s">
        <v>180</v>
      </c>
    </row>
    <row r="1012" spans="1:5" x14ac:dyDescent="0.25">
      <c r="A1012" t="s">
        <v>1419</v>
      </c>
      <c r="B1012" t="s">
        <v>803</v>
      </c>
      <c r="C1012" t="s">
        <v>179</v>
      </c>
      <c r="D1012">
        <v>2</v>
      </c>
      <c r="E1012" t="s">
        <v>183</v>
      </c>
    </row>
    <row r="1013" spans="1:5" x14ac:dyDescent="0.25">
      <c r="A1013" t="s">
        <v>1420</v>
      </c>
      <c r="B1013" t="s">
        <v>545</v>
      </c>
      <c r="C1013" t="s">
        <v>191</v>
      </c>
      <c r="D1013">
        <v>13</v>
      </c>
      <c r="E1013" t="s">
        <v>199</v>
      </c>
    </row>
    <row r="1014" spans="1:5" x14ac:dyDescent="0.25">
      <c r="A1014" t="s">
        <v>1421</v>
      </c>
      <c r="B1014" t="s">
        <v>203</v>
      </c>
      <c r="C1014" t="s">
        <v>179</v>
      </c>
      <c r="D1014">
        <v>12</v>
      </c>
      <c r="E1014" t="s">
        <v>199</v>
      </c>
    </row>
    <row r="1015" spans="1:5" x14ac:dyDescent="0.25">
      <c r="A1015" t="s">
        <v>1422</v>
      </c>
      <c r="B1015" t="s">
        <v>345</v>
      </c>
      <c r="C1015" t="s">
        <v>179</v>
      </c>
      <c r="D1015">
        <v>9</v>
      </c>
      <c r="E1015" t="s">
        <v>180</v>
      </c>
    </row>
    <row r="1016" spans="1:5" x14ac:dyDescent="0.25">
      <c r="A1016" t="s">
        <v>1423</v>
      </c>
      <c r="B1016" t="s">
        <v>396</v>
      </c>
      <c r="C1016" t="s">
        <v>191</v>
      </c>
      <c r="D1016">
        <v>14</v>
      </c>
      <c r="E1016" t="s">
        <v>180</v>
      </c>
    </row>
    <row r="1017" spans="1:5" x14ac:dyDescent="0.25">
      <c r="A1017" t="s">
        <v>1424</v>
      </c>
      <c r="B1017" t="s">
        <v>331</v>
      </c>
      <c r="C1017" t="s">
        <v>196</v>
      </c>
      <c r="D1017">
        <v>13</v>
      </c>
      <c r="E1017" t="s">
        <v>199</v>
      </c>
    </row>
    <row r="1018" spans="1:5" x14ac:dyDescent="0.25">
      <c r="A1018" t="s">
        <v>1425</v>
      </c>
      <c r="B1018" t="s">
        <v>240</v>
      </c>
      <c r="C1018" t="s">
        <v>179</v>
      </c>
      <c r="D1018">
        <v>12</v>
      </c>
      <c r="E1018" t="s">
        <v>234</v>
      </c>
    </row>
    <row r="1019" spans="1:5" x14ac:dyDescent="0.25">
      <c r="A1019" t="s">
        <v>1426</v>
      </c>
      <c r="B1019" t="s">
        <v>246</v>
      </c>
      <c r="C1019" t="s">
        <v>191</v>
      </c>
      <c r="D1019">
        <v>11</v>
      </c>
      <c r="E1019" t="s">
        <v>183</v>
      </c>
    </row>
    <row r="1020" spans="1:5" x14ac:dyDescent="0.25">
      <c r="A1020" t="s">
        <v>1427</v>
      </c>
      <c r="B1020" t="s">
        <v>278</v>
      </c>
      <c r="C1020" t="s">
        <v>179</v>
      </c>
      <c r="D1020">
        <v>4</v>
      </c>
      <c r="E1020" t="s">
        <v>183</v>
      </c>
    </row>
    <row r="1021" spans="1:5" x14ac:dyDescent="0.25">
      <c r="A1021" t="s">
        <v>1428</v>
      </c>
      <c r="B1021" t="s">
        <v>193</v>
      </c>
      <c r="C1021" t="s">
        <v>179</v>
      </c>
      <c r="D1021">
        <v>8</v>
      </c>
      <c r="E1021" t="s">
        <v>199</v>
      </c>
    </row>
    <row r="1022" spans="1:5" x14ac:dyDescent="0.25">
      <c r="A1022" t="s">
        <v>1429</v>
      </c>
      <c r="B1022" t="s">
        <v>358</v>
      </c>
      <c r="C1022" t="s">
        <v>191</v>
      </c>
      <c r="D1022">
        <v>10</v>
      </c>
      <c r="E1022" t="s">
        <v>183</v>
      </c>
    </row>
    <row r="1023" spans="1:5" x14ac:dyDescent="0.25">
      <c r="A1023" t="s">
        <v>1430</v>
      </c>
      <c r="B1023" t="s">
        <v>287</v>
      </c>
      <c r="C1023" t="s">
        <v>179</v>
      </c>
      <c r="D1023">
        <v>2</v>
      </c>
      <c r="E1023" t="s">
        <v>180</v>
      </c>
    </row>
    <row r="1024" spans="1:5" x14ac:dyDescent="0.25">
      <c r="A1024" t="s">
        <v>1431</v>
      </c>
      <c r="B1024" t="s">
        <v>803</v>
      </c>
      <c r="C1024" t="s">
        <v>179</v>
      </c>
      <c r="D1024">
        <v>12</v>
      </c>
      <c r="E1024" t="s">
        <v>188</v>
      </c>
    </row>
    <row r="1025" spans="1:5" x14ac:dyDescent="0.25">
      <c r="A1025" t="s">
        <v>1432</v>
      </c>
      <c r="B1025" t="s">
        <v>629</v>
      </c>
      <c r="C1025" t="s">
        <v>191</v>
      </c>
      <c r="D1025">
        <v>5</v>
      </c>
      <c r="E1025" t="s">
        <v>199</v>
      </c>
    </row>
    <row r="1026" spans="1:5" x14ac:dyDescent="0.25">
      <c r="A1026" t="s">
        <v>1433</v>
      </c>
      <c r="B1026" t="s">
        <v>362</v>
      </c>
      <c r="C1026" t="s">
        <v>179</v>
      </c>
      <c r="D1026">
        <v>12</v>
      </c>
      <c r="E1026" t="s">
        <v>180</v>
      </c>
    </row>
    <row r="1027" spans="1:5" x14ac:dyDescent="0.25">
      <c r="A1027" t="s">
        <v>1434</v>
      </c>
      <c r="B1027" t="s">
        <v>1102</v>
      </c>
      <c r="C1027" t="s">
        <v>191</v>
      </c>
      <c r="D1027">
        <v>3</v>
      </c>
      <c r="E1027" t="s">
        <v>180</v>
      </c>
    </row>
    <row r="1028" spans="1:5" x14ac:dyDescent="0.25">
      <c r="A1028" t="s">
        <v>1435</v>
      </c>
      <c r="B1028" t="s">
        <v>379</v>
      </c>
      <c r="C1028" t="s">
        <v>179</v>
      </c>
      <c r="D1028">
        <v>14</v>
      </c>
      <c r="E1028" t="s">
        <v>199</v>
      </c>
    </row>
    <row r="1029" spans="1:5" x14ac:dyDescent="0.25">
      <c r="A1029" t="s">
        <v>1436</v>
      </c>
      <c r="B1029" t="s">
        <v>460</v>
      </c>
      <c r="C1029" t="s">
        <v>179</v>
      </c>
      <c r="D1029">
        <v>10</v>
      </c>
      <c r="E1029" t="s">
        <v>180</v>
      </c>
    </row>
    <row r="1030" spans="1:5" x14ac:dyDescent="0.25">
      <c r="A1030" t="s">
        <v>1437</v>
      </c>
      <c r="B1030" t="s">
        <v>182</v>
      </c>
      <c r="C1030" t="s">
        <v>179</v>
      </c>
      <c r="D1030">
        <v>14</v>
      </c>
      <c r="E1030" t="s">
        <v>199</v>
      </c>
    </row>
    <row r="1031" spans="1:5" x14ac:dyDescent="0.25">
      <c r="A1031" t="s">
        <v>1438</v>
      </c>
      <c r="B1031" t="s">
        <v>842</v>
      </c>
      <c r="C1031" t="s">
        <v>191</v>
      </c>
      <c r="D1031">
        <v>4</v>
      </c>
      <c r="E1031" t="s">
        <v>199</v>
      </c>
    </row>
    <row r="1032" spans="1:5" x14ac:dyDescent="0.25">
      <c r="A1032" t="s">
        <v>1439</v>
      </c>
      <c r="B1032" t="s">
        <v>479</v>
      </c>
      <c r="C1032" t="s">
        <v>191</v>
      </c>
      <c r="D1032">
        <v>5</v>
      </c>
      <c r="E1032" t="s">
        <v>199</v>
      </c>
    </row>
    <row r="1033" spans="1:5" x14ac:dyDescent="0.25">
      <c r="A1033" t="s">
        <v>1440</v>
      </c>
      <c r="B1033" t="s">
        <v>757</v>
      </c>
      <c r="C1033" t="s">
        <v>191</v>
      </c>
      <c r="D1033">
        <v>7</v>
      </c>
      <c r="E1033" t="s">
        <v>199</v>
      </c>
    </row>
    <row r="1034" spans="1:5" x14ac:dyDescent="0.25">
      <c r="A1034" t="s">
        <v>1441</v>
      </c>
      <c r="B1034" t="s">
        <v>1247</v>
      </c>
      <c r="C1034" t="s">
        <v>219</v>
      </c>
      <c r="D1034">
        <v>9</v>
      </c>
      <c r="E1034" t="s">
        <v>199</v>
      </c>
    </row>
    <row r="1035" spans="1:5" x14ac:dyDescent="0.25">
      <c r="A1035" t="s">
        <v>1442</v>
      </c>
      <c r="B1035" t="s">
        <v>715</v>
      </c>
      <c r="C1035" t="s">
        <v>179</v>
      </c>
      <c r="D1035">
        <v>6</v>
      </c>
      <c r="E1035" t="s">
        <v>183</v>
      </c>
    </row>
    <row r="1036" spans="1:5" x14ac:dyDescent="0.25">
      <c r="A1036" t="s">
        <v>1443</v>
      </c>
      <c r="B1036" t="s">
        <v>289</v>
      </c>
      <c r="C1036" t="s">
        <v>179</v>
      </c>
      <c r="D1036">
        <v>4</v>
      </c>
      <c r="E1036" t="s">
        <v>183</v>
      </c>
    </row>
    <row r="1037" spans="1:5" x14ac:dyDescent="0.25">
      <c r="A1037" t="s">
        <v>1444</v>
      </c>
      <c r="B1037" t="s">
        <v>513</v>
      </c>
      <c r="C1037" t="s">
        <v>179</v>
      </c>
      <c r="D1037">
        <v>5</v>
      </c>
      <c r="E1037" t="s">
        <v>199</v>
      </c>
    </row>
    <row r="1038" spans="1:5" x14ac:dyDescent="0.25">
      <c r="A1038" t="s">
        <v>1445</v>
      </c>
      <c r="B1038" t="s">
        <v>1032</v>
      </c>
      <c r="C1038" t="s">
        <v>191</v>
      </c>
      <c r="D1038">
        <v>7</v>
      </c>
      <c r="E1038" t="s">
        <v>199</v>
      </c>
    </row>
    <row r="1039" spans="1:5" x14ac:dyDescent="0.25">
      <c r="A1039" t="s">
        <v>1446</v>
      </c>
      <c r="B1039" t="s">
        <v>358</v>
      </c>
      <c r="C1039" t="s">
        <v>191</v>
      </c>
      <c r="D1039">
        <v>2</v>
      </c>
      <c r="E1039" t="s">
        <v>234</v>
      </c>
    </row>
    <row r="1040" spans="1:5" x14ac:dyDescent="0.25">
      <c r="A1040" t="s">
        <v>1447</v>
      </c>
      <c r="B1040" t="s">
        <v>214</v>
      </c>
      <c r="C1040" t="s">
        <v>191</v>
      </c>
      <c r="D1040">
        <v>10</v>
      </c>
      <c r="E1040" t="s">
        <v>199</v>
      </c>
    </row>
    <row r="1041" spans="1:5" x14ac:dyDescent="0.25">
      <c r="A1041" t="s">
        <v>1448</v>
      </c>
      <c r="B1041" t="s">
        <v>187</v>
      </c>
      <c r="C1041" t="s">
        <v>191</v>
      </c>
      <c r="D1041">
        <v>3</v>
      </c>
      <c r="E1041" t="s">
        <v>180</v>
      </c>
    </row>
    <row r="1042" spans="1:5" x14ac:dyDescent="0.25">
      <c r="A1042" t="s">
        <v>1449</v>
      </c>
      <c r="B1042" t="s">
        <v>356</v>
      </c>
      <c r="C1042" t="s">
        <v>191</v>
      </c>
      <c r="D1042">
        <v>11</v>
      </c>
      <c r="E1042" t="s">
        <v>199</v>
      </c>
    </row>
    <row r="1043" spans="1:5" x14ac:dyDescent="0.25">
      <c r="A1043" t="s">
        <v>1450</v>
      </c>
      <c r="B1043" t="s">
        <v>791</v>
      </c>
      <c r="C1043" t="s">
        <v>179</v>
      </c>
      <c r="D1043">
        <v>10</v>
      </c>
      <c r="E1043" t="s">
        <v>183</v>
      </c>
    </row>
    <row r="1044" spans="1:5" x14ac:dyDescent="0.25">
      <c r="A1044" t="s">
        <v>1451</v>
      </c>
      <c r="B1044" t="s">
        <v>421</v>
      </c>
      <c r="C1044" t="s">
        <v>179</v>
      </c>
      <c r="D1044">
        <v>9</v>
      </c>
      <c r="E1044" t="s">
        <v>183</v>
      </c>
    </row>
    <row r="1045" spans="1:5" x14ac:dyDescent="0.25">
      <c r="A1045" t="s">
        <v>1452</v>
      </c>
      <c r="B1045" t="s">
        <v>323</v>
      </c>
      <c r="C1045" t="s">
        <v>219</v>
      </c>
      <c r="D1045">
        <v>13</v>
      </c>
      <c r="E1045" t="s">
        <v>180</v>
      </c>
    </row>
    <row r="1046" spans="1:5" x14ac:dyDescent="0.25">
      <c r="A1046" t="s">
        <v>1453</v>
      </c>
      <c r="B1046" t="s">
        <v>1251</v>
      </c>
      <c r="C1046" t="s">
        <v>179</v>
      </c>
      <c r="D1046">
        <v>13</v>
      </c>
      <c r="E1046" t="s">
        <v>180</v>
      </c>
    </row>
    <row r="1047" spans="1:5" x14ac:dyDescent="0.25">
      <c r="A1047" t="s">
        <v>1454</v>
      </c>
      <c r="B1047" t="s">
        <v>493</v>
      </c>
      <c r="C1047" t="s">
        <v>179</v>
      </c>
      <c r="D1047">
        <v>7</v>
      </c>
      <c r="E1047" t="s">
        <v>199</v>
      </c>
    </row>
    <row r="1048" spans="1:5" x14ac:dyDescent="0.25">
      <c r="A1048" t="s">
        <v>1455</v>
      </c>
      <c r="B1048" t="s">
        <v>402</v>
      </c>
      <c r="C1048" t="s">
        <v>179</v>
      </c>
      <c r="D1048">
        <v>3</v>
      </c>
      <c r="E1048" t="s">
        <v>199</v>
      </c>
    </row>
    <row r="1049" spans="1:5" x14ac:dyDescent="0.25">
      <c r="A1049" t="s">
        <v>1456</v>
      </c>
      <c r="B1049" t="s">
        <v>369</v>
      </c>
      <c r="C1049" t="s">
        <v>191</v>
      </c>
      <c r="D1049">
        <v>14</v>
      </c>
      <c r="E1049" t="s">
        <v>199</v>
      </c>
    </row>
    <row r="1050" spans="1:5" x14ac:dyDescent="0.25">
      <c r="A1050" t="s">
        <v>1457</v>
      </c>
      <c r="B1050" t="s">
        <v>270</v>
      </c>
      <c r="C1050" t="s">
        <v>191</v>
      </c>
      <c r="D1050">
        <v>13</v>
      </c>
      <c r="E1050" t="s">
        <v>234</v>
      </c>
    </row>
    <row r="1051" spans="1:5" x14ac:dyDescent="0.25">
      <c r="A1051" t="s">
        <v>1458</v>
      </c>
      <c r="B1051" t="s">
        <v>1032</v>
      </c>
      <c r="C1051" t="s">
        <v>191</v>
      </c>
      <c r="D1051">
        <v>1</v>
      </c>
      <c r="E1051" t="s">
        <v>188</v>
      </c>
    </row>
    <row r="1052" spans="1:5" x14ac:dyDescent="0.25">
      <c r="A1052" t="s">
        <v>1459</v>
      </c>
      <c r="B1052" t="s">
        <v>475</v>
      </c>
      <c r="C1052" t="s">
        <v>179</v>
      </c>
      <c r="D1052">
        <v>13</v>
      </c>
      <c r="E1052" t="s">
        <v>199</v>
      </c>
    </row>
    <row r="1053" spans="1:5" x14ac:dyDescent="0.25">
      <c r="A1053" t="s">
        <v>1460</v>
      </c>
      <c r="B1053" t="s">
        <v>182</v>
      </c>
      <c r="C1053" t="s">
        <v>179</v>
      </c>
      <c r="D1053">
        <v>13</v>
      </c>
      <c r="E1053" t="s">
        <v>199</v>
      </c>
    </row>
    <row r="1054" spans="1:5" x14ac:dyDescent="0.25">
      <c r="A1054" t="s">
        <v>1461</v>
      </c>
      <c r="B1054" t="s">
        <v>583</v>
      </c>
      <c r="C1054" t="s">
        <v>179</v>
      </c>
      <c r="D1054">
        <v>8</v>
      </c>
      <c r="E1054" t="s">
        <v>183</v>
      </c>
    </row>
    <row r="1055" spans="1:5" x14ac:dyDescent="0.25">
      <c r="A1055" t="s">
        <v>1462</v>
      </c>
      <c r="B1055" t="s">
        <v>702</v>
      </c>
      <c r="C1055" t="s">
        <v>191</v>
      </c>
      <c r="D1055">
        <v>8</v>
      </c>
      <c r="E1055" t="s">
        <v>199</v>
      </c>
    </row>
    <row r="1056" spans="1:5" x14ac:dyDescent="0.25">
      <c r="A1056" t="s">
        <v>1463</v>
      </c>
      <c r="B1056" t="s">
        <v>796</v>
      </c>
      <c r="C1056" t="s">
        <v>179</v>
      </c>
      <c r="D1056">
        <v>6</v>
      </c>
      <c r="E1056" t="s">
        <v>180</v>
      </c>
    </row>
    <row r="1057" spans="1:5" x14ac:dyDescent="0.25">
      <c r="A1057" t="s">
        <v>1464</v>
      </c>
      <c r="B1057" t="s">
        <v>331</v>
      </c>
      <c r="C1057" t="s">
        <v>179</v>
      </c>
      <c r="D1057">
        <v>6</v>
      </c>
      <c r="E1057" t="s">
        <v>234</v>
      </c>
    </row>
    <row r="1058" spans="1:5" x14ac:dyDescent="0.25">
      <c r="A1058" t="s">
        <v>1465</v>
      </c>
      <c r="B1058" t="s">
        <v>240</v>
      </c>
      <c r="C1058" t="s">
        <v>191</v>
      </c>
      <c r="D1058">
        <v>6</v>
      </c>
      <c r="E1058" t="s">
        <v>199</v>
      </c>
    </row>
    <row r="1059" spans="1:5" x14ac:dyDescent="0.25">
      <c r="A1059" t="s">
        <v>1466</v>
      </c>
      <c r="B1059" t="s">
        <v>637</v>
      </c>
      <c r="C1059" t="s">
        <v>179</v>
      </c>
      <c r="D1059">
        <v>14</v>
      </c>
      <c r="E1059" t="s">
        <v>199</v>
      </c>
    </row>
    <row r="1060" spans="1:5" x14ac:dyDescent="0.25">
      <c r="A1060" t="s">
        <v>1467</v>
      </c>
      <c r="B1060" t="s">
        <v>540</v>
      </c>
      <c r="C1060" t="s">
        <v>179</v>
      </c>
      <c r="D1060">
        <v>14</v>
      </c>
      <c r="E1060" t="s">
        <v>180</v>
      </c>
    </row>
    <row r="1061" spans="1:5" x14ac:dyDescent="0.25">
      <c r="A1061" t="s">
        <v>1468</v>
      </c>
      <c r="B1061" t="s">
        <v>715</v>
      </c>
      <c r="C1061" t="s">
        <v>179</v>
      </c>
      <c r="D1061">
        <v>5</v>
      </c>
      <c r="E1061" t="s">
        <v>183</v>
      </c>
    </row>
    <row r="1062" spans="1:5" x14ac:dyDescent="0.25">
      <c r="A1062" t="s">
        <v>1469</v>
      </c>
      <c r="B1062" t="s">
        <v>490</v>
      </c>
      <c r="C1062" t="s">
        <v>219</v>
      </c>
      <c r="D1062">
        <v>11</v>
      </c>
      <c r="E1062" t="s">
        <v>183</v>
      </c>
    </row>
    <row r="1063" spans="1:5" x14ac:dyDescent="0.25">
      <c r="A1063" t="s">
        <v>1470</v>
      </c>
      <c r="B1063" t="s">
        <v>437</v>
      </c>
      <c r="C1063" t="s">
        <v>191</v>
      </c>
      <c r="D1063">
        <v>10</v>
      </c>
      <c r="E1063" t="s">
        <v>199</v>
      </c>
    </row>
    <row r="1064" spans="1:5" x14ac:dyDescent="0.25">
      <c r="A1064" t="s">
        <v>1471</v>
      </c>
      <c r="B1064" t="s">
        <v>297</v>
      </c>
      <c r="C1064" t="s">
        <v>191</v>
      </c>
      <c r="D1064">
        <v>14</v>
      </c>
      <c r="E1064" t="s">
        <v>199</v>
      </c>
    </row>
    <row r="1065" spans="1:5" x14ac:dyDescent="0.25">
      <c r="A1065" t="s">
        <v>1472</v>
      </c>
      <c r="B1065" t="s">
        <v>567</v>
      </c>
      <c r="C1065" t="s">
        <v>191</v>
      </c>
      <c r="D1065">
        <v>2</v>
      </c>
      <c r="E1065" t="s">
        <v>199</v>
      </c>
    </row>
    <row r="1066" spans="1:5" x14ac:dyDescent="0.25">
      <c r="A1066" t="s">
        <v>1473</v>
      </c>
      <c r="B1066" t="s">
        <v>528</v>
      </c>
      <c r="C1066" t="s">
        <v>191</v>
      </c>
      <c r="D1066">
        <v>12</v>
      </c>
      <c r="E1066" t="s">
        <v>180</v>
      </c>
    </row>
    <row r="1067" spans="1:5" x14ac:dyDescent="0.25">
      <c r="A1067" t="s">
        <v>1474</v>
      </c>
      <c r="B1067" t="s">
        <v>369</v>
      </c>
      <c r="C1067" t="s">
        <v>179</v>
      </c>
      <c r="D1067">
        <v>12</v>
      </c>
      <c r="E1067" t="s">
        <v>199</v>
      </c>
    </row>
    <row r="1068" spans="1:5" x14ac:dyDescent="0.25">
      <c r="A1068" t="s">
        <v>1475</v>
      </c>
      <c r="B1068" t="s">
        <v>358</v>
      </c>
      <c r="C1068" t="s">
        <v>179</v>
      </c>
      <c r="D1068">
        <v>14</v>
      </c>
      <c r="E1068" t="s">
        <v>183</v>
      </c>
    </row>
    <row r="1069" spans="1:5" x14ac:dyDescent="0.25">
      <c r="A1069" t="s">
        <v>1476</v>
      </c>
      <c r="B1069" t="s">
        <v>791</v>
      </c>
      <c r="C1069" t="s">
        <v>191</v>
      </c>
      <c r="D1069">
        <v>6</v>
      </c>
      <c r="E1069" t="s">
        <v>199</v>
      </c>
    </row>
    <row r="1070" spans="1:5" x14ac:dyDescent="0.25">
      <c r="A1070" t="s">
        <v>1477</v>
      </c>
      <c r="B1070" t="s">
        <v>739</v>
      </c>
      <c r="C1070" t="s">
        <v>191</v>
      </c>
      <c r="D1070">
        <v>3</v>
      </c>
      <c r="E1070" t="s">
        <v>234</v>
      </c>
    </row>
    <row r="1071" spans="1:5" x14ac:dyDescent="0.25">
      <c r="A1071" t="s">
        <v>1478</v>
      </c>
      <c r="B1071" t="s">
        <v>443</v>
      </c>
      <c r="C1071" t="s">
        <v>179</v>
      </c>
      <c r="D1071">
        <v>13</v>
      </c>
      <c r="E1071" t="s">
        <v>183</v>
      </c>
    </row>
    <row r="1072" spans="1:5" x14ac:dyDescent="0.25">
      <c r="A1072" t="s">
        <v>1479</v>
      </c>
      <c r="B1072" t="s">
        <v>749</v>
      </c>
      <c r="C1072" t="s">
        <v>191</v>
      </c>
      <c r="D1072">
        <v>4</v>
      </c>
      <c r="E1072" t="s">
        <v>199</v>
      </c>
    </row>
    <row r="1073" spans="1:5" x14ac:dyDescent="0.25">
      <c r="A1073" t="s">
        <v>1480</v>
      </c>
      <c r="B1073" t="s">
        <v>190</v>
      </c>
      <c r="C1073" t="s">
        <v>191</v>
      </c>
      <c r="D1073">
        <v>12</v>
      </c>
      <c r="E1073" t="s">
        <v>183</v>
      </c>
    </row>
    <row r="1074" spans="1:5" x14ac:dyDescent="0.25">
      <c r="A1074" t="s">
        <v>1481</v>
      </c>
      <c r="B1074" t="s">
        <v>341</v>
      </c>
      <c r="C1074" t="s">
        <v>179</v>
      </c>
      <c r="D1074">
        <v>6</v>
      </c>
      <c r="E1074" t="s">
        <v>183</v>
      </c>
    </row>
    <row r="1075" spans="1:5" x14ac:dyDescent="0.25">
      <c r="A1075" t="s">
        <v>1482</v>
      </c>
      <c r="B1075" t="s">
        <v>214</v>
      </c>
      <c r="C1075" t="s">
        <v>196</v>
      </c>
      <c r="D1075">
        <v>6</v>
      </c>
      <c r="E1075" t="s">
        <v>199</v>
      </c>
    </row>
    <row r="1076" spans="1:5" x14ac:dyDescent="0.25">
      <c r="A1076" t="s">
        <v>1483</v>
      </c>
      <c r="B1076" t="s">
        <v>257</v>
      </c>
      <c r="C1076" t="s">
        <v>219</v>
      </c>
      <c r="D1076">
        <v>3</v>
      </c>
      <c r="E1076" t="s">
        <v>234</v>
      </c>
    </row>
    <row r="1077" spans="1:5" x14ac:dyDescent="0.25">
      <c r="A1077" t="s">
        <v>1484</v>
      </c>
      <c r="B1077" t="s">
        <v>504</v>
      </c>
      <c r="C1077" t="s">
        <v>179</v>
      </c>
      <c r="D1077">
        <v>11</v>
      </c>
      <c r="E1077" t="s">
        <v>183</v>
      </c>
    </row>
    <row r="1078" spans="1:5" x14ac:dyDescent="0.25">
      <c r="A1078" t="s">
        <v>1485</v>
      </c>
      <c r="B1078" t="s">
        <v>362</v>
      </c>
      <c r="C1078" t="s">
        <v>179</v>
      </c>
      <c r="D1078">
        <v>6</v>
      </c>
      <c r="E1078" t="s">
        <v>199</v>
      </c>
    </row>
    <row r="1079" spans="1:5" x14ac:dyDescent="0.25">
      <c r="A1079" t="s">
        <v>1486</v>
      </c>
      <c r="B1079" t="s">
        <v>419</v>
      </c>
      <c r="C1079" t="s">
        <v>179</v>
      </c>
      <c r="D1079">
        <v>12</v>
      </c>
      <c r="E1079" t="s">
        <v>199</v>
      </c>
    </row>
    <row r="1080" spans="1:5" x14ac:dyDescent="0.25">
      <c r="A1080" t="s">
        <v>1487</v>
      </c>
      <c r="B1080" t="s">
        <v>329</v>
      </c>
      <c r="C1080" t="s">
        <v>179</v>
      </c>
      <c r="D1080">
        <v>13</v>
      </c>
      <c r="E1080" t="s">
        <v>180</v>
      </c>
    </row>
    <row r="1081" spans="1:5" x14ac:dyDescent="0.25">
      <c r="A1081" t="s">
        <v>1488</v>
      </c>
      <c r="B1081" t="s">
        <v>656</v>
      </c>
      <c r="C1081" t="s">
        <v>219</v>
      </c>
      <c r="D1081">
        <v>10</v>
      </c>
      <c r="E1081" t="s">
        <v>180</v>
      </c>
    </row>
    <row r="1082" spans="1:5" x14ac:dyDescent="0.25">
      <c r="A1082" t="s">
        <v>1489</v>
      </c>
      <c r="B1082" t="s">
        <v>190</v>
      </c>
      <c r="C1082" t="s">
        <v>179</v>
      </c>
      <c r="D1082">
        <v>1</v>
      </c>
      <c r="E1082" t="s">
        <v>180</v>
      </c>
    </row>
    <row r="1083" spans="1:5" x14ac:dyDescent="0.25">
      <c r="A1083" t="s">
        <v>1490</v>
      </c>
      <c r="B1083" t="s">
        <v>938</v>
      </c>
      <c r="C1083" t="s">
        <v>219</v>
      </c>
      <c r="D1083">
        <v>6</v>
      </c>
      <c r="E1083" t="s">
        <v>199</v>
      </c>
    </row>
    <row r="1084" spans="1:5" x14ac:dyDescent="0.25">
      <c r="A1084" t="s">
        <v>1491</v>
      </c>
      <c r="B1084" t="s">
        <v>623</v>
      </c>
      <c r="C1084" t="s">
        <v>179</v>
      </c>
      <c r="D1084">
        <v>13</v>
      </c>
      <c r="E1084" t="s">
        <v>180</v>
      </c>
    </row>
    <row r="1085" spans="1:5" x14ac:dyDescent="0.25">
      <c r="A1085" t="s">
        <v>1492</v>
      </c>
      <c r="B1085" t="s">
        <v>394</v>
      </c>
      <c r="C1085" t="s">
        <v>179</v>
      </c>
      <c r="D1085">
        <v>5</v>
      </c>
      <c r="E1085" t="s">
        <v>180</v>
      </c>
    </row>
    <row r="1086" spans="1:5" x14ac:dyDescent="0.25">
      <c r="A1086" t="s">
        <v>1493</v>
      </c>
      <c r="B1086" t="s">
        <v>306</v>
      </c>
      <c r="C1086" t="s">
        <v>179</v>
      </c>
      <c r="D1086">
        <v>5</v>
      </c>
      <c r="E1086" t="s">
        <v>183</v>
      </c>
    </row>
    <row r="1087" spans="1:5" x14ac:dyDescent="0.25">
      <c r="A1087" t="s">
        <v>1494</v>
      </c>
      <c r="B1087" t="s">
        <v>356</v>
      </c>
      <c r="C1087" t="s">
        <v>191</v>
      </c>
      <c r="D1087">
        <v>8</v>
      </c>
      <c r="E1087" t="s">
        <v>234</v>
      </c>
    </row>
    <row r="1088" spans="1:5" x14ac:dyDescent="0.25">
      <c r="A1088" t="s">
        <v>1495</v>
      </c>
      <c r="B1088" t="s">
        <v>441</v>
      </c>
      <c r="C1088" t="s">
        <v>191</v>
      </c>
      <c r="D1088">
        <v>5</v>
      </c>
      <c r="E1088" t="s">
        <v>199</v>
      </c>
    </row>
    <row r="1089" spans="1:5" x14ac:dyDescent="0.25">
      <c r="A1089" t="s">
        <v>1496</v>
      </c>
      <c r="B1089" t="s">
        <v>437</v>
      </c>
      <c r="C1089" t="s">
        <v>179</v>
      </c>
      <c r="D1089">
        <v>1</v>
      </c>
      <c r="E1089" t="s">
        <v>199</v>
      </c>
    </row>
    <row r="1090" spans="1:5" x14ac:dyDescent="0.25">
      <c r="A1090" t="s">
        <v>1497</v>
      </c>
      <c r="B1090" t="s">
        <v>421</v>
      </c>
      <c r="C1090" t="s">
        <v>179</v>
      </c>
      <c r="D1090">
        <v>8</v>
      </c>
      <c r="E1090" t="s">
        <v>199</v>
      </c>
    </row>
    <row r="1091" spans="1:5" x14ac:dyDescent="0.25">
      <c r="A1091" t="s">
        <v>1498</v>
      </c>
      <c r="B1091" t="s">
        <v>218</v>
      </c>
      <c r="C1091" t="s">
        <v>191</v>
      </c>
      <c r="D1091">
        <v>11</v>
      </c>
      <c r="E1091" t="s">
        <v>183</v>
      </c>
    </row>
    <row r="1092" spans="1:5" x14ac:dyDescent="0.25">
      <c r="A1092" t="s">
        <v>1499</v>
      </c>
      <c r="B1092" t="s">
        <v>371</v>
      </c>
      <c r="C1092" t="s">
        <v>179</v>
      </c>
      <c r="D1092">
        <v>6</v>
      </c>
      <c r="E1092" t="s">
        <v>180</v>
      </c>
    </row>
    <row r="1093" spans="1:5" x14ac:dyDescent="0.25">
      <c r="A1093" t="s">
        <v>1500</v>
      </c>
      <c r="B1093" t="s">
        <v>938</v>
      </c>
      <c r="C1093" t="s">
        <v>191</v>
      </c>
      <c r="D1093">
        <v>8</v>
      </c>
      <c r="E1093" t="s">
        <v>183</v>
      </c>
    </row>
    <row r="1094" spans="1:5" x14ac:dyDescent="0.25">
      <c r="A1094" t="s">
        <v>1501</v>
      </c>
      <c r="B1094" t="s">
        <v>205</v>
      </c>
      <c r="C1094" t="s">
        <v>179</v>
      </c>
      <c r="D1094">
        <v>9</v>
      </c>
      <c r="E1094" t="s">
        <v>199</v>
      </c>
    </row>
    <row r="1095" spans="1:5" x14ac:dyDescent="0.25">
      <c r="A1095" t="s">
        <v>1502</v>
      </c>
      <c r="B1095" t="s">
        <v>287</v>
      </c>
      <c r="C1095" t="s">
        <v>179</v>
      </c>
      <c r="D1095">
        <v>12</v>
      </c>
      <c r="E1095" t="s">
        <v>199</v>
      </c>
    </row>
    <row r="1096" spans="1:5" x14ac:dyDescent="0.25">
      <c r="A1096" t="s">
        <v>1503</v>
      </c>
      <c r="B1096" t="s">
        <v>674</v>
      </c>
      <c r="C1096" t="s">
        <v>179</v>
      </c>
      <c r="D1096">
        <v>6</v>
      </c>
      <c r="E1096" t="s">
        <v>199</v>
      </c>
    </row>
    <row r="1097" spans="1:5" x14ac:dyDescent="0.25">
      <c r="A1097" t="s">
        <v>1504</v>
      </c>
      <c r="B1097" t="s">
        <v>432</v>
      </c>
      <c r="C1097" t="s">
        <v>179</v>
      </c>
      <c r="D1097">
        <v>5</v>
      </c>
      <c r="E1097" t="s">
        <v>183</v>
      </c>
    </row>
    <row r="1098" spans="1:5" x14ac:dyDescent="0.25">
      <c r="A1098" t="s">
        <v>1505</v>
      </c>
      <c r="B1098" t="s">
        <v>193</v>
      </c>
      <c r="C1098" t="s">
        <v>191</v>
      </c>
      <c r="D1098">
        <v>3</v>
      </c>
      <c r="E1098" t="s">
        <v>199</v>
      </c>
    </row>
    <row r="1099" spans="1:5" x14ac:dyDescent="0.25">
      <c r="A1099" t="s">
        <v>1506</v>
      </c>
      <c r="B1099" t="s">
        <v>1023</v>
      </c>
      <c r="C1099" t="s">
        <v>191</v>
      </c>
      <c r="D1099">
        <v>11</v>
      </c>
      <c r="E1099" t="s">
        <v>199</v>
      </c>
    </row>
    <row r="1100" spans="1:5" x14ac:dyDescent="0.25">
      <c r="A1100" t="s">
        <v>1507</v>
      </c>
      <c r="B1100" t="s">
        <v>1018</v>
      </c>
      <c r="C1100" t="s">
        <v>196</v>
      </c>
      <c r="D1100">
        <v>6</v>
      </c>
      <c r="E1100" t="s">
        <v>180</v>
      </c>
    </row>
    <row r="1101" spans="1:5" x14ac:dyDescent="0.25">
      <c r="A1101" t="s">
        <v>1508</v>
      </c>
      <c r="B1101" t="s">
        <v>315</v>
      </c>
      <c r="C1101" t="s">
        <v>191</v>
      </c>
      <c r="D1101">
        <v>1</v>
      </c>
      <c r="E1101" t="s">
        <v>180</v>
      </c>
    </row>
    <row r="1102" spans="1:5" x14ac:dyDescent="0.25">
      <c r="A1102" t="s">
        <v>1509</v>
      </c>
      <c r="B1102" t="s">
        <v>295</v>
      </c>
      <c r="C1102" t="s">
        <v>219</v>
      </c>
      <c r="D1102">
        <v>11</v>
      </c>
      <c r="E1102" t="s">
        <v>199</v>
      </c>
    </row>
    <row r="1103" spans="1:5" x14ac:dyDescent="0.25">
      <c r="A1103" t="s">
        <v>1510</v>
      </c>
      <c r="B1103" t="s">
        <v>289</v>
      </c>
      <c r="C1103" t="s">
        <v>191</v>
      </c>
      <c r="D1103">
        <v>1</v>
      </c>
      <c r="E1103" t="s">
        <v>234</v>
      </c>
    </row>
    <row r="1104" spans="1:5" x14ac:dyDescent="0.25">
      <c r="A1104" t="s">
        <v>1511</v>
      </c>
      <c r="B1104" t="s">
        <v>510</v>
      </c>
      <c r="C1104" t="s">
        <v>191</v>
      </c>
      <c r="D1104">
        <v>2</v>
      </c>
      <c r="E1104" t="s">
        <v>180</v>
      </c>
    </row>
    <row r="1105" spans="1:5" x14ac:dyDescent="0.25">
      <c r="A1105" t="s">
        <v>1512</v>
      </c>
      <c r="B1105" t="s">
        <v>242</v>
      </c>
      <c r="C1105" t="s">
        <v>179</v>
      </c>
      <c r="D1105">
        <v>12</v>
      </c>
      <c r="E1105" t="s">
        <v>188</v>
      </c>
    </row>
    <row r="1106" spans="1:5" x14ac:dyDescent="0.25">
      <c r="A1106" t="s">
        <v>1513</v>
      </c>
      <c r="B1106" t="s">
        <v>287</v>
      </c>
      <c r="C1106" t="s">
        <v>219</v>
      </c>
      <c r="D1106">
        <v>10</v>
      </c>
      <c r="E1106" t="s">
        <v>183</v>
      </c>
    </row>
    <row r="1107" spans="1:5" x14ac:dyDescent="0.25">
      <c r="A1107" t="s">
        <v>1514</v>
      </c>
      <c r="B1107" t="s">
        <v>343</v>
      </c>
      <c r="C1107" t="s">
        <v>191</v>
      </c>
      <c r="D1107">
        <v>3</v>
      </c>
      <c r="E1107" t="s">
        <v>180</v>
      </c>
    </row>
    <row r="1108" spans="1:5" x14ac:dyDescent="0.25">
      <c r="A1108" t="s">
        <v>1515</v>
      </c>
      <c r="B1108" t="s">
        <v>227</v>
      </c>
      <c r="C1108" t="s">
        <v>179</v>
      </c>
      <c r="D1108">
        <v>13</v>
      </c>
      <c r="E1108" t="s">
        <v>199</v>
      </c>
    </row>
    <row r="1109" spans="1:5" x14ac:dyDescent="0.25">
      <c r="A1109" t="s">
        <v>1516</v>
      </c>
      <c r="B1109" t="s">
        <v>551</v>
      </c>
      <c r="C1109" t="s">
        <v>196</v>
      </c>
      <c r="D1109">
        <v>8</v>
      </c>
      <c r="E1109" t="s">
        <v>183</v>
      </c>
    </row>
    <row r="1110" spans="1:5" x14ac:dyDescent="0.25">
      <c r="A1110" t="s">
        <v>1517</v>
      </c>
      <c r="B1110" t="s">
        <v>794</v>
      </c>
      <c r="C1110" t="s">
        <v>179</v>
      </c>
      <c r="D1110">
        <v>6</v>
      </c>
      <c r="E1110" t="s">
        <v>180</v>
      </c>
    </row>
    <row r="1111" spans="1:5" x14ac:dyDescent="0.25">
      <c r="A1111" t="s">
        <v>1518</v>
      </c>
      <c r="B1111" t="s">
        <v>475</v>
      </c>
      <c r="C1111" t="s">
        <v>179</v>
      </c>
      <c r="D1111">
        <v>3</v>
      </c>
      <c r="E1111" t="s">
        <v>199</v>
      </c>
    </row>
    <row r="1112" spans="1:5" x14ac:dyDescent="0.25">
      <c r="A1112" t="s">
        <v>1519</v>
      </c>
      <c r="B1112" t="s">
        <v>297</v>
      </c>
      <c r="C1112" t="s">
        <v>179</v>
      </c>
      <c r="D1112">
        <v>4</v>
      </c>
      <c r="E1112" t="s">
        <v>199</v>
      </c>
    </row>
    <row r="1113" spans="1:5" x14ac:dyDescent="0.25">
      <c r="A1113" t="s">
        <v>1520</v>
      </c>
      <c r="B1113" t="s">
        <v>1032</v>
      </c>
      <c r="C1113" t="s">
        <v>179</v>
      </c>
      <c r="D1113">
        <v>10</v>
      </c>
      <c r="E1113" t="s">
        <v>188</v>
      </c>
    </row>
    <row r="1114" spans="1:5" x14ac:dyDescent="0.25">
      <c r="A1114" t="s">
        <v>1521</v>
      </c>
      <c r="B1114" t="s">
        <v>501</v>
      </c>
      <c r="C1114" t="s">
        <v>191</v>
      </c>
      <c r="D1114">
        <v>11</v>
      </c>
      <c r="E1114" t="s">
        <v>180</v>
      </c>
    </row>
    <row r="1115" spans="1:5" x14ac:dyDescent="0.25">
      <c r="A1115" t="s">
        <v>1522</v>
      </c>
      <c r="B1115" t="s">
        <v>739</v>
      </c>
      <c r="C1115" t="s">
        <v>179</v>
      </c>
      <c r="D1115">
        <v>9</v>
      </c>
      <c r="E1115" t="s">
        <v>183</v>
      </c>
    </row>
    <row r="1116" spans="1:5" x14ac:dyDescent="0.25">
      <c r="A1116" t="s">
        <v>1523</v>
      </c>
      <c r="B1116" t="s">
        <v>508</v>
      </c>
      <c r="C1116" t="s">
        <v>179</v>
      </c>
      <c r="D1116">
        <v>11</v>
      </c>
      <c r="E1116" t="s">
        <v>199</v>
      </c>
    </row>
    <row r="1117" spans="1:5" x14ac:dyDescent="0.25">
      <c r="A1117" t="s">
        <v>1524</v>
      </c>
      <c r="B1117" t="s">
        <v>481</v>
      </c>
      <c r="C1117" t="s">
        <v>196</v>
      </c>
      <c r="D1117">
        <v>1</v>
      </c>
      <c r="E1117" t="s">
        <v>199</v>
      </c>
    </row>
    <row r="1118" spans="1:5" x14ac:dyDescent="0.25">
      <c r="A1118" t="s">
        <v>1525</v>
      </c>
      <c r="B1118" t="s">
        <v>349</v>
      </c>
      <c r="C1118" t="s">
        <v>179</v>
      </c>
      <c r="D1118">
        <v>9</v>
      </c>
      <c r="E1118" t="s">
        <v>199</v>
      </c>
    </row>
    <row r="1119" spans="1:5" x14ac:dyDescent="0.25">
      <c r="A1119" t="s">
        <v>1526</v>
      </c>
      <c r="B1119" t="s">
        <v>953</v>
      </c>
      <c r="C1119" t="s">
        <v>191</v>
      </c>
      <c r="D1119">
        <v>8</v>
      </c>
      <c r="E1119" t="s">
        <v>183</v>
      </c>
    </row>
    <row r="1120" spans="1:5" x14ac:dyDescent="0.25">
      <c r="A1120" t="s">
        <v>1527</v>
      </c>
      <c r="B1120" t="s">
        <v>414</v>
      </c>
      <c r="C1120" t="s">
        <v>179</v>
      </c>
      <c r="D1120">
        <v>5</v>
      </c>
      <c r="E1120" t="s">
        <v>199</v>
      </c>
    </row>
    <row r="1121" spans="1:5" x14ac:dyDescent="0.25">
      <c r="A1121" t="s">
        <v>1528</v>
      </c>
      <c r="B1121" t="s">
        <v>210</v>
      </c>
      <c r="C1121" t="s">
        <v>191</v>
      </c>
      <c r="D1121">
        <v>6</v>
      </c>
      <c r="E1121" t="s">
        <v>180</v>
      </c>
    </row>
    <row r="1122" spans="1:5" x14ac:dyDescent="0.25">
      <c r="A1122" t="s">
        <v>1529</v>
      </c>
      <c r="B1122" t="s">
        <v>210</v>
      </c>
      <c r="C1122" t="s">
        <v>191</v>
      </c>
      <c r="D1122">
        <v>13</v>
      </c>
      <c r="E1122" t="s">
        <v>180</v>
      </c>
    </row>
    <row r="1123" spans="1:5" x14ac:dyDescent="0.25">
      <c r="A1123" t="s">
        <v>1530</v>
      </c>
      <c r="B1123" t="s">
        <v>321</v>
      </c>
      <c r="C1123" t="s">
        <v>179</v>
      </c>
      <c r="D1123">
        <v>12</v>
      </c>
      <c r="E1123" t="s">
        <v>183</v>
      </c>
    </row>
    <row r="1124" spans="1:5" x14ac:dyDescent="0.25">
      <c r="A1124" t="s">
        <v>1531</v>
      </c>
      <c r="B1124" t="s">
        <v>329</v>
      </c>
      <c r="C1124" t="s">
        <v>191</v>
      </c>
      <c r="D1124">
        <v>8</v>
      </c>
      <c r="E1124" t="s">
        <v>199</v>
      </c>
    </row>
    <row r="1125" spans="1:5" x14ac:dyDescent="0.25">
      <c r="A1125" t="s">
        <v>1532</v>
      </c>
      <c r="B1125" t="s">
        <v>451</v>
      </c>
      <c r="C1125" t="s">
        <v>179</v>
      </c>
      <c r="D1125">
        <v>10</v>
      </c>
      <c r="E1125" t="s">
        <v>199</v>
      </c>
    </row>
    <row r="1126" spans="1:5" x14ac:dyDescent="0.25">
      <c r="A1126" t="s">
        <v>1533</v>
      </c>
      <c r="B1126" t="s">
        <v>528</v>
      </c>
      <c r="C1126" t="s">
        <v>219</v>
      </c>
      <c r="D1126">
        <v>12</v>
      </c>
      <c r="E1126" t="s">
        <v>199</v>
      </c>
    </row>
    <row r="1127" spans="1:5" x14ac:dyDescent="0.25">
      <c r="A1127" t="s">
        <v>1534</v>
      </c>
      <c r="B1127" t="s">
        <v>760</v>
      </c>
      <c r="C1127" t="s">
        <v>219</v>
      </c>
      <c r="D1127">
        <v>2</v>
      </c>
      <c r="E1127" t="s">
        <v>180</v>
      </c>
    </row>
    <row r="1128" spans="1:5" x14ac:dyDescent="0.25">
      <c r="A1128" t="s">
        <v>1535</v>
      </c>
      <c r="B1128" t="s">
        <v>379</v>
      </c>
      <c r="C1128" t="s">
        <v>219</v>
      </c>
      <c r="D1128">
        <v>6</v>
      </c>
      <c r="E1128" t="s">
        <v>199</v>
      </c>
    </row>
    <row r="1129" spans="1:5" x14ac:dyDescent="0.25">
      <c r="A1129" t="s">
        <v>1536</v>
      </c>
      <c r="B1129" t="s">
        <v>803</v>
      </c>
      <c r="C1129" t="s">
        <v>191</v>
      </c>
      <c r="D1129">
        <v>12</v>
      </c>
      <c r="E1129" t="s">
        <v>180</v>
      </c>
    </row>
    <row r="1130" spans="1:5" x14ac:dyDescent="0.25">
      <c r="A1130" t="s">
        <v>1537</v>
      </c>
      <c r="B1130" t="s">
        <v>683</v>
      </c>
      <c r="C1130" t="s">
        <v>191</v>
      </c>
      <c r="D1130">
        <v>8</v>
      </c>
      <c r="E1130" t="s">
        <v>183</v>
      </c>
    </row>
    <row r="1131" spans="1:5" x14ac:dyDescent="0.25">
      <c r="A1131" t="s">
        <v>1538</v>
      </c>
      <c r="B1131" t="s">
        <v>603</v>
      </c>
      <c r="C1131" t="s">
        <v>196</v>
      </c>
      <c r="D1131">
        <v>4</v>
      </c>
      <c r="E1131" t="s">
        <v>183</v>
      </c>
    </row>
    <row r="1132" spans="1:5" x14ac:dyDescent="0.25">
      <c r="A1132" t="s">
        <v>1539</v>
      </c>
      <c r="B1132" t="s">
        <v>369</v>
      </c>
      <c r="C1132" t="s">
        <v>219</v>
      </c>
      <c r="D1132">
        <v>12</v>
      </c>
      <c r="E1132" t="s">
        <v>180</v>
      </c>
    </row>
    <row r="1133" spans="1:5" x14ac:dyDescent="0.25">
      <c r="A1133" t="s">
        <v>1540</v>
      </c>
      <c r="B1133" t="s">
        <v>553</v>
      </c>
      <c r="C1133" t="s">
        <v>196</v>
      </c>
      <c r="D1133">
        <v>3</v>
      </c>
      <c r="E1133" t="s">
        <v>199</v>
      </c>
    </row>
    <row r="1134" spans="1:5" x14ac:dyDescent="0.25">
      <c r="A1134" t="s">
        <v>1541</v>
      </c>
      <c r="B1134" t="s">
        <v>377</v>
      </c>
      <c r="C1134" t="s">
        <v>179</v>
      </c>
      <c r="D1134">
        <v>9</v>
      </c>
      <c r="E1134" t="s">
        <v>234</v>
      </c>
    </row>
    <row r="1135" spans="1:5" x14ac:dyDescent="0.25">
      <c r="A1135" t="s">
        <v>1542</v>
      </c>
      <c r="B1135" t="s">
        <v>445</v>
      </c>
      <c r="C1135" t="s">
        <v>179</v>
      </c>
      <c r="D1135">
        <v>2</v>
      </c>
      <c r="E1135" t="s">
        <v>183</v>
      </c>
    </row>
    <row r="1136" spans="1:5" x14ac:dyDescent="0.25">
      <c r="A1136" t="s">
        <v>1543</v>
      </c>
      <c r="B1136" t="s">
        <v>520</v>
      </c>
      <c r="C1136" t="s">
        <v>179</v>
      </c>
      <c r="D1136">
        <v>7</v>
      </c>
      <c r="E1136" t="s">
        <v>183</v>
      </c>
    </row>
    <row r="1137" spans="1:5" x14ac:dyDescent="0.25">
      <c r="A1137" t="s">
        <v>1544</v>
      </c>
      <c r="B1137" t="s">
        <v>242</v>
      </c>
      <c r="C1137" t="s">
        <v>179</v>
      </c>
      <c r="D1137">
        <v>12</v>
      </c>
      <c r="E1137" t="s">
        <v>199</v>
      </c>
    </row>
    <row r="1138" spans="1:5" x14ac:dyDescent="0.25">
      <c r="A1138" t="s">
        <v>1545</v>
      </c>
      <c r="B1138" t="s">
        <v>323</v>
      </c>
      <c r="C1138" t="s">
        <v>179</v>
      </c>
      <c r="D1138">
        <v>2</v>
      </c>
      <c r="E1138" t="s">
        <v>183</v>
      </c>
    </row>
    <row r="1139" spans="1:5" x14ac:dyDescent="0.25">
      <c r="A1139" t="s">
        <v>1546</v>
      </c>
      <c r="B1139" t="s">
        <v>789</v>
      </c>
      <c r="C1139" t="s">
        <v>179</v>
      </c>
      <c r="D1139">
        <v>1</v>
      </c>
      <c r="E1139" t="s">
        <v>183</v>
      </c>
    </row>
    <row r="1140" spans="1:5" x14ac:dyDescent="0.25">
      <c r="A1140" t="s">
        <v>1547</v>
      </c>
      <c r="B1140" t="s">
        <v>227</v>
      </c>
      <c r="C1140" t="s">
        <v>179</v>
      </c>
      <c r="D1140">
        <v>7</v>
      </c>
      <c r="E1140" t="s">
        <v>234</v>
      </c>
    </row>
    <row r="1141" spans="1:5" x14ac:dyDescent="0.25">
      <c r="A1141" t="s">
        <v>1548</v>
      </c>
      <c r="B1141" t="s">
        <v>1059</v>
      </c>
      <c r="C1141" t="s">
        <v>179</v>
      </c>
      <c r="D1141">
        <v>11</v>
      </c>
      <c r="E1141" t="s">
        <v>199</v>
      </c>
    </row>
    <row r="1142" spans="1:5" x14ac:dyDescent="0.25">
      <c r="A1142" t="s">
        <v>1549</v>
      </c>
      <c r="B1142" t="s">
        <v>1102</v>
      </c>
      <c r="C1142" t="s">
        <v>179</v>
      </c>
      <c r="D1142">
        <v>12</v>
      </c>
      <c r="E1142" t="s">
        <v>183</v>
      </c>
    </row>
    <row r="1143" spans="1:5" x14ac:dyDescent="0.25">
      <c r="A1143" t="s">
        <v>1550</v>
      </c>
      <c r="B1143" t="s">
        <v>412</v>
      </c>
      <c r="C1143" t="s">
        <v>179</v>
      </c>
      <c r="D1143">
        <v>3</v>
      </c>
      <c r="E1143" t="s">
        <v>180</v>
      </c>
    </row>
    <row r="1144" spans="1:5" x14ac:dyDescent="0.25">
      <c r="A1144" t="s">
        <v>1551</v>
      </c>
      <c r="B1144" t="s">
        <v>364</v>
      </c>
      <c r="C1144" t="s">
        <v>219</v>
      </c>
      <c r="D1144">
        <v>12</v>
      </c>
      <c r="E1144" t="s">
        <v>183</v>
      </c>
    </row>
    <row r="1145" spans="1:5" x14ac:dyDescent="0.25">
      <c r="A1145" t="s">
        <v>1552</v>
      </c>
      <c r="B1145" t="s">
        <v>182</v>
      </c>
      <c r="C1145" t="s">
        <v>179</v>
      </c>
      <c r="D1145">
        <v>7</v>
      </c>
      <c r="E1145" t="s">
        <v>199</v>
      </c>
    </row>
    <row r="1146" spans="1:5" x14ac:dyDescent="0.25">
      <c r="A1146" t="s">
        <v>1553</v>
      </c>
      <c r="B1146" t="s">
        <v>634</v>
      </c>
      <c r="C1146" t="s">
        <v>191</v>
      </c>
      <c r="D1146">
        <v>8</v>
      </c>
      <c r="E1146" t="s">
        <v>180</v>
      </c>
    </row>
    <row r="1147" spans="1:5" x14ac:dyDescent="0.25">
      <c r="A1147" t="s">
        <v>1554</v>
      </c>
      <c r="B1147" t="s">
        <v>315</v>
      </c>
      <c r="C1147" t="s">
        <v>179</v>
      </c>
      <c r="D1147">
        <v>8</v>
      </c>
      <c r="E1147" t="s">
        <v>234</v>
      </c>
    </row>
    <row r="1148" spans="1:5" x14ac:dyDescent="0.25">
      <c r="A1148" t="s">
        <v>1555</v>
      </c>
      <c r="B1148" t="s">
        <v>284</v>
      </c>
      <c r="C1148" t="s">
        <v>179</v>
      </c>
      <c r="D1148">
        <v>13</v>
      </c>
      <c r="E1148" t="s">
        <v>183</v>
      </c>
    </row>
    <row r="1149" spans="1:5" x14ac:dyDescent="0.25">
      <c r="A1149" t="s">
        <v>1556</v>
      </c>
      <c r="B1149" t="s">
        <v>525</v>
      </c>
      <c r="C1149" t="s">
        <v>191</v>
      </c>
      <c r="D1149">
        <v>14</v>
      </c>
      <c r="E1149" t="s">
        <v>199</v>
      </c>
    </row>
    <row r="1150" spans="1:5" x14ac:dyDescent="0.25">
      <c r="A1150" t="s">
        <v>1557</v>
      </c>
      <c r="B1150" t="s">
        <v>223</v>
      </c>
      <c r="C1150" t="s">
        <v>219</v>
      </c>
      <c r="D1150">
        <v>6</v>
      </c>
      <c r="E1150" t="s">
        <v>199</v>
      </c>
    </row>
    <row r="1151" spans="1:5" x14ac:dyDescent="0.25">
      <c r="A1151" t="s">
        <v>1558</v>
      </c>
      <c r="B1151" t="s">
        <v>282</v>
      </c>
      <c r="C1151" t="s">
        <v>179</v>
      </c>
      <c r="D1151">
        <v>4</v>
      </c>
      <c r="E1151" t="s">
        <v>234</v>
      </c>
    </row>
    <row r="1152" spans="1:5" x14ac:dyDescent="0.25">
      <c r="A1152" t="s">
        <v>1559</v>
      </c>
      <c r="B1152" t="s">
        <v>601</v>
      </c>
      <c r="C1152" t="s">
        <v>179</v>
      </c>
      <c r="D1152">
        <v>13</v>
      </c>
      <c r="E1152" t="s">
        <v>183</v>
      </c>
    </row>
    <row r="1153" spans="1:5" x14ac:dyDescent="0.25">
      <c r="A1153" t="s">
        <v>1560</v>
      </c>
      <c r="B1153" t="s">
        <v>218</v>
      </c>
      <c r="C1153" t="s">
        <v>179</v>
      </c>
      <c r="D1153">
        <v>9</v>
      </c>
      <c r="E1153" t="s">
        <v>188</v>
      </c>
    </row>
    <row r="1154" spans="1:5" x14ac:dyDescent="0.25">
      <c r="A1154" t="s">
        <v>1561</v>
      </c>
      <c r="B1154" t="s">
        <v>479</v>
      </c>
      <c r="C1154" t="s">
        <v>191</v>
      </c>
      <c r="D1154">
        <v>2</v>
      </c>
      <c r="E1154" t="s">
        <v>183</v>
      </c>
    </row>
    <row r="1155" spans="1:5" x14ac:dyDescent="0.25">
      <c r="A1155" t="s">
        <v>1562</v>
      </c>
      <c r="B1155" t="s">
        <v>878</v>
      </c>
      <c r="C1155" t="s">
        <v>179</v>
      </c>
      <c r="D1155">
        <v>6</v>
      </c>
      <c r="E1155" t="s">
        <v>188</v>
      </c>
    </row>
    <row r="1156" spans="1:5" x14ac:dyDescent="0.25">
      <c r="A1156" t="s">
        <v>1563</v>
      </c>
      <c r="B1156" t="s">
        <v>270</v>
      </c>
      <c r="C1156" t="s">
        <v>191</v>
      </c>
      <c r="D1156">
        <v>12</v>
      </c>
      <c r="E1156" t="s">
        <v>180</v>
      </c>
    </row>
    <row r="1157" spans="1:5" x14ac:dyDescent="0.25">
      <c r="A1157" t="s">
        <v>1564</v>
      </c>
      <c r="B1157" t="s">
        <v>375</v>
      </c>
      <c r="C1157" t="s">
        <v>191</v>
      </c>
      <c r="D1157">
        <v>9</v>
      </c>
      <c r="E1157" t="s">
        <v>183</v>
      </c>
    </row>
    <row r="1158" spans="1:5" x14ac:dyDescent="0.25">
      <c r="A1158" t="s">
        <v>1565</v>
      </c>
      <c r="B1158" t="s">
        <v>264</v>
      </c>
      <c r="C1158" t="s">
        <v>191</v>
      </c>
      <c r="D1158">
        <v>2</v>
      </c>
      <c r="E1158" t="s">
        <v>199</v>
      </c>
    </row>
    <row r="1159" spans="1:5" x14ac:dyDescent="0.25">
      <c r="A1159" t="s">
        <v>1566</v>
      </c>
      <c r="B1159" t="s">
        <v>485</v>
      </c>
      <c r="C1159" t="s">
        <v>179</v>
      </c>
      <c r="D1159">
        <v>14</v>
      </c>
      <c r="E1159" t="s">
        <v>183</v>
      </c>
    </row>
    <row r="1160" spans="1:5" x14ac:dyDescent="0.25">
      <c r="A1160" t="s">
        <v>1567</v>
      </c>
      <c r="B1160" t="s">
        <v>341</v>
      </c>
      <c r="C1160" t="s">
        <v>219</v>
      </c>
      <c r="D1160">
        <v>13</v>
      </c>
      <c r="E1160" t="s">
        <v>199</v>
      </c>
    </row>
    <row r="1161" spans="1:5" x14ac:dyDescent="0.25">
      <c r="A1161" t="s">
        <v>1568</v>
      </c>
      <c r="B1161" t="s">
        <v>475</v>
      </c>
      <c r="C1161" t="s">
        <v>179</v>
      </c>
      <c r="D1161">
        <v>7</v>
      </c>
      <c r="E1161" t="s">
        <v>180</v>
      </c>
    </row>
    <row r="1162" spans="1:5" x14ac:dyDescent="0.25">
      <c r="A1162" t="s">
        <v>1569</v>
      </c>
      <c r="B1162" t="s">
        <v>1102</v>
      </c>
      <c r="C1162" t="s">
        <v>191</v>
      </c>
      <c r="D1162">
        <v>5</v>
      </c>
      <c r="E1162" t="s">
        <v>234</v>
      </c>
    </row>
    <row r="1163" spans="1:5" x14ac:dyDescent="0.25">
      <c r="A1163" t="s">
        <v>1570</v>
      </c>
      <c r="B1163" t="s">
        <v>724</v>
      </c>
      <c r="C1163" t="s">
        <v>179</v>
      </c>
      <c r="D1163">
        <v>3</v>
      </c>
      <c r="E1163" t="s">
        <v>183</v>
      </c>
    </row>
    <row r="1164" spans="1:5" x14ac:dyDescent="0.25">
      <c r="A1164" t="s">
        <v>1571</v>
      </c>
      <c r="B1164" t="s">
        <v>520</v>
      </c>
      <c r="C1164" t="s">
        <v>191</v>
      </c>
      <c r="D1164">
        <v>9</v>
      </c>
      <c r="E1164" t="s">
        <v>180</v>
      </c>
    </row>
    <row r="1165" spans="1:5" x14ac:dyDescent="0.25">
      <c r="A1165" t="s">
        <v>1572</v>
      </c>
      <c r="B1165" t="s">
        <v>274</v>
      </c>
      <c r="C1165" t="s">
        <v>179</v>
      </c>
      <c r="D1165">
        <v>9</v>
      </c>
      <c r="E1165" t="s">
        <v>180</v>
      </c>
    </row>
    <row r="1166" spans="1:5" x14ac:dyDescent="0.25">
      <c r="A1166" t="s">
        <v>1573</v>
      </c>
      <c r="B1166" t="s">
        <v>388</v>
      </c>
      <c r="C1166" t="s">
        <v>196</v>
      </c>
      <c r="D1166">
        <v>1</v>
      </c>
      <c r="E1166" t="s">
        <v>180</v>
      </c>
    </row>
    <row r="1167" spans="1:5" x14ac:dyDescent="0.25">
      <c r="A1167" t="s">
        <v>1574</v>
      </c>
      <c r="B1167" t="s">
        <v>301</v>
      </c>
      <c r="C1167" t="s">
        <v>179</v>
      </c>
      <c r="D1167">
        <v>10</v>
      </c>
      <c r="E1167" t="s">
        <v>199</v>
      </c>
    </row>
    <row r="1168" spans="1:5" x14ac:dyDescent="0.25">
      <c r="A1168" t="s">
        <v>1575</v>
      </c>
      <c r="B1168" t="s">
        <v>388</v>
      </c>
      <c r="C1168" t="s">
        <v>179</v>
      </c>
      <c r="D1168">
        <v>13</v>
      </c>
      <c r="E1168" t="s">
        <v>180</v>
      </c>
    </row>
    <row r="1169" spans="1:5" x14ac:dyDescent="0.25">
      <c r="A1169" t="s">
        <v>1576</v>
      </c>
      <c r="B1169" t="s">
        <v>282</v>
      </c>
      <c r="C1169" t="s">
        <v>179</v>
      </c>
      <c r="D1169">
        <v>14</v>
      </c>
      <c r="E1169" t="s">
        <v>180</v>
      </c>
    </row>
    <row r="1170" spans="1:5" x14ac:dyDescent="0.25">
      <c r="A1170" t="s">
        <v>1577</v>
      </c>
      <c r="B1170" t="s">
        <v>538</v>
      </c>
      <c r="C1170" t="s">
        <v>179</v>
      </c>
      <c r="D1170">
        <v>7</v>
      </c>
      <c r="E1170" t="s">
        <v>183</v>
      </c>
    </row>
    <row r="1171" spans="1:5" x14ac:dyDescent="0.25">
      <c r="A1171" t="s">
        <v>1578</v>
      </c>
      <c r="B1171" t="s">
        <v>674</v>
      </c>
      <c r="C1171" t="s">
        <v>179</v>
      </c>
      <c r="D1171">
        <v>14</v>
      </c>
      <c r="E1171" t="s">
        <v>188</v>
      </c>
    </row>
    <row r="1172" spans="1:5" x14ac:dyDescent="0.25">
      <c r="A1172" t="s">
        <v>1579</v>
      </c>
      <c r="B1172" t="s">
        <v>443</v>
      </c>
      <c r="C1172" t="s">
        <v>179</v>
      </c>
      <c r="D1172">
        <v>5</v>
      </c>
      <c r="E1172" t="s">
        <v>234</v>
      </c>
    </row>
    <row r="1173" spans="1:5" x14ac:dyDescent="0.25">
      <c r="A1173" t="s">
        <v>1580</v>
      </c>
      <c r="B1173" t="s">
        <v>623</v>
      </c>
      <c r="C1173" t="s">
        <v>219</v>
      </c>
      <c r="D1173">
        <v>9</v>
      </c>
      <c r="E1173" t="s">
        <v>183</v>
      </c>
    </row>
    <row r="1174" spans="1:5" x14ac:dyDescent="0.25">
      <c r="A1174" t="s">
        <v>1581</v>
      </c>
      <c r="B1174" t="s">
        <v>362</v>
      </c>
      <c r="C1174" t="s">
        <v>191</v>
      </c>
      <c r="D1174">
        <v>4</v>
      </c>
      <c r="E1174" t="s">
        <v>199</v>
      </c>
    </row>
    <row r="1175" spans="1:5" x14ac:dyDescent="0.25">
      <c r="A1175" t="s">
        <v>1582</v>
      </c>
      <c r="B1175" t="s">
        <v>706</v>
      </c>
      <c r="C1175" t="s">
        <v>191</v>
      </c>
      <c r="D1175">
        <v>13</v>
      </c>
      <c r="E1175" t="s">
        <v>199</v>
      </c>
    </row>
    <row r="1176" spans="1:5" x14ac:dyDescent="0.25">
      <c r="A1176" t="s">
        <v>1583</v>
      </c>
      <c r="B1176" t="s">
        <v>715</v>
      </c>
      <c r="C1176" t="s">
        <v>179</v>
      </c>
      <c r="D1176">
        <v>6</v>
      </c>
      <c r="E1176" t="s">
        <v>183</v>
      </c>
    </row>
    <row r="1177" spans="1:5" x14ac:dyDescent="0.25">
      <c r="A1177" t="s">
        <v>1584</v>
      </c>
      <c r="B1177" t="s">
        <v>757</v>
      </c>
      <c r="C1177" t="s">
        <v>179</v>
      </c>
      <c r="D1177">
        <v>8</v>
      </c>
      <c r="E1177" t="s">
        <v>180</v>
      </c>
    </row>
    <row r="1178" spans="1:5" x14ac:dyDescent="0.25">
      <c r="A1178" t="s">
        <v>1585</v>
      </c>
      <c r="B1178" t="s">
        <v>551</v>
      </c>
      <c r="C1178" t="s">
        <v>196</v>
      </c>
      <c r="D1178">
        <v>12</v>
      </c>
      <c r="E1178" t="s">
        <v>199</v>
      </c>
    </row>
    <row r="1179" spans="1:5" x14ac:dyDescent="0.25">
      <c r="A1179" t="s">
        <v>1586</v>
      </c>
      <c r="B1179" t="s">
        <v>553</v>
      </c>
      <c r="C1179" t="s">
        <v>196</v>
      </c>
      <c r="D1179">
        <v>3</v>
      </c>
      <c r="E1179" t="s">
        <v>180</v>
      </c>
    </row>
    <row r="1180" spans="1:5" x14ac:dyDescent="0.25">
      <c r="A1180" t="s">
        <v>1587</v>
      </c>
      <c r="B1180" t="s">
        <v>421</v>
      </c>
      <c r="C1180" t="s">
        <v>179</v>
      </c>
      <c r="D1180">
        <v>11</v>
      </c>
      <c r="E1180" t="s">
        <v>183</v>
      </c>
    </row>
    <row r="1181" spans="1:5" x14ac:dyDescent="0.25">
      <c r="A1181" t="s">
        <v>1588</v>
      </c>
      <c r="B1181" t="s">
        <v>417</v>
      </c>
      <c r="C1181" t="s">
        <v>191</v>
      </c>
      <c r="D1181">
        <v>6</v>
      </c>
      <c r="E1181" t="s">
        <v>183</v>
      </c>
    </row>
    <row r="1182" spans="1:5" x14ac:dyDescent="0.25">
      <c r="A1182" t="s">
        <v>1589</v>
      </c>
      <c r="B1182" t="s">
        <v>445</v>
      </c>
      <c r="C1182" t="s">
        <v>196</v>
      </c>
      <c r="D1182">
        <v>14</v>
      </c>
      <c r="E1182" t="s">
        <v>234</v>
      </c>
    </row>
    <row r="1183" spans="1:5" x14ac:dyDescent="0.25">
      <c r="A1183" t="s">
        <v>1590</v>
      </c>
      <c r="B1183" t="s">
        <v>317</v>
      </c>
      <c r="C1183" t="s">
        <v>191</v>
      </c>
      <c r="D1183">
        <v>9</v>
      </c>
      <c r="E1183" t="s">
        <v>234</v>
      </c>
    </row>
    <row r="1184" spans="1:5" x14ac:dyDescent="0.25">
      <c r="A1184" t="s">
        <v>1591</v>
      </c>
      <c r="B1184" t="s">
        <v>695</v>
      </c>
      <c r="C1184" t="s">
        <v>191</v>
      </c>
      <c r="D1184">
        <v>10</v>
      </c>
      <c r="E1184" t="s">
        <v>199</v>
      </c>
    </row>
    <row r="1185" spans="1:5" x14ac:dyDescent="0.25">
      <c r="A1185" t="s">
        <v>1592</v>
      </c>
      <c r="B1185" t="s">
        <v>280</v>
      </c>
      <c r="C1185" t="s">
        <v>191</v>
      </c>
      <c r="D1185">
        <v>14</v>
      </c>
      <c r="E1185" t="s">
        <v>188</v>
      </c>
    </row>
    <row r="1186" spans="1:5" x14ac:dyDescent="0.25">
      <c r="A1186" t="s">
        <v>1593</v>
      </c>
      <c r="B1186" t="s">
        <v>520</v>
      </c>
      <c r="C1186" t="s">
        <v>219</v>
      </c>
      <c r="D1186">
        <v>2</v>
      </c>
      <c r="E1186" t="s">
        <v>199</v>
      </c>
    </row>
    <row r="1187" spans="1:5" x14ac:dyDescent="0.25">
      <c r="A1187" t="s">
        <v>1594</v>
      </c>
      <c r="B1187" t="s">
        <v>569</v>
      </c>
      <c r="C1187" t="s">
        <v>179</v>
      </c>
      <c r="D1187">
        <v>2</v>
      </c>
      <c r="E1187" t="s">
        <v>199</v>
      </c>
    </row>
    <row r="1188" spans="1:5" x14ac:dyDescent="0.25">
      <c r="A1188" t="s">
        <v>1595</v>
      </c>
      <c r="B1188" t="s">
        <v>205</v>
      </c>
      <c r="C1188" t="s">
        <v>191</v>
      </c>
      <c r="D1188">
        <v>13</v>
      </c>
      <c r="E1188" t="s">
        <v>183</v>
      </c>
    </row>
    <row r="1189" spans="1:5" x14ac:dyDescent="0.25">
      <c r="A1189" t="s">
        <v>1596</v>
      </c>
      <c r="B1189" t="s">
        <v>794</v>
      </c>
      <c r="C1189" t="s">
        <v>179</v>
      </c>
      <c r="D1189">
        <v>10</v>
      </c>
      <c r="E1189" t="s">
        <v>199</v>
      </c>
    </row>
    <row r="1190" spans="1:5" x14ac:dyDescent="0.25">
      <c r="A1190" t="s">
        <v>1597</v>
      </c>
      <c r="B1190" t="s">
        <v>402</v>
      </c>
      <c r="C1190" t="s">
        <v>179</v>
      </c>
      <c r="D1190">
        <v>8</v>
      </c>
      <c r="E1190" t="s">
        <v>199</v>
      </c>
    </row>
    <row r="1191" spans="1:5" x14ac:dyDescent="0.25">
      <c r="A1191" t="s">
        <v>1598</v>
      </c>
      <c r="B1191" t="s">
        <v>599</v>
      </c>
      <c r="C1191" t="s">
        <v>191</v>
      </c>
      <c r="D1191">
        <v>1</v>
      </c>
      <c r="E1191" t="s">
        <v>183</v>
      </c>
    </row>
    <row r="1192" spans="1:5" x14ac:dyDescent="0.25">
      <c r="A1192" t="s">
        <v>1599</v>
      </c>
      <c r="B1192" t="s">
        <v>231</v>
      </c>
      <c r="C1192" t="s">
        <v>179</v>
      </c>
      <c r="D1192">
        <v>13</v>
      </c>
      <c r="E1192" t="s">
        <v>199</v>
      </c>
    </row>
    <row r="1193" spans="1:5" x14ac:dyDescent="0.25">
      <c r="A1193" t="s">
        <v>1600</v>
      </c>
      <c r="B1193" t="s">
        <v>356</v>
      </c>
      <c r="C1193" t="s">
        <v>179</v>
      </c>
      <c r="D1193">
        <v>6</v>
      </c>
      <c r="E1193" t="s">
        <v>183</v>
      </c>
    </row>
    <row r="1194" spans="1:5" x14ac:dyDescent="0.25">
      <c r="A1194" t="s">
        <v>1601</v>
      </c>
      <c r="B1194" t="s">
        <v>377</v>
      </c>
      <c r="C1194" t="s">
        <v>179</v>
      </c>
      <c r="D1194">
        <v>11</v>
      </c>
      <c r="E1194" t="s">
        <v>199</v>
      </c>
    </row>
    <row r="1195" spans="1:5" x14ac:dyDescent="0.25">
      <c r="A1195" t="s">
        <v>1602</v>
      </c>
      <c r="B1195" t="s">
        <v>441</v>
      </c>
      <c r="C1195" t="s">
        <v>191</v>
      </c>
      <c r="D1195">
        <v>7</v>
      </c>
      <c r="E1195" t="s">
        <v>199</v>
      </c>
    </row>
    <row r="1196" spans="1:5" x14ac:dyDescent="0.25">
      <c r="A1196" t="s">
        <v>1603</v>
      </c>
      <c r="B1196" t="s">
        <v>193</v>
      </c>
      <c r="C1196" t="s">
        <v>191</v>
      </c>
      <c r="D1196">
        <v>13</v>
      </c>
      <c r="E1196" t="s">
        <v>180</v>
      </c>
    </row>
    <row r="1197" spans="1:5" x14ac:dyDescent="0.25">
      <c r="A1197" t="s">
        <v>1604</v>
      </c>
      <c r="B1197" t="s">
        <v>611</v>
      </c>
      <c r="C1197" t="s">
        <v>196</v>
      </c>
      <c r="D1197">
        <v>1</v>
      </c>
      <c r="E1197" t="s">
        <v>199</v>
      </c>
    </row>
    <row r="1198" spans="1:5" x14ac:dyDescent="0.25">
      <c r="A1198" t="s">
        <v>1605</v>
      </c>
      <c r="B1198" t="s">
        <v>396</v>
      </c>
      <c r="C1198" t="s">
        <v>179</v>
      </c>
      <c r="D1198">
        <v>9</v>
      </c>
      <c r="E1198" t="s">
        <v>183</v>
      </c>
    </row>
    <row r="1199" spans="1:5" x14ac:dyDescent="0.25">
      <c r="A1199" t="s">
        <v>1606</v>
      </c>
      <c r="B1199" t="s">
        <v>327</v>
      </c>
      <c r="C1199" t="s">
        <v>219</v>
      </c>
      <c r="D1199">
        <v>9</v>
      </c>
      <c r="E1199" t="s">
        <v>183</v>
      </c>
    </row>
    <row r="1200" spans="1:5" x14ac:dyDescent="0.25">
      <c r="A1200" t="s">
        <v>1607</v>
      </c>
      <c r="B1200" t="s">
        <v>434</v>
      </c>
      <c r="C1200" t="s">
        <v>191</v>
      </c>
      <c r="D1200">
        <v>8</v>
      </c>
      <c r="E1200" t="s">
        <v>199</v>
      </c>
    </row>
    <row r="1201" spans="1:5" x14ac:dyDescent="0.25">
      <c r="A1201" t="s">
        <v>1608</v>
      </c>
      <c r="B1201" t="s">
        <v>674</v>
      </c>
      <c r="C1201" t="s">
        <v>179</v>
      </c>
      <c r="D1201">
        <v>3</v>
      </c>
      <c r="E1201" t="s">
        <v>199</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201"/>
  <sheetViews>
    <sheetView workbookViewId="0">
      <selection activeCell="C2" sqref="C2"/>
    </sheetView>
  </sheetViews>
  <sheetFormatPr defaultRowHeight="15" x14ac:dyDescent="0.25"/>
  <cols>
    <col min="1" max="1" width="15.42578125" bestFit="1" customWidth="1"/>
    <col min="2" max="2" width="14.140625" bestFit="1" customWidth="1"/>
    <col min="3" max="3" width="11.28515625" bestFit="1" customWidth="1"/>
    <col min="4" max="4" width="13.28515625" bestFit="1" customWidth="1"/>
    <col min="5" max="5" width="18.7109375" bestFit="1" customWidth="1"/>
    <col min="6" max="6" width="17.85546875" bestFit="1" customWidth="1"/>
    <col min="7" max="7" width="14.140625" bestFit="1" customWidth="1"/>
    <col min="8" max="8" width="20" bestFit="1" customWidth="1"/>
    <col min="9" max="9" width="17.85546875" bestFit="1" customWidth="1"/>
    <col min="10" max="10" width="20.7109375" bestFit="1" customWidth="1"/>
    <col min="11" max="11" width="26.7109375" bestFit="1" customWidth="1"/>
  </cols>
  <sheetData>
    <row r="1" spans="1:11" x14ac:dyDescent="0.25">
      <c r="A1" t="s">
        <v>1609</v>
      </c>
      <c r="B1" t="s">
        <v>172</v>
      </c>
      <c r="C1" t="s">
        <v>0</v>
      </c>
      <c r="D1" t="s">
        <v>138</v>
      </c>
      <c r="E1" t="s">
        <v>1610</v>
      </c>
      <c r="F1" t="s">
        <v>1611</v>
      </c>
      <c r="G1" t="s">
        <v>1612</v>
      </c>
      <c r="H1" t="s">
        <v>1613</v>
      </c>
      <c r="I1" t="s">
        <v>1614</v>
      </c>
      <c r="J1" t="s">
        <v>1615</v>
      </c>
      <c r="K1" t="s">
        <v>1616</v>
      </c>
    </row>
    <row r="2" spans="1:11" x14ac:dyDescent="0.25">
      <c r="A2" t="s">
        <v>1617</v>
      </c>
      <c r="B2" t="s">
        <v>177</v>
      </c>
      <c r="C2" t="s">
        <v>85</v>
      </c>
      <c r="D2" t="s">
        <v>145</v>
      </c>
      <c r="E2" t="s">
        <v>82</v>
      </c>
      <c r="F2">
        <v>2</v>
      </c>
      <c r="G2" t="s">
        <v>1618</v>
      </c>
      <c r="K2" t="s">
        <v>1619</v>
      </c>
    </row>
    <row r="3" spans="1:11" x14ac:dyDescent="0.25">
      <c r="A3" t="s">
        <v>1620</v>
      </c>
      <c r="B3" t="s">
        <v>181</v>
      </c>
      <c r="C3" t="s">
        <v>94</v>
      </c>
      <c r="D3" t="s">
        <v>150</v>
      </c>
      <c r="E3" t="s">
        <v>1621</v>
      </c>
      <c r="F3">
        <v>3</v>
      </c>
      <c r="G3" t="s">
        <v>1618</v>
      </c>
      <c r="H3">
        <v>59</v>
      </c>
      <c r="K3" t="s">
        <v>1622</v>
      </c>
    </row>
    <row r="4" spans="1:11" x14ac:dyDescent="0.25">
      <c r="A4" t="s">
        <v>1623</v>
      </c>
      <c r="B4" t="s">
        <v>184</v>
      </c>
      <c r="C4" t="s">
        <v>87</v>
      </c>
      <c r="D4" t="s">
        <v>160</v>
      </c>
      <c r="E4" t="s">
        <v>1624</v>
      </c>
      <c r="F4">
        <v>1</v>
      </c>
      <c r="G4" t="s">
        <v>1618</v>
      </c>
      <c r="K4" t="s">
        <v>1625</v>
      </c>
    </row>
    <row r="5" spans="1:11" x14ac:dyDescent="0.25">
      <c r="A5" t="s">
        <v>1626</v>
      </c>
      <c r="B5" t="s">
        <v>186</v>
      </c>
      <c r="C5" t="s">
        <v>125</v>
      </c>
      <c r="D5" t="s">
        <v>153</v>
      </c>
      <c r="E5" t="s">
        <v>1627</v>
      </c>
      <c r="F5">
        <v>2</v>
      </c>
      <c r="G5" t="s">
        <v>1618</v>
      </c>
      <c r="K5" t="s">
        <v>1625</v>
      </c>
    </row>
    <row r="6" spans="1:11" x14ac:dyDescent="0.25">
      <c r="A6" t="s">
        <v>1628</v>
      </c>
      <c r="B6" t="s">
        <v>189</v>
      </c>
      <c r="C6" t="s">
        <v>103</v>
      </c>
      <c r="D6" t="s">
        <v>153</v>
      </c>
      <c r="E6" t="s">
        <v>1629</v>
      </c>
      <c r="F6">
        <v>1</v>
      </c>
      <c r="G6" t="s">
        <v>1618</v>
      </c>
      <c r="K6" t="s">
        <v>1630</v>
      </c>
    </row>
    <row r="7" spans="1:11" x14ac:dyDescent="0.25">
      <c r="A7" t="s">
        <v>1631</v>
      </c>
      <c r="B7" t="s">
        <v>192</v>
      </c>
      <c r="C7" t="s">
        <v>23</v>
      </c>
      <c r="D7" t="s">
        <v>160</v>
      </c>
      <c r="E7" t="s">
        <v>1632</v>
      </c>
      <c r="F7">
        <v>2</v>
      </c>
      <c r="G7" t="s">
        <v>1618</v>
      </c>
      <c r="K7" t="s">
        <v>1619</v>
      </c>
    </row>
    <row r="8" spans="1:11" x14ac:dyDescent="0.25">
      <c r="A8" t="s">
        <v>1633</v>
      </c>
      <c r="B8" t="s">
        <v>194</v>
      </c>
      <c r="C8" t="s">
        <v>60</v>
      </c>
      <c r="D8" t="s">
        <v>156</v>
      </c>
      <c r="E8" t="s">
        <v>1634</v>
      </c>
      <c r="F8">
        <v>4</v>
      </c>
      <c r="G8" t="s">
        <v>1618</v>
      </c>
      <c r="H8">
        <v>87</v>
      </c>
      <c r="I8">
        <v>62</v>
      </c>
      <c r="K8" t="s">
        <v>1635</v>
      </c>
    </row>
    <row r="9" spans="1:11" x14ac:dyDescent="0.25">
      <c r="A9" t="s">
        <v>1636</v>
      </c>
      <c r="B9" t="s">
        <v>197</v>
      </c>
      <c r="C9" t="s">
        <v>97</v>
      </c>
      <c r="D9" t="s">
        <v>158</v>
      </c>
      <c r="E9" t="s">
        <v>1637</v>
      </c>
      <c r="F9">
        <v>4</v>
      </c>
      <c r="G9" t="s">
        <v>1618</v>
      </c>
      <c r="H9">
        <v>96</v>
      </c>
      <c r="I9">
        <v>70</v>
      </c>
      <c r="K9" t="s">
        <v>1635</v>
      </c>
    </row>
    <row r="10" spans="1:11" x14ac:dyDescent="0.25">
      <c r="A10" t="s">
        <v>1638</v>
      </c>
      <c r="B10" t="s">
        <v>200</v>
      </c>
      <c r="C10" t="s">
        <v>94</v>
      </c>
      <c r="D10" t="s">
        <v>150</v>
      </c>
      <c r="E10" t="s">
        <v>1639</v>
      </c>
      <c r="F10">
        <v>2</v>
      </c>
      <c r="G10" t="s">
        <v>1618</v>
      </c>
      <c r="K10" t="s">
        <v>1630</v>
      </c>
    </row>
    <row r="11" spans="1:11" x14ac:dyDescent="0.25">
      <c r="A11" t="s">
        <v>1640</v>
      </c>
      <c r="B11" t="s">
        <v>202</v>
      </c>
      <c r="C11" t="s">
        <v>60</v>
      </c>
      <c r="D11" t="s">
        <v>156</v>
      </c>
      <c r="E11" t="s">
        <v>96</v>
      </c>
      <c r="F11">
        <v>1</v>
      </c>
      <c r="G11" t="s">
        <v>1618</v>
      </c>
      <c r="K11" t="s">
        <v>1630</v>
      </c>
    </row>
    <row r="12" spans="1:11" x14ac:dyDescent="0.25">
      <c r="A12" t="s">
        <v>1641</v>
      </c>
      <c r="B12" t="s">
        <v>204</v>
      </c>
      <c r="C12" t="s">
        <v>127</v>
      </c>
      <c r="D12" t="s">
        <v>145</v>
      </c>
      <c r="E12" t="s">
        <v>111</v>
      </c>
      <c r="F12">
        <v>1</v>
      </c>
      <c r="G12" t="s">
        <v>1618</v>
      </c>
      <c r="K12" t="s">
        <v>1619</v>
      </c>
    </row>
    <row r="13" spans="1:11" x14ac:dyDescent="0.25">
      <c r="A13" t="s">
        <v>1642</v>
      </c>
      <c r="B13" t="s">
        <v>206</v>
      </c>
      <c r="C13" t="s">
        <v>79</v>
      </c>
      <c r="D13" t="s">
        <v>150</v>
      </c>
      <c r="E13" t="s">
        <v>1643</v>
      </c>
      <c r="F13">
        <v>1</v>
      </c>
      <c r="G13" t="s">
        <v>1618</v>
      </c>
      <c r="K13" t="s">
        <v>1619</v>
      </c>
    </row>
    <row r="14" spans="1:11" x14ac:dyDescent="0.25">
      <c r="A14" t="s">
        <v>1644</v>
      </c>
      <c r="B14" t="s">
        <v>207</v>
      </c>
      <c r="C14" t="s">
        <v>65</v>
      </c>
      <c r="D14" t="s">
        <v>160</v>
      </c>
      <c r="E14" t="s">
        <v>1645</v>
      </c>
      <c r="F14">
        <v>2</v>
      </c>
      <c r="G14" t="s">
        <v>1618</v>
      </c>
      <c r="K14" t="s">
        <v>1625</v>
      </c>
    </row>
    <row r="15" spans="1:11" x14ac:dyDescent="0.25">
      <c r="A15" t="s">
        <v>1646</v>
      </c>
      <c r="B15" t="s">
        <v>209</v>
      </c>
      <c r="C15" t="s">
        <v>39</v>
      </c>
      <c r="D15" t="s">
        <v>145</v>
      </c>
      <c r="E15" t="s">
        <v>1647</v>
      </c>
      <c r="F15">
        <v>3</v>
      </c>
      <c r="G15" t="s">
        <v>1618</v>
      </c>
      <c r="H15">
        <v>52</v>
      </c>
      <c r="K15" t="s">
        <v>1622</v>
      </c>
    </row>
    <row r="16" spans="1:11" x14ac:dyDescent="0.25">
      <c r="A16" t="s">
        <v>1648</v>
      </c>
      <c r="B16" t="s">
        <v>211</v>
      </c>
      <c r="C16" t="s">
        <v>52</v>
      </c>
      <c r="D16" t="s">
        <v>147</v>
      </c>
      <c r="E16" t="s">
        <v>1649</v>
      </c>
      <c r="F16">
        <v>1</v>
      </c>
      <c r="G16" t="s">
        <v>1618</v>
      </c>
      <c r="K16" t="s">
        <v>1619</v>
      </c>
    </row>
    <row r="17" spans="1:11" x14ac:dyDescent="0.25">
      <c r="A17" t="s">
        <v>1650</v>
      </c>
      <c r="B17" t="s">
        <v>213</v>
      </c>
      <c r="C17" t="s">
        <v>20</v>
      </c>
      <c r="D17" t="s">
        <v>158</v>
      </c>
      <c r="E17" t="s">
        <v>1651</v>
      </c>
      <c r="F17">
        <v>1</v>
      </c>
      <c r="G17" t="s">
        <v>1618</v>
      </c>
      <c r="K17" t="s">
        <v>1619</v>
      </c>
    </row>
    <row r="18" spans="1:11" x14ac:dyDescent="0.25">
      <c r="A18" t="s">
        <v>1652</v>
      </c>
      <c r="B18" t="s">
        <v>215</v>
      </c>
      <c r="C18" t="s">
        <v>97</v>
      </c>
      <c r="D18" t="s">
        <v>158</v>
      </c>
      <c r="E18" t="s">
        <v>1653</v>
      </c>
      <c r="F18">
        <v>1</v>
      </c>
      <c r="G18" t="s">
        <v>1618</v>
      </c>
      <c r="K18" t="s">
        <v>1619</v>
      </c>
    </row>
    <row r="19" spans="1:11" x14ac:dyDescent="0.25">
      <c r="A19" t="s">
        <v>1654</v>
      </c>
      <c r="B19" t="s">
        <v>217</v>
      </c>
      <c r="C19" t="s">
        <v>97</v>
      </c>
      <c r="D19" t="s">
        <v>158</v>
      </c>
      <c r="E19" t="s">
        <v>1655</v>
      </c>
      <c r="F19">
        <v>3</v>
      </c>
      <c r="G19" t="s">
        <v>1618</v>
      </c>
      <c r="H19">
        <v>72</v>
      </c>
      <c r="K19" t="s">
        <v>1622</v>
      </c>
    </row>
    <row r="20" spans="1:11" x14ac:dyDescent="0.25">
      <c r="A20" t="s">
        <v>1656</v>
      </c>
      <c r="B20" t="s">
        <v>220</v>
      </c>
      <c r="C20" t="s">
        <v>127</v>
      </c>
      <c r="D20" t="s">
        <v>145</v>
      </c>
      <c r="E20" t="s">
        <v>1657</v>
      </c>
      <c r="F20">
        <v>3</v>
      </c>
      <c r="G20" t="s">
        <v>1618</v>
      </c>
      <c r="H20">
        <v>84</v>
      </c>
      <c r="K20" t="s">
        <v>1622</v>
      </c>
    </row>
    <row r="21" spans="1:11" x14ac:dyDescent="0.25">
      <c r="A21" t="s">
        <v>1658</v>
      </c>
      <c r="B21" t="s">
        <v>222</v>
      </c>
      <c r="C21" t="s">
        <v>73</v>
      </c>
      <c r="D21" t="s">
        <v>153</v>
      </c>
      <c r="E21" t="s">
        <v>1645</v>
      </c>
      <c r="F21">
        <v>4</v>
      </c>
      <c r="G21" t="s">
        <v>1618</v>
      </c>
      <c r="H21">
        <v>73</v>
      </c>
      <c r="I21">
        <v>86</v>
      </c>
      <c r="K21" t="s">
        <v>1659</v>
      </c>
    </row>
    <row r="22" spans="1:11" x14ac:dyDescent="0.25">
      <c r="A22" t="s">
        <v>1660</v>
      </c>
      <c r="B22" t="s">
        <v>224</v>
      </c>
      <c r="C22" t="s">
        <v>8</v>
      </c>
      <c r="D22" t="s">
        <v>160</v>
      </c>
      <c r="E22" t="s">
        <v>1661</v>
      </c>
      <c r="F22">
        <v>1</v>
      </c>
      <c r="G22" t="s">
        <v>1618</v>
      </c>
      <c r="K22" t="s">
        <v>1619</v>
      </c>
    </row>
    <row r="23" spans="1:11" x14ac:dyDescent="0.25">
      <c r="A23" t="s">
        <v>1662</v>
      </c>
      <c r="B23" t="s">
        <v>226</v>
      </c>
      <c r="C23" t="s">
        <v>43</v>
      </c>
      <c r="D23" t="s">
        <v>158</v>
      </c>
      <c r="E23" t="s">
        <v>1663</v>
      </c>
      <c r="F23">
        <v>2</v>
      </c>
      <c r="G23" t="s">
        <v>1618</v>
      </c>
      <c r="K23" t="s">
        <v>1625</v>
      </c>
    </row>
    <row r="24" spans="1:11" x14ac:dyDescent="0.25">
      <c r="A24" t="s">
        <v>1664</v>
      </c>
      <c r="B24" t="s">
        <v>228</v>
      </c>
      <c r="C24" t="s">
        <v>112</v>
      </c>
      <c r="D24" t="s">
        <v>150</v>
      </c>
      <c r="E24" t="s">
        <v>120</v>
      </c>
      <c r="F24">
        <v>4</v>
      </c>
      <c r="G24" t="s">
        <v>1618</v>
      </c>
      <c r="H24">
        <v>73</v>
      </c>
      <c r="I24">
        <v>72</v>
      </c>
      <c r="K24" t="s">
        <v>1635</v>
      </c>
    </row>
    <row r="25" spans="1:11" x14ac:dyDescent="0.25">
      <c r="A25" t="s">
        <v>1665</v>
      </c>
      <c r="B25" t="s">
        <v>230</v>
      </c>
      <c r="C25" t="s">
        <v>8</v>
      </c>
      <c r="D25" t="s">
        <v>160</v>
      </c>
      <c r="E25" t="s">
        <v>36</v>
      </c>
      <c r="F25">
        <v>2</v>
      </c>
      <c r="G25" t="s">
        <v>1618</v>
      </c>
      <c r="K25" t="s">
        <v>1625</v>
      </c>
    </row>
    <row r="26" spans="1:11" x14ac:dyDescent="0.25">
      <c r="A26" t="s">
        <v>1666</v>
      </c>
      <c r="B26" t="s">
        <v>232</v>
      </c>
      <c r="C26" t="s">
        <v>123</v>
      </c>
      <c r="D26" t="s">
        <v>145</v>
      </c>
      <c r="E26" t="s">
        <v>1667</v>
      </c>
      <c r="F26">
        <v>2</v>
      </c>
      <c r="G26" t="s">
        <v>1618</v>
      </c>
      <c r="K26" t="s">
        <v>1619</v>
      </c>
    </row>
    <row r="27" spans="1:11" x14ac:dyDescent="0.25">
      <c r="A27" t="s">
        <v>1668</v>
      </c>
      <c r="B27" t="s">
        <v>235</v>
      </c>
      <c r="C27" t="s">
        <v>128</v>
      </c>
      <c r="D27" t="s">
        <v>142</v>
      </c>
      <c r="E27" t="s">
        <v>38</v>
      </c>
      <c r="F27">
        <v>3</v>
      </c>
      <c r="G27" t="s">
        <v>1618</v>
      </c>
      <c r="H27">
        <v>66</v>
      </c>
      <c r="K27" t="s">
        <v>1622</v>
      </c>
    </row>
    <row r="28" spans="1:11" x14ac:dyDescent="0.25">
      <c r="A28" t="s">
        <v>1669</v>
      </c>
      <c r="B28" t="s">
        <v>237</v>
      </c>
      <c r="C28" t="s">
        <v>23</v>
      </c>
      <c r="D28" t="s">
        <v>145</v>
      </c>
      <c r="E28" t="s">
        <v>1670</v>
      </c>
      <c r="F28">
        <v>1</v>
      </c>
      <c r="G28" t="s">
        <v>1618</v>
      </c>
      <c r="K28" t="s">
        <v>1630</v>
      </c>
    </row>
    <row r="29" spans="1:11" x14ac:dyDescent="0.25">
      <c r="A29" t="s">
        <v>1671</v>
      </c>
      <c r="B29" t="s">
        <v>239</v>
      </c>
      <c r="C29" t="s">
        <v>59</v>
      </c>
      <c r="D29" t="s">
        <v>160</v>
      </c>
      <c r="E29" t="s">
        <v>75</v>
      </c>
      <c r="F29">
        <v>4</v>
      </c>
      <c r="G29" t="s">
        <v>1618</v>
      </c>
      <c r="H29">
        <v>93</v>
      </c>
      <c r="I29">
        <v>67</v>
      </c>
      <c r="K29" t="s">
        <v>1659</v>
      </c>
    </row>
    <row r="30" spans="1:11" x14ac:dyDescent="0.25">
      <c r="A30" t="s">
        <v>1672</v>
      </c>
      <c r="B30" t="s">
        <v>241</v>
      </c>
      <c r="C30" t="s">
        <v>8</v>
      </c>
      <c r="D30" t="s">
        <v>145</v>
      </c>
      <c r="E30" t="s">
        <v>1673</v>
      </c>
      <c r="F30">
        <v>2</v>
      </c>
      <c r="G30" t="s">
        <v>1618</v>
      </c>
      <c r="K30" t="s">
        <v>1619</v>
      </c>
    </row>
    <row r="31" spans="1:11" x14ac:dyDescent="0.25">
      <c r="A31" t="s">
        <v>1674</v>
      </c>
      <c r="B31" t="s">
        <v>243</v>
      </c>
      <c r="C31" t="s">
        <v>56</v>
      </c>
      <c r="D31" t="s">
        <v>153</v>
      </c>
      <c r="E31" t="s">
        <v>13</v>
      </c>
      <c r="F31">
        <v>2</v>
      </c>
      <c r="G31" t="s">
        <v>1618</v>
      </c>
      <c r="K31" t="s">
        <v>1630</v>
      </c>
    </row>
    <row r="32" spans="1:11" x14ac:dyDescent="0.25">
      <c r="A32" t="s">
        <v>1675</v>
      </c>
      <c r="B32" t="s">
        <v>245</v>
      </c>
      <c r="C32" t="s">
        <v>79</v>
      </c>
      <c r="D32" t="s">
        <v>150</v>
      </c>
      <c r="E32" t="s">
        <v>1676</v>
      </c>
      <c r="F32">
        <v>4</v>
      </c>
      <c r="G32" t="s">
        <v>1618</v>
      </c>
      <c r="H32">
        <v>68</v>
      </c>
      <c r="I32">
        <v>85</v>
      </c>
      <c r="K32" t="s">
        <v>1635</v>
      </c>
    </row>
    <row r="33" spans="1:11" x14ac:dyDescent="0.25">
      <c r="A33" t="s">
        <v>1677</v>
      </c>
      <c r="B33" t="s">
        <v>247</v>
      </c>
      <c r="C33" t="s">
        <v>87</v>
      </c>
      <c r="D33" t="s">
        <v>145</v>
      </c>
      <c r="E33" t="s">
        <v>1678</v>
      </c>
      <c r="F33">
        <v>3</v>
      </c>
      <c r="G33" t="s">
        <v>1618</v>
      </c>
      <c r="H33">
        <v>53</v>
      </c>
      <c r="K33" t="s">
        <v>1622</v>
      </c>
    </row>
    <row r="34" spans="1:11" x14ac:dyDescent="0.25">
      <c r="A34" t="s">
        <v>1679</v>
      </c>
      <c r="B34" t="s">
        <v>249</v>
      </c>
      <c r="C34" t="s">
        <v>27</v>
      </c>
      <c r="D34" t="s">
        <v>147</v>
      </c>
      <c r="E34" t="s">
        <v>1680</v>
      </c>
      <c r="F34">
        <v>1</v>
      </c>
      <c r="G34" t="s">
        <v>1618</v>
      </c>
      <c r="K34" t="s">
        <v>1630</v>
      </c>
    </row>
    <row r="35" spans="1:11" x14ac:dyDescent="0.25">
      <c r="A35" t="s">
        <v>1681</v>
      </c>
      <c r="B35" t="s">
        <v>251</v>
      </c>
      <c r="C35" t="s">
        <v>105</v>
      </c>
      <c r="D35" t="s">
        <v>158</v>
      </c>
      <c r="E35" t="s">
        <v>1639</v>
      </c>
      <c r="F35">
        <v>3</v>
      </c>
      <c r="G35" t="s">
        <v>1618</v>
      </c>
      <c r="H35">
        <v>41</v>
      </c>
      <c r="K35" t="s">
        <v>1622</v>
      </c>
    </row>
    <row r="36" spans="1:11" x14ac:dyDescent="0.25">
      <c r="A36" t="s">
        <v>1682</v>
      </c>
      <c r="B36" t="s">
        <v>253</v>
      </c>
      <c r="C36" t="s">
        <v>49</v>
      </c>
      <c r="D36" t="s">
        <v>158</v>
      </c>
      <c r="E36" t="s">
        <v>1683</v>
      </c>
      <c r="F36">
        <v>2</v>
      </c>
      <c r="G36" t="s">
        <v>1618</v>
      </c>
      <c r="K36" t="s">
        <v>1619</v>
      </c>
    </row>
    <row r="37" spans="1:11" x14ac:dyDescent="0.25">
      <c r="A37" t="s">
        <v>1684</v>
      </c>
      <c r="B37" t="s">
        <v>254</v>
      </c>
      <c r="C37" t="s">
        <v>31</v>
      </c>
      <c r="D37" t="s">
        <v>160</v>
      </c>
      <c r="E37" t="s">
        <v>1685</v>
      </c>
      <c r="F37">
        <v>1</v>
      </c>
      <c r="G37" t="s">
        <v>1618</v>
      </c>
      <c r="K37" t="s">
        <v>1630</v>
      </c>
    </row>
    <row r="38" spans="1:11" x14ac:dyDescent="0.25">
      <c r="A38" t="s">
        <v>1686</v>
      </c>
      <c r="B38" t="s">
        <v>256</v>
      </c>
      <c r="C38" t="s">
        <v>31</v>
      </c>
      <c r="D38" t="s">
        <v>160</v>
      </c>
      <c r="E38" t="s">
        <v>1687</v>
      </c>
      <c r="F38">
        <v>1</v>
      </c>
      <c r="G38" t="s">
        <v>1618</v>
      </c>
      <c r="K38" t="s">
        <v>1630</v>
      </c>
    </row>
    <row r="39" spans="1:11" x14ac:dyDescent="0.25">
      <c r="A39" t="s">
        <v>1688</v>
      </c>
      <c r="B39" t="s">
        <v>258</v>
      </c>
      <c r="C39" t="s">
        <v>56</v>
      </c>
      <c r="D39" t="s">
        <v>153</v>
      </c>
      <c r="E39" t="s">
        <v>1689</v>
      </c>
      <c r="F39">
        <v>2</v>
      </c>
      <c r="G39" t="s">
        <v>1618</v>
      </c>
      <c r="K39" t="s">
        <v>1630</v>
      </c>
    </row>
    <row r="40" spans="1:11" x14ac:dyDescent="0.25">
      <c r="A40" t="s">
        <v>1690</v>
      </c>
      <c r="B40" t="s">
        <v>260</v>
      </c>
      <c r="C40" t="s">
        <v>134</v>
      </c>
      <c r="D40" t="s">
        <v>150</v>
      </c>
      <c r="E40" t="s">
        <v>1691</v>
      </c>
      <c r="F40">
        <v>7</v>
      </c>
      <c r="G40" t="s">
        <v>1692</v>
      </c>
      <c r="H40">
        <v>83</v>
      </c>
      <c r="I40">
        <v>84</v>
      </c>
      <c r="J40">
        <v>23</v>
      </c>
      <c r="K40" t="s">
        <v>1693</v>
      </c>
    </row>
    <row r="41" spans="1:11" x14ac:dyDescent="0.25">
      <c r="A41" t="s">
        <v>1694</v>
      </c>
      <c r="B41" t="s">
        <v>261</v>
      </c>
      <c r="C41" t="s">
        <v>118</v>
      </c>
      <c r="D41" t="s">
        <v>150</v>
      </c>
      <c r="E41" t="s">
        <v>1695</v>
      </c>
      <c r="F41">
        <v>2</v>
      </c>
      <c r="G41" t="s">
        <v>1618</v>
      </c>
      <c r="K41" t="s">
        <v>1630</v>
      </c>
    </row>
    <row r="42" spans="1:11" x14ac:dyDescent="0.25">
      <c r="A42" t="s">
        <v>1696</v>
      </c>
      <c r="B42" t="s">
        <v>263</v>
      </c>
      <c r="C42" t="s">
        <v>20</v>
      </c>
      <c r="D42" t="s">
        <v>158</v>
      </c>
      <c r="E42" t="s">
        <v>1697</v>
      </c>
      <c r="F42">
        <v>2</v>
      </c>
      <c r="G42" t="s">
        <v>1618</v>
      </c>
      <c r="K42" t="s">
        <v>1619</v>
      </c>
    </row>
    <row r="43" spans="1:11" x14ac:dyDescent="0.25">
      <c r="A43" t="s">
        <v>1698</v>
      </c>
      <c r="B43" t="s">
        <v>265</v>
      </c>
      <c r="C43" t="s">
        <v>39</v>
      </c>
      <c r="D43" t="s">
        <v>145</v>
      </c>
      <c r="E43" t="s">
        <v>1699</v>
      </c>
      <c r="F43">
        <v>2</v>
      </c>
      <c r="G43" t="s">
        <v>1618</v>
      </c>
      <c r="K43" t="s">
        <v>1630</v>
      </c>
    </row>
    <row r="44" spans="1:11" x14ac:dyDescent="0.25">
      <c r="A44" t="s">
        <v>1700</v>
      </c>
      <c r="B44" t="s">
        <v>267</v>
      </c>
      <c r="C44" t="s">
        <v>52</v>
      </c>
      <c r="D44" t="s">
        <v>147</v>
      </c>
      <c r="E44" t="s">
        <v>1701</v>
      </c>
      <c r="F44">
        <v>3</v>
      </c>
      <c r="G44" t="s">
        <v>1618</v>
      </c>
      <c r="H44">
        <v>66</v>
      </c>
      <c r="K44" t="s">
        <v>1622</v>
      </c>
    </row>
    <row r="45" spans="1:11" x14ac:dyDescent="0.25">
      <c r="A45" t="s">
        <v>1702</v>
      </c>
      <c r="B45" t="s">
        <v>269</v>
      </c>
      <c r="C45" t="s">
        <v>134</v>
      </c>
      <c r="D45" t="s">
        <v>150</v>
      </c>
      <c r="E45" t="s">
        <v>36</v>
      </c>
      <c r="F45">
        <v>3</v>
      </c>
      <c r="G45" t="s">
        <v>1618</v>
      </c>
      <c r="H45">
        <v>82</v>
      </c>
      <c r="K45" t="s">
        <v>1622</v>
      </c>
    </row>
    <row r="46" spans="1:11" x14ac:dyDescent="0.25">
      <c r="A46" t="s">
        <v>1703</v>
      </c>
      <c r="B46" t="s">
        <v>271</v>
      </c>
      <c r="C46" t="s">
        <v>52</v>
      </c>
      <c r="D46" t="s">
        <v>147</v>
      </c>
      <c r="E46" t="s">
        <v>1704</v>
      </c>
      <c r="F46">
        <v>7</v>
      </c>
      <c r="G46" t="s">
        <v>1692</v>
      </c>
      <c r="H46">
        <v>69</v>
      </c>
      <c r="I46">
        <v>78</v>
      </c>
      <c r="J46">
        <v>28</v>
      </c>
      <c r="K46" t="s">
        <v>1693</v>
      </c>
    </row>
    <row r="47" spans="1:11" x14ac:dyDescent="0.25">
      <c r="A47" t="s">
        <v>1705</v>
      </c>
      <c r="B47" t="s">
        <v>273</v>
      </c>
      <c r="C47" t="s">
        <v>59</v>
      </c>
      <c r="D47" t="s">
        <v>160</v>
      </c>
      <c r="E47" t="s">
        <v>86</v>
      </c>
      <c r="F47">
        <v>1</v>
      </c>
      <c r="G47" t="s">
        <v>1618</v>
      </c>
      <c r="K47" t="s">
        <v>1625</v>
      </c>
    </row>
    <row r="48" spans="1:11" x14ac:dyDescent="0.25">
      <c r="A48" t="s">
        <v>1706</v>
      </c>
      <c r="B48" t="s">
        <v>275</v>
      </c>
      <c r="C48" t="s">
        <v>98</v>
      </c>
      <c r="D48" t="s">
        <v>145</v>
      </c>
      <c r="E48" t="s">
        <v>1707</v>
      </c>
      <c r="F48">
        <v>3</v>
      </c>
      <c r="G48" t="s">
        <v>1618</v>
      </c>
      <c r="H48">
        <v>60</v>
      </c>
      <c r="K48" t="s">
        <v>1622</v>
      </c>
    </row>
    <row r="49" spans="1:11" x14ac:dyDescent="0.25">
      <c r="A49" t="s">
        <v>1708</v>
      </c>
      <c r="B49" t="s">
        <v>277</v>
      </c>
      <c r="C49" t="s">
        <v>103</v>
      </c>
      <c r="D49" t="s">
        <v>153</v>
      </c>
      <c r="E49" t="s">
        <v>1709</v>
      </c>
      <c r="F49">
        <v>2</v>
      </c>
      <c r="G49" t="s">
        <v>1618</v>
      </c>
      <c r="K49" t="s">
        <v>1619</v>
      </c>
    </row>
    <row r="50" spans="1:11" x14ac:dyDescent="0.25">
      <c r="A50" t="s">
        <v>1710</v>
      </c>
      <c r="B50" t="s">
        <v>279</v>
      </c>
      <c r="C50" t="s">
        <v>69</v>
      </c>
      <c r="D50" t="s">
        <v>142</v>
      </c>
      <c r="E50" t="s">
        <v>1711</v>
      </c>
      <c r="F50">
        <v>3</v>
      </c>
      <c r="G50" t="s">
        <v>1618</v>
      </c>
      <c r="H50">
        <v>55</v>
      </c>
      <c r="K50" t="s">
        <v>1622</v>
      </c>
    </row>
    <row r="51" spans="1:11" x14ac:dyDescent="0.25">
      <c r="A51" t="s">
        <v>1712</v>
      </c>
      <c r="B51" t="s">
        <v>281</v>
      </c>
      <c r="C51" t="s">
        <v>125</v>
      </c>
      <c r="D51" t="s">
        <v>153</v>
      </c>
      <c r="E51" t="s">
        <v>1713</v>
      </c>
      <c r="F51">
        <v>2</v>
      </c>
      <c r="G51" t="s">
        <v>1618</v>
      </c>
      <c r="K51" t="s">
        <v>1625</v>
      </c>
    </row>
    <row r="52" spans="1:11" x14ac:dyDescent="0.25">
      <c r="A52" t="s">
        <v>1714</v>
      </c>
      <c r="B52" t="s">
        <v>283</v>
      </c>
      <c r="C52" t="s">
        <v>85</v>
      </c>
      <c r="D52" t="s">
        <v>145</v>
      </c>
      <c r="E52" t="s">
        <v>48</v>
      </c>
      <c r="F52">
        <v>2</v>
      </c>
      <c r="G52" t="s">
        <v>1618</v>
      </c>
      <c r="K52" t="s">
        <v>1630</v>
      </c>
    </row>
    <row r="53" spans="1:11" x14ac:dyDescent="0.25">
      <c r="A53" t="s">
        <v>1715</v>
      </c>
      <c r="B53" t="s">
        <v>285</v>
      </c>
      <c r="C53" t="s">
        <v>98</v>
      </c>
      <c r="D53" t="s">
        <v>145</v>
      </c>
      <c r="E53" t="s">
        <v>120</v>
      </c>
      <c r="F53">
        <v>1</v>
      </c>
      <c r="G53" t="s">
        <v>1618</v>
      </c>
      <c r="K53" t="s">
        <v>1625</v>
      </c>
    </row>
    <row r="54" spans="1:11" x14ac:dyDescent="0.25">
      <c r="A54" t="s">
        <v>1716</v>
      </c>
      <c r="B54" t="s">
        <v>286</v>
      </c>
      <c r="C54" t="s">
        <v>97</v>
      </c>
      <c r="D54" t="s">
        <v>158</v>
      </c>
      <c r="E54" t="s">
        <v>1657</v>
      </c>
      <c r="F54">
        <v>3</v>
      </c>
      <c r="G54" t="s">
        <v>1618</v>
      </c>
      <c r="H54">
        <v>77</v>
      </c>
      <c r="K54" t="s">
        <v>1622</v>
      </c>
    </row>
    <row r="55" spans="1:11" x14ac:dyDescent="0.25">
      <c r="A55" t="s">
        <v>1717</v>
      </c>
      <c r="B55" t="s">
        <v>288</v>
      </c>
      <c r="C55" t="s">
        <v>71</v>
      </c>
      <c r="D55" t="s">
        <v>142</v>
      </c>
      <c r="E55" t="s">
        <v>1673</v>
      </c>
      <c r="F55">
        <v>2</v>
      </c>
      <c r="G55" t="s">
        <v>1618</v>
      </c>
      <c r="K55" t="s">
        <v>1619</v>
      </c>
    </row>
    <row r="56" spans="1:11" x14ac:dyDescent="0.25">
      <c r="A56" t="s">
        <v>1718</v>
      </c>
      <c r="B56" t="s">
        <v>290</v>
      </c>
      <c r="C56" t="s">
        <v>92</v>
      </c>
      <c r="D56" t="s">
        <v>156</v>
      </c>
      <c r="E56" t="s">
        <v>1719</v>
      </c>
      <c r="F56">
        <v>2</v>
      </c>
      <c r="G56" t="s">
        <v>1618</v>
      </c>
      <c r="K56" t="s">
        <v>1625</v>
      </c>
    </row>
    <row r="57" spans="1:11" x14ac:dyDescent="0.25">
      <c r="A57" t="s">
        <v>1720</v>
      </c>
      <c r="B57" t="s">
        <v>292</v>
      </c>
      <c r="C57" t="s">
        <v>105</v>
      </c>
      <c r="D57" t="s">
        <v>142</v>
      </c>
      <c r="E57" t="s">
        <v>1721</v>
      </c>
      <c r="F57">
        <v>3</v>
      </c>
      <c r="G57" t="s">
        <v>1618</v>
      </c>
      <c r="H57">
        <v>61</v>
      </c>
      <c r="K57" t="s">
        <v>1622</v>
      </c>
    </row>
    <row r="58" spans="1:11" x14ac:dyDescent="0.25">
      <c r="A58" t="s">
        <v>1722</v>
      </c>
      <c r="B58" t="s">
        <v>294</v>
      </c>
      <c r="C58" t="s">
        <v>66</v>
      </c>
      <c r="D58" t="s">
        <v>145</v>
      </c>
      <c r="E58" t="s">
        <v>1719</v>
      </c>
      <c r="F58">
        <v>7</v>
      </c>
      <c r="G58" t="s">
        <v>1692</v>
      </c>
      <c r="H58">
        <v>79</v>
      </c>
      <c r="I58">
        <v>85</v>
      </c>
      <c r="J58">
        <v>23</v>
      </c>
      <c r="K58" t="s">
        <v>1693</v>
      </c>
    </row>
    <row r="59" spans="1:11" x14ac:dyDescent="0.25">
      <c r="A59" t="s">
        <v>1723</v>
      </c>
      <c r="B59" t="s">
        <v>296</v>
      </c>
      <c r="C59" t="s">
        <v>98</v>
      </c>
      <c r="D59" t="s">
        <v>145</v>
      </c>
      <c r="E59" t="s">
        <v>1724</v>
      </c>
      <c r="F59">
        <v>1</v>
      </c>
      <c r="G59" t="s">
        <v>1618</v>
      </c>
      <c r="K59" t="s">
        <v>1625</v>
      </c>
    </row>
    <row r="60" spans="1:11" x14ac:dyDescent="0.25">
      <c r="A60" t="s">
        <v>1725</v>
      </c>
      <c r="B60" t="s">
        <v>298</v>
      </c>
      <c r="C60" t="s">
        <v>87</v>
      </c>
      <c r="D60" t="s">
        <v>160</v>
      </c>
      <c r="E60" t="s">
        <v>1726</v>
      </c>
      <c r="F60">
        <v>1</v>
      </c>
      <c r="G60" t="s">
        <v>1618</v>
      </c>
      <c r="K60" t="s">
        <v>1625</v>
      </c>
    </row>
    <row r="61" spans="1:11" x14ac:dyDescent="0.25">
      <c r="A61" t="s">
        <v>1727</v>
      </c>
      <c r="B61" t="s">
        <v>299</v>
      </c>
      <c r="C61" t="s">
        <v>105</v>
      </c>
      <c r="D61" t="s">
        <v>158</v>
      </c>
      <c r="E61" t="s">
        <v>1728</v>
      </c>
      <c r="F61">
        <v>2</v>
      </c>
      <c r="G61" t="s">
        <v>1618</v>
      </c>
      <c r="K61" t="s">
        <v>1630</v>
      </c>
    </row>
    <row r="62" spans="1:11" x14ac:dyDescent="0.25">
      <c r="A62" t="s">
        <v>1729</v>
      </c>
      <c r="B62" t="s">
        <v>300</v>
      </c>
      <c r="C62" t="s">
        <v>14</v>
      </c>
      <c r="D62" t="s">
        <v>142</v>
      </c>
      <c r="E62" t="s">
        <v>1726</v>
      </c>
      <c r="F62">
        <v>1</v>
      </c>
      <c r="G62" t="s">
        <v>1618</v>
      </c>
      <c r="K62" t="s">
        <v>1630</v>
      </c>
    </row>
    <row r="63" spans="1:11" x14ac:dyDescent="0.25">
      <c r="A63" t="s">
        <v>1730</v>
      </c>
      <c r="B63" t="s">
        <v>302</v>
      </c>
      <c r="C63" t="s">
        <v>125</v>
      </c>
      <c r="D63" t="s">
        <v>153</v>
      </c>
      <c r="E63" t="s">
        <v>1731</v>
      </c>
      <c r="F63">
        <v>4</v>
      </c>
      <c r="G63" t="s">
        <v>1618</v>
      </c>
      <c r="H63">
        <v>80</v>
      </c>
      <c r="I63">
        <v>72</v>
      </c>
      <c r="K63" t="s">
        <v>1659</v>
      </c>
    </row>
    <row r="64" spans="1:11" x14ac:dyDescent="0.25">
      <c r="A64" t="s">
        <v>1732</v>
      </c>
      <c r="B64" t="s">
        <v>304</v>
      </c>
      <c r="C64" t="s">
        <v>105</v>
      </c>
      <c r="D64" t="s">
        <v>158</v>
      </c>
      <c r="E64" t="s">
        <v>104</v>
      </c>
      <c r="F64">
        <v>2</v>
      </c>
      <c r="G64" t="s">
        <v>1618</v>
      </c>
      <c r="K64" t="s">
        <v>1619</v>
      </c>
    </row>
    <row r="65" spans="1:11" x14ac:dyDescent="0.25">
      <c r="A65" t="s">
        <v>1733</v>
      </c>
      <c r="B65" t="s">
        <v>305</v>
      </c>
      <c r="C65" t="s">
        <v>92</v>
      </c>
      <c r="D65" t="s">
        <v>156</v>
      </c>
      <c r="E65" t="s">
        <v>1621</v>
      </c>
      <c r="F65">
        <v>7</v>
      </c>
      <c r="G65" t="s">
        <v>1692</v>
      </c>
      <c r="H65">
        <v>75</v>
      </c>
      <c r="I65">
        <v>84</v>
      </c>
      <c r="J65">
        <v>30</v>
      </c>
      <c r="K65" t="s">
        <v>1693</v>
      </c>
    </row>
    <row r="66" spans="1:11" x14ac:dyDescent="0.25">
      <c r="A66" t="s">
        <v>1734</v>
      </c>
      <c r="B66" t="s">
        <v>307</v>
      </c>
      <c r="C66" t="s">
        <v>56</v>
      </c>
      <c r="D66" t="s">
        <v>153</v>
      </c>
      <c r="E66" t="s">
        <v>131</v>
      </c>
      <c r="F66">
        <v>5</v>
      </c>
      <c r="G66" t="s">
        <v>1618</v>
      </c>
      <c r="H66">
        <v>70</v>
      </c>
      <c r="I66">
        <v>97</v>
      </c>
      <c r="K66" t="s">
        <v>1659</v>
      </c>
    </row>
    <row r="67" spans="1:11" x14ac:dyDescent="0.25">
      <c r="A67" t="s">
        <v>1735</v>
      </c>
      <c r="B67" t="s">
        <v>309</v>
      </c>
      <c r="C67" t="s">
        <v>56</v>
      </c>
      <c r="D67" t="s">
        <v>153</v>
      </c>
      <c r="E67" t="s">
        <v>1680</v>
      </c>
      <c r="F67">
        <v>3</v>
      </c>
      <c r="G67" t="s">
        <v>1618</v>
      </c>
      <c r="H67">
        <v>60</v>
      </c>
      <c r="K67" t="s">
        <v>1622</v>
      </c>
    </row>
    <row r="68" spans="1:11" x14ac:dyDescent="0.25">
      <c r="A68" t="s">
        <v>1736</v>
      </c>
      <c r="B68" t="s">
        <v>310</v>
      </c>
      <c r="C68" t="s">
        <v>60</v>
      </c>
      <c r="D68" t="s">
        <v>156</v>
      </c>
      <c r="E68" t="s">
        <v>111</v>
      </c>
      <c r="F68">
        <v>3</v>
      </c>
      <c r="G68" t="s">
        <v>1618</v>
      </c>
      <c r="H68">
        <v>78</v>
      </c>
      <c r="K68" t="s">
        <v>1622</v>
      </c>
    </row>
    <row r="69" spans="1:11" x14ac:dyDescent="0.25">
      <c r="A69" t="s">
        <v>1737</v>
      </c>
      <c r="B69" t="s">
        <v>312</v>
      </c>
      <c r="C69" t="s">
        <v>46</v>
      </c>
      <c r="D69" t="s">
        <v>147</v>
      </c>
      <c r="E69" t="s">
        <v>1621</v>
      </c>
      <c r="F69">
        <v>3</v>
      </c>
      <c r="G69" t="s">
        <v>1618</v>
      </c>
      <c r="H69">
        <v>59</v>
      </c>
      <c r="K69" t="s">
        <v>1622</v>
      </c>
    </row>
    <row r="70" spans="1:11" x14ac:dyDescent="0.25">
      <c r="A70" t="s">
        <v>1738</v>
      </c>
      <c r="B70" t="s">
        <v>314</v>
      </c>
      <c r="C70" t="s">
        <v>112</v>
      </c>
      <c r="D70" t="s">
        <v>150</v>
      </c>
      <c r="E70" t="s">
        <v>1739</v>
      </c>
      <c r="F70">
        <v>2</v>
      </c>
      <c r="G70" t="s">
        <v>1618</v>
      </c>
      <c r="K70" t="s">
        <v>1625</v>
      </c>
    </row>
    <row r="71" spans="1:11" x14ac:dyDescent="0.25">
      <c r="A71" t="s">
        <v>1740</v>
      </c>
      <c r="B71" t="s">
        <v>316</v>
      </c>
      <c r="C71" t="s">
        <v>90</v>
      </c>
      <c r="D71" t="s">
        <v>160</v>
      </c>
      <c r="E71" t="s">
        <v>1741</v>
      </c>
      <c r="F71">
        <v>2</v>
      </c>
      <c r="G71" t="s">
        <v>1618</v>
      </c>
      <c r="K71" t="s">
        <v>1625</v>
      </c>
    </row>
    <row r="72" spans="1:11" x14ac:dyDescent="0.25">
      <c r="A72" t="s">
        <v>1742</v>
      </c>
      <c r="B72" t="s">
        <v>318</v>
      </c>
      <c r="C72" t="s">
        <v>121</v>
      </c>
      <c r="D72" t="s">
        <v>156</v>
      </c>
      <c r="E72" t="s">
        <v>124</v>
      </c>
      <c r="F72">
        <v>3</v>
      </c>
      <c r="G72" t="s">
        <v>1618</v>
      </c>
      <c r="H72">
        <v>59</v>
      </c>
      <c r="K72" t="s">
        <v>1622</v>
      </c>
    </row>
    <row r="73" spans="1:11" x14ac:dyDescent="0.25">
      <c r="A73" t="s">
        <v>1743</v>
      </c>
      <c r="B73" t="s">
        <v>319</v>
      </c>
      <c r="C73" t="s">
        <v>134</v>
      </c>
      <c r="D73" t="s">
        <v>150</v>
      </c>
      <c r="E73" t="s">
        <v>1704</v>
      </c>
      <c r="F73">
        <v>2</v>
      </c>
      <c r="G73" t="s">
        <v>1618</v>
      </c>
      <c r="K73" t="s">
        <v>1630</v>
      </c>
    </row>
    <row r="74" spans="1:11" x14ac:dyDescent="0.25">
      <c r="A74" t="s">
        <v>1744</v>
      </c>
      <c r="B74" t="s">
        <v>320</v>
      </c>
      <c r="C74" t="s">
        <v>112</v>
      </c>
      <c r="D74" t="s">
        <v>150</v>
      </c>
      <c r="E74" t="s">
        <v>1663</v>
      </c>
      <c r="F74">
        <v>1</v>
      </c>
      <c r="G74" t="s">
        <v>1618</v>
      </c>
      <c r="K74" t="s">
        <v>1630</v>
      </c>
    </row>
    <row r="75" spans="1:11" x14ac:dyDescent="0.25">
      <c r="A75" t="s">
        <v>1745</v>
      </c>
      <c r="B75" t="s">
        <v>322</v>
      </c>
      <c r="C75" t="s">
        <v>52</v>
      </c>
      <c r="D75" t="s">
        <v>147</v>
      </c>
      <c r="E75" t="s">
        <v>1704</v>
      </c>
      <c r="F75">
        <v>6</v>
      </c>
      <c r="G75" t="s">
        <v>1746</v>
      </c>
      <c r="H75">
        <v>74</v>
      </c>
      <c r="I75">
        <v>76</v>
      </c>
      <c r="K75" t="s">
        <v>1747</v>
      </c>
    </row>
    <row r="76" spans="1:11" x14ac:dyDescent="0.25">
      <c r="A76" t="s">
        <v>1748</v>
      </c>
      <c r="B76" t="s">
        <v>324</v>
      </c>
      <c r="C76" t="s">
        <v>92</v>
      </c>
      <c r="D76" t="s">
        <v>156</v>
      </c>
      <c r="E76" t="s">
        <v>1629</v>
      </c>
      <c r="F76">
        <v>7</v>
      </c>
      <c r="G76" t="s">
        <v>1692</v>
      </c>
      <c r="H76">
        <v>74</v>
      </c>
      <c r="I76">
        <v>81</v>
      </c>
      <c r="J76">
        <v>28</v>
      </c>
      <c r="K76" t="s">
        <v>1693</v>
      </c>
    </row>
    <row r="77" spans="1:11" x14ac:dyDescent="0.25">
      <c r="A77" t="s">
        <v>1749</v>
      </c>
      <c r="B77" t="s">
        <v>326</v>
      </c>
      <c r="C77" t="s">
        <v>73</v>
      </c>
      <c r="D77" t="s">
        <v>153</v>
      </c>
      <c r="E77" t="s">
        <v>64</v>
      </c>
      <c r="F77">
        <v>1</v>
      </c>
      <c r="G77" t="s">
        <v>1618</v>
      </c>
      <c r="K77" t="s">
        <v>1619</v>
      </c>
    </row>
    <row r="78" spans="1:11" x14ac:dyDescent="0.25">
      <c r="A78" t="s">
        <v>1750</v>
      </c>
      <c r="B78" t="s">
        <v>328</v>
      </c>
      <c r="C78" t="s">
        <v>46</v>
      </c>
      <c r="D78" t="s">
        <v>147</v>
      </c>
      <c r="E78" t="s">
        <v>1751</v>
      </c>
      <c r="F78">
        <v>4</v>
      </c>
      <c r="G78" t="s">
        <v>1618</v>
      </c>
      <c r="H78">
        <v>75</v>
      </c>
      <c r="I78">
        <v>74</v>
      </c>
      <c r="K78" t="s">
        <v>1659</v>
      </c>
    </row>
    <row r="79" spans="1:11" x14ac:dyDescent="0.25">
      <c r="A79" t="s">
        <v>1752</v>
      </c>
      <c r="B79" t="s">
        <v>330</v>
      </c>
      <c r="C79" t="s">
        <v>27</v>
      </c>
      <c r="D79" t="s">
        <v>147</v>
      </c>
      <c r="E79" t="s">
        <v>1724</v>
      </c>
      <c r="F79">
        <v>2</v>
      </c>
      <c r="G79" t="s">
        <v>1618</v>
      </c>
      <c r="K79" t="s">
        <v>1630</v>
      </c>
    </row>
    <row r="80" spans="1:11" x14ac:dyDescent="0.25">
      <c r="A80" t="s">
        <v>1753</v>
      </c>
      <c r="B80" t="s">
        <v>332</v>
      </c>
      <c r="C80" t="s">
        <v>34</v>
      </c>
      <c r="D80" t="s">
        <v>160</v>
      </c>
      <c r="E80" t="s">
        <v>1754</v>
      </c>
      <c r="F80">
        <v>3</v>
      </c>
      <c r="G80" t="s">
        <v>1618</v>
      </c>
      <c r="H80">
        <v>63</v>
      </c>
      <c r="K80" t="s">
        <v>1622</v>
      </c>
    </row>
    <row r="81" spans="1:11" x14ac:dyDescent="0.25">
      <c r="A81" t="s">
        <v>1755</v>
      </c>
      <c r="B81" t="s">
        <v>333</v>
      </c>
      <c r="C81" t="s">
        <v>34</v>
      </c>
      <c r="D81" t="s">
        <v>145</v>
      </c>
      <c r="E81" t="s">
        <v>1637</v>
      </c>
      <c r="F81">
        <v>1</v>
      </c>
      <c r="G81" t="s">
        <v>1618</v>
      </c>
      <c r="K81" t="s">
        <v>1625</v>
      </c>
    </row>
    <row r="82" spans="1:11" x14ac:dyDescent="0.25">
      <c r="A82" t="s">
        <v>1756</v>
      </c>
      <c r="B82" t="s">
        <v>335</v>
      </c>
      <c r="C82" t="s">
        <v>100</v>
      </c>
      <c r="D82" t="s">
        <v>150</v>
      </c>
      <c r="E82" t="s">
        <v>1645</v>
      </c>
      <c r="F82">
        <v>7</v>
      </c>
      <c r="G82" t="s">
        <v>1692</v>
      </c>
      <c r="H82">
        <v>80</v>
      </c>
      <c r="I82">
        <v>78</v>
      </c>
      <c r="J82">
        <v>19</v>
      </c>
      <c r="K82" t="s">
        <v>1693</v>
      </c>
    </row>
    <row r="83" spans="1:11" x14ac:dyDescent="0.25">
      <c r="A83" t="s">
        <v>1757</v>
      </c>
      <c r="B83" t="s">
        <v>336</v>
      </c>
      <c r="C83" t="s">
        <v>105</v>
      </c>
      <c r="D83" t="s">
        <v>142</v>
      </c>
      <c r="E83" t="s">
        <v>1758</v>
      </c>
      <c r="F83">
        <v>3</v>
      </c>
      <c r="G83" t="s">
        <v>1618</v>
      </c>
      <c r="H83">
        <v>73</v>
      </c>
      <c r="K83" t="s">
        <v>1622</v>
      </c>
    </row>
    <row r="84" spans="1:11" x14ac:dyDescent="0.25">
      <c r="A84" t="s">
        <v>1759</v>
      </c>
      <c r="B84" t="s">
        <v>337</v>
      </c>
      <c r="C84" t="s">
        <v>132</v>
      </c>
      <c r="D84" t="s">
        <v>153</v>
      </c>
      <c r="E84" t="s">
        <v>1760</v>
      </c>
      <c r="F84">
        <v>3</v>
      </c>
      <c r="G84" t="s">
        <v>1618</v>
      </c>
      <c r="H84">
        <v>53</v>
      </c>
      <c r="K84" t="s">
        <v>1622</v>
      </c>
    </row>
    <row r="85" spans="1:11" x14ac:dyDescent="0.25">
      <c r="A85" t="s">
        <v>1761</v>
      </c>
      <c r="B85" t="s">
        <v>339</v>
      </c>
      <c r="C85" t="s">
        <v>130</v>
      </c>
      <c r="D85" t="s">
        <v>142</v>
      </c>
      <c r="E85" t="s">
        <v>1673</v>
      </c>
      <c r="F85">
        <v>3</v>
      </c>
      <c r="G85" t="s">
        <v>1618</v>
      </c>
      <c r="H85">
        <v>63</v>
      </c>
      <c r="K85" t="s">
        <v>1622</v>
      </c>
    </row>
    <row r="86" spans="1:11" x14ac:dyDescent="0.25">
      <c r="A86" t="s">
        <v>1762</v>
      </c>
      <c r="B86" t="s">
        <v>340</v>
      </c>
      <c r="C86" t="s">
        <v>112</v>
      </c>
      <c r="D86" t="s">
        <v>150</v>
      </c>
      <c r="E86" t="s">
        <v>1651</v>
      </c>
      <c r="F86">
        <v>2</v>
      </c>
      <c r="G86" t="s">
        <v>1618</v>
      </c>
      <c r="K86" t="s">
        <v>1619</v>
      </c>
    </row>
    <row r="87" spans="1:11" x14ac:dyDescent="0.25">
      <c r="A87" t="s">
        <v>1763</v>
      </c>
      <c r="B87" t="s">
        <v>342</v>
      </c>
      <c r="C87" t="s">
        <v>8</v>
      </c>
      <c r="D87" t="s">
        <v>145</v>
      </c>
      <c r="E87" t="s">
        <v>1764</v>
      </c>
      <c r="F87">
        <v>2</v>
      </c>
      <c r="G87" t="s">
        <v>1618</v>
      </c>
      <c r="K87" t="s">
        <v>1625</v>
      </c>
    </row>
    <row r="88" spans="1:11" x14ac:dyDescent="0.25">
      <c r="A88" t="s">
        <v>1765</v>
      </c>
      <c r="B88" t="s">
        <v>344</v>
      </c>
      <c r="C88" t="s">
        <v>116</v>
      </c>
      <c r="D88" t="s">
        <v>142</v>
      </c>
      <c r="E88" t="s">
        <v>1699</v>
      </c>
      <c r="F88">
        <v>3</v>
      </c>
      <c r="G88" t="s">
        <v>1618</v>
      </c>
      <c r="H88">
        <v>84</v>
      </c>
      <c r="K88" t="s">
        <v>1622</v>
      </c>
    </row>
    <row r="89" spans="1:11" x14ac:dyDescent="0.25">
      <c r="A89" t="s">
        <v>1766</v>
      </c>
      <c r="B89" t="s">
        <v>346</v>
      </c>
      <c r="C89" t="s">
        <v>101</v>
      </c>
      <c r="D89" t="s">
        <v>153</v>
      </c>
      <c r="E89" t="s">
        <v>1731</v>
      </c>
      <c r="F89">
        <v>1</v>
      </c>
      <c r="G89" t="s">
        <v>1618</v>
      </c>
      <c r="K89" t="s">
        <v>1625</v>
      </c>
    </row>
    <row r="90" spans="1:11" x14ac:dyDescent="0.25">
      <c r="A90" t="s">
        <v>1767</v>
      </c>
      <c r="B90" t="s">
        <v>348</v>
      </c>
      <c r="C90" t="s">
        <v>85</v>
      </c>
      <c r="D90" t="s">
        <v>160</v>
      </c>
      <c r="E90" t="s">
        <v>78</v>
      </c>
      <c r="F90">
        <v>2</v>
      </c>
      <c r="G90" t="s">
        <v>1618</v>
      </c>
      <c r="K90" t="s">
        <v>1625</v>
      </c>
    </row>
    <row r="91" spans="1:11" x14ac:dyDescent="0.25">
      <c r="A91" t="s">
        <v>1768</v>
      </c>
      <c r="B91" t="s">
        <v>350</v>
      </c>
      <c r="C91" t="s">
        <v>132</v>
      </c>
      <c r="D91" t="s">
        <v>153</v>
      </c>
      <c r="E91" t="s">
        <v>1769</v>
      </c>
      <c r="F91">
        <v>2</v>
      </c>
      <c r="G91" t="s">
        <v>1618</v>
      </c>
      <c r="K91" t="s">
        <v>1630</v>
      </c>
    </row>
    <row r="92" spans="1:11" x14ac:dyDescent="0.25">
      <c r="A92" t="s">
        <v>1770</v>
      </c>
      <c r="B92" t="s">
        <v>351</v>
      </c>
      <c r="C92" t="s">
        <v>69</v>
      </c>
      <c r="D92" t="s">
        <v>158</v>
      </c>
      <c r="E92" t="s">
        <v>104</v>
      </c>
      <c r="F92">
        <v>3</v>
      </c>
      <c r="G92" t="s">
        <v>1618</v>
      </c>
      <c r="H92">
        <v>60</v>
      </c>
      <c r="K92" t="s">
        <v>1622</v>
      </c>
    </row>
    <row r="93" spans="1:11" x14ac:dyDescent="0.25">
      <c r="A93" t="s">
        <v>1771</v>
      </c>
      <c r="B93" t="s">
        <v>353</v>
      </c>
      <c r="C93" t="s">
        <v>59</v>
      </c>
      <c r="D93" t="s">
        <v>145</v>
      </c>
      <c r="E93" t="s">
        <v>1772</v>
      </c>
      <c r="F93">
        <v>2</v>
      </c>
      <c r="G93" t="s">
        <v>1618</v>
      </c>
      <c r="K93" t="s">
        <v>1630</v>
      </c>
    </row>
    <row r="94" spans="1:11" x14ac:dyDescent="0.25">
      <c r="A94" t="s">
        <v>1773</v>
      </c>
      <c r="B94" t="s">
        <v>355</v>
      </c>
      <c r="C94" t="s">
        <v>103</v>
      </c>
      <c r="D94" t="s">
        <v>153</v>
      </c>
      <c r="E94" t="s">
        <v>1709</v>
      </c>
      <c r="F94">
        <v>4</v>
      </c>
      <c r="G94" t="s">
        <v>1618</v>
      </c>
      <c r="H94">
        <v>69</v>
      </c>
      <c r="I94">
        <v>83</v>
      </c>
      <c r="K94" t="s">
        <v>1659</v>
      </c>
    </row>
    <row r="95" spans="1:11" x14ac:dyDescent="0.25">
      <c r="A95" t="s">
        <v>1774</v>
      </c>
      <c r="B95" t="s">
        <v>357</v>
      </c>
      <c r="C95" t="s">
        <v>66</v>
      </c>
      <c r="D95" t="s">
        <v>160</v>
      </c>
      <c r="E95" t="s">
        <v>1775</v>
      </c>
      <c r="F95">
        <v>2</v>
      </c>
      <c r="G95" t="s">
        <v>1618</v>
      </c>
      <c r="K95" t="s">
        <v>1630</v>
      </c>
    </row>
    <row r="96" spans="1:11" x14ac:dyDescent="0.25">
      <c r="A96" t="s">
        <v>1776</v>
      </c>
      <c r="B96" t="s">
        <v>359</v>
      </c>
      <c r="C96" t="s">
        <v>46</v>
      </c>
      <c r="D96" t="s">
        <v>147</v>
      </c>
      <c r="E96" t="s">
        <v>51</v>
      </c>
      <c r="F96">
        <v>2</v>
      </c>
      <c r="G96" t="s">
        <v>1618</v>
      </c>
      <c r="K96" t="s">
        <v>1625</v>
      </c>
    </row>
    <row r="97" spans="1:11" x14ac:dyDescent="0.25">
      <c r="A97" t="s">
        <v>1777</v>
      </c>
      <c r="B97" t="s">
        <v>361</v>
      </c>
      <c r="C97" t="s">
        <v>98</v>
      </c>
      <c r="D97" t="s">
        <v>160</v>
      </c>
      <c r="E97" t="s">
        <v>131</v>
      </c>
      <c r="F97">
        <v>5</v>
      </c>
      <c r="G97" t="s">
        <v>1618</v>
      </c>
      <c r="H97">
        <v>85</v>
      </c>
      <c r="I97">
        <v>96</v>
      </c>
      <c r="K97" t="s">
        <v>1659</v>
      </c>
    </row>
    <row r="98" spans="1:11" x14ac:dyDescent="0.25">
      <c r="A98" t="s">
        <v>1778</v>
      </c>
      <c r="B98" t="s">
        <v>363</v>
      </c>
      <c r="C98" t="s">
        <v>132</v>
      </c>
      <c r="D98" t="s">
        <v>153</v>
      </c>
      <c r="E98" t="s">
        <v>1779</v>
      </c>
      <c r="F98">
        <v>7</v>
      </c>
      <c r="G98" t="s">
        <v>1692</v>
      </c>
      <c r="H98">
        <v>91</v>
      </c>
      <c r="I98">
        <v>75</v>
      </c>
      <c r="J98">
        <v>21</v>
      </c>
      <c r="K98" t="s">
        <v>1693</v>
      </c>
    </row>
    <row r="99" spans="1:11" x14ac:dyDescent="0.25">
      <c r="A99" t="s">
        <v>1780</v>
      </c>
      <c r="B99" t="s">
        <v>365</v>
      </c>
      <c r="C99" t="s">
        <v>46</v>
      </c>
      <c r="D99" t="s">
        <v>147</v>
      </c>
      <c r="E99" t="s">
        <v>1781</v>
      </c>
      <c r="F99">
        <v>3</v>
      </c>
      <c r="G99" t="s">
        <v>1618</v>
      </c>
      <c r="H99">
        <v>62</v>
      </c>
      <c r="K99" t="s">
        <v>1622</v>
      </c>
    </row>
    <row r="100" spans="1:11" x14ac:dyDescent="0.25">
      <c r="A100" t="s">
        <v>1782</v>
      </c>
      <c r="B100" t="s">
        <v>367</v>
      </c>
      <c r="C100" t="s">
        <v>100</v>
      </c>
      <c r="D100" t="s">
        <v>150</v>
      </c>
      <c r="E100" t="s">
        <v>78</v>
      </c>
      <c r="F100">
        <v>2</v>
      </c>
      <c r="G100" t="s">
        <v>1618</v>
      </c>
      <c r="K100" t="s">
        <v>1630</v>
      </c>
    </row>
    <row r="101" spans="1:11" x14ac:dyDescent="0.25">
      <c r="A101" t="s">
        <v>1783</v>
      </c>
      <c r="B101" t="s">
        <v>368</v>
      </c>
      <c r="C101" t="s">
        <v>14</v>
      </c>
      <c r="D101" t="s">
        <v>158</v>
      </c>
      <c r="E101" t="s">
        <v>1667</v>
      </c>
      <c r="F101">
        <v>4</v>
      </c>
      <c r="G101" t="s">
        <v>1618</v>
      </c>
      <c r="H101">
        <v>78</v>
      </c>
      <c r="I101">
        <v>87</v>
      </c>
      <c r="K101" t="s">
        <v>1659</v>
      </c>
    </row>
    <row r="102" spans="1:11" x14ac:dyDescent="0.25">
      <c r="A102" t="s">
        <v>1784</v>
      </c>
      <c r="B102" t="s">
        <v>370</v>
      </c>
      <c r="C102" t="s">
        <v>43</v>
      </c>
      <c r="D102" t="s">
        <v>158</v>
      </c>
      <c r="E102" t="s">
        <v>1785</v>
      </c>
      <c r="F102">
        <v>3</v>
      </c>
      <c r="G102" t="s">
        <v>1618</v>
      </c>
      <c r="H102">
        <v>61</v>
      </c>
      <c r="K102" t="s">
        <v>1622</v>
      </c>
    </row>
    <row r="103" spans="1:11" x14ac:dyDescent="0.25">
      <c r="A103" t="s">
        <v>1786</v>
      </c>
      <c r="B103" t="s">
        <v>372</v>
      </c>
      <c r="C103" t="s">
        <v>112</v>
      </c>
      <c r="D103" t="s">
        <v>150</v>
      </c>
      <c r="E103" t="s">
        <v>1787</v>
      </c>
      <c r="F103">
        <v>7</v>
      </c>
      <c r="G103" t="s">
        <v>1692</v>
      </c>
      <c r="H103">
        <v>76</v>
      </c>
      <c r="I103">
        <v>85</v>
      </c>
      <c r="J103">
        <v>27</v>
      </c>
      <c r="K103" t="s">
        <v>1693</v>
      </c>
    </row>
    <row r="104" spans="1:11" x14ac:dyDescent="0.25">
      <c r="A104" t="s">
        <v>1788</v>
      </c>
      <c r="B104" t="s">
        <v>373</v>
      </c>
      <c r="C104" t="s">
        <v>97</v>
      </c>
      <c r="D104" t="s">
        <v>158</v>
      </c>
      <c r="E104" t="s">
        <v>1789</v>
      </c>
      <c r="F104">
        <v>1</v>
      </c>
      <c r="G104" t="s">
        <v>1618</v>
      </c>
      <c r="K104" t="s">
        <v>1619</v>
      </c>
    </row>
    <row r="105" spans="1:11" x14ac:dyDescent="0.25">
      <c r="A105" t="s">
        <v>1790</v>
      </c>
      <c r="B105" t="s">
        <v>374</v>
      </c>
      <c r="C105" t="s">
        <v>37</v>
      </c>
      <c r="D105" t="s">
        <v>147</v>
      </c>
      <c r="E105" t="s">
        <v>1739</v>
      </c>
      <c r="F105">
        <v>1</v>
      </c>
      <c r="G105" t="s">
        <v>1618</v>
      </c>
      <c r="K105" t="s">
        <v>1619</v>
      </c>
    </row>
    <row r="106" spans="1:11" x14ac:dyDescent="0.25">
      <c r="A106" t="s">
        <v>1791</v>
      </c>
      <c r="B106" t="s">
        <v>376</v>
      </c>
      <c r="C106" t="s">
        <v>27</v>
      </c>
      <c r="D106" t="s">
        <v>147</v>
      </c>
      <c r="E106" t="s">
        <v>1661</v>
      </c>
      <c r="F106">
        <v>4</v>
      </c>
      <c r="G106" t="s">
        <v>1618</v>
      </c>
      <c r="H106">
        <v>85</v>
      </c>
      <c r="I106">
        <v>73</v>
      </c>
      <c r="K106" t="s">
        <v>1659</v>
      </c>
    </row>
    <row r="107" spans="1:11" x14ac:dyDescent="0.25">
      <c r="A107" t="s">
        <v>1792</v>
      </c>
      <c r="B107" t="s">
        <v>378</v>
      </c>
      <c r="C107" t="s">
        <v>69</v>
      </c>
      <c r="D107" t="s">
        <v>142</v>
      </c>
      <c r="E107" t="s">
        <v>19</v>
      </c>
      <c r="F107">
        <v>1</v>
      </c>
      <c r="G107" t="s">
        <v>1618</v>
      </c>
      <c r="K107" t="s">
        <v>1625</v>
      </c>
    </row>
    <row r="108" spans="1:11" x14ac:dyDescent="0.25">
      <c r="A108" t="s">
        <v>1793</v>
      </c>
      <c r="B108" t="s">
        <v>380</v>
      </c>
      <c r="C108" t="s">
        <v>65</v>
      </c>
      <c r="D108" t="s">
        <v>145</v>
      </c>
      <c r="E108" t="s">
        <v>1751</v>
      </c>
      <c r="F108">
        <v>2</v>
      </c>
      <c r="G108" t="s">
        <v>1618</v>
      </c>
      <c r="K108" t="s">
        <v>1625</v>
      </c>
    </row>
    <row r="109" spans="1:11" x14ac:dyDescent="0.25">
      <c r="A109" t="s">
        <v>1794</v>
      </c>
      <c r="B109" t="s">
        <v>382</v>
      </c>
      <c r="C109" t="s">
        <v>101</v>
      </c>
      <c r="D109" t="s">
        <v>153</v>
      </c>
      <c r="E109" t="s">
        <v>1795</v>
      </c>
      <c r="F109">
        <v>1</v>
      </c>
      <c r="G109" t="s">
        <v>1618</v>
      </c>
      <c r="K109" t="s">
        <v>1630</v>
      </c>
    </row>
    <row r="110" spans="1:11" x14ac:dyDescent="0.25">
      <c r="A110" t="s">
        <v>1796</v>
      </c>
      <c r="B110" t="s">
        <v>383</v>
      </c>
      <c r="C110" t="s">
        <v>116</v>
      </c>
      <c r="D110" t="s">
        <v>142</v>
      </c>
      <c r="E110" t="s">
        <v>1797</v>
      </c>
      <c r="F110">
        <v>1</v>
      </c>
      <c r="G110" t="s">
        <v>1618</v>
      </c>
      <c r="K110" t="s">
        <v>1630</v>
      </c>
    </row>
    <row r="111" spans="1:11" x14ac:dyDescent="0.25">
      <c r="A111" t="s">
        <v>1798</v>
      </c>
      <c r="B111" t="s">
        <v>385</v>
      </c>
      <c r="C111" t="s">
        <v>97</v>
      </c>
      <c r="D111" t="s">
        <v>142</v>
      </c>
      <c r="E111" t="s">
        <v>48</v>
      </c>
      <c r="F111">
        <v>5</v>
      </c>
      <c r="G111" t="s">
        <v>1618</v>
      </c>
      <c r="H111">
        <v>88</v>
      </c>
      <c r="I111">
        <v>77</v>
      </c>
      <c r="K111" t="s">
        <v>1635</v>
      </c>
    </row>
    <row r="112" spans="1:11" x14ac:dyDescent="0.25">
      <c r="A112" t="s">
        <v>1799</v>
      </c>
      <c r="B112" t="s">
        <v>387</v>
      </c>
      <c r="C112" t="s">
        <v>65</v>
      </c>
      <c r="D112" t="s">
        <v>145</v>
      </c>
      <c r="E112" t="s">
        <v>78</v>
      </c>
      <c r="F112">
        <v>7</v>
      </c>
      <c r="G112" t="s">
        <v>1692</v>
      </c>
      <c r="H112">
        <v>76</v>
      </c>
      <c r="I112">
        <v>86</v>
      </c>
      <c r="J112">
        <v>27</v>
      </c>
      <c r="K112" t="s">
        <v>1693</v>
      </c>
    </row>
    <row r="113" spans="1:11" x14ac:dyDescent="0.25">
      <c r="A113" t="s">
        <v>1800</v>
      </c>
      <c r="B113" t="s">
        <v>389</v>
      </c>
      <c r="C113" t="s">
        <v>65</v>
      </c>
      <c r="D113" t="s">
        <v>160</v>
      </c>
      <c r="E113" t="s">
        <v>1801</v>
      </c>
      <c r="F113">
        <v>5</v>
      </c>
      <c r="G113" t="s">
        <v>1618</v>
      </c>
      <c r="H113">
        <v>85</v>
      </c>
      <c r="I113">
        <v>89</v>
      </c>
      <c r="K113" t="s">
        <v>1659</v>
      </c>
    </row>
    <row r="114" spans="1:11" x14ac:dyDescent="0.25">
      <c r="A114" t="s">
        <v>1802</v>
      </c>
      <c r="B114" t="s">
        <v>391</v>
      </c>
      <c r="C114" t="s">
        <v>116</v>
      </c>
      <c r="D114" t="s">
        <v>158</v>
      </c>
      <c r="E114" t="s">
        <v>1803</v>
      </c>
      <c r="F114">
        <v>3</v>
      </c>
      <c r="G114" t="s">
        <v>1618</v>
      </c>
      <c r="H114">
        <v>66</v>
      </c>
      <c r="K114" t="s">
        <v>1622</v>
      </c>
    </row>
    <row r="115" spans="1:11" x14ac:dyDescent="0.25">
      <c r="A115" t="s">
        <v>1804</v>
      </c>
      <c r="B115" t="s">
        <v>392</v>
      </c>
      <c r="C115" t="s">
        <v>31</v>
      </c>
      <c r="D115" t="s">
        <v>145</v>
      </c>
      <c r="E115" t="s">
        <v>1701</v>
      </c>
      <c r="F115">
        <v>2</v>
      </c>
      <c r="G115" t="s">
        <v>1618</v>
      </c>
      <c r="K115" t="s">
        <v>1630</v>
      </c>
    </row>
    <row r="116" spans="1:11" x14ac:dyDescent="0.25">
      <c r="A116" t="s">
        <v>1805</v>
      </c>
      <c r="B116" t="s">
        <v>393</v>
      </c>
      <c r="C116" t="s">
        <v>23</v>
      </c>
      <c r="D116" t="s">
        <v>160</v>
      </c>
      <c r="E116" t="s">
        <v>22</v>
      </c>
      <c r="F116">
        <v>4</v>
      </c>
      <c r="G116" t="s">
        <v>1618</v>
      </c>
      <c r="H116">
        <v>68</v>
      </c>
      <c r="I116">
        <v>80</v>
      </c>
      <c r="K116" t="s">
        <v>1659</v>
      </c>
    </row>
    <row r="117" spans="1:11" x14ac:dyDescent="0.25">
      <c r="A117" t="s">
        <v>1806</v>
      </c>
      <c r="B117" t="s">
        <v>395</v>
      </c>
      <c r="C117" t="s">
        <v>130</v>
      </c>
      <c r="D117" t="s">
        <v>158</v>
      </c>
      <c r="E117" t="s">
        <v>1807</v>
      </c>
      <c r="F117">
        <v>3</v>
      </c>
      <c r="G117" t="s">
        <v>1618</v>
      </c>
      <c r="H117">
        <v>83</v>
      </c>
      <c r="K117" t="s">
        <v>1622</v>
      </c>
    </row>
    <row r="118" spans="1:11" x14ac:dyDescent="0.25">
      <c r="A118" t="s">
        <v>1808</v>
      </c>
      <c r="B118" t="s">
        <v>397</v>
      </c>
      <c r="C118" t="s">
        <v>20</v>
      </c>
      <c r="D118" t="s">
        <v>158</v>
      </c>
      <c r="E118" t="s">
        <v>1809</v>
      </c>
      <c r="F118">
        <v>1</v>
      </c>
      <c r="G118" t="s">
        <v>1618</v>
      </c>
      <c r="K118" t="s">
        <v>1625</v>
      </c>
    </row>
    <row r="119" spans="1:11" x14ac:dyDescent="0.25">
      <c r="A119" t="s">
        <v>1810</v>
      </c>
      <c r="B119" t="s">
        <v>399</v>
      </c>
      <c r="C119" t="s">
        <v>90</v>
      </c>
      <c r="D119" t="s">
        <v>145</v>
      </c>
      <c r="E119" t="s">
        <v>78</v>
      </c>
      <c r="F119">
        <v>2</v>
      </c>
      <c r="G119" t="s">
        <v>1618</v>
      </c>
      <c r="K119" t="s">
        <v>1619</v>
      </c>
    </row>
    <row r="120" spans="1:11" x14ac:dyDescent="0.25">
      <c r="A120" t="s">
        <v>1811</v>
      </c>
      <c r="B120" t="s">
        <v>401</v>
      </c>
      <c r="C120" t="s">
        <v>103</v>
      </c>
      <c r="D120" t="s">
        <v>153</v>
      </c>
      <c r="E120" t="s">
        <v>1812</v>
      </c>
      <c r="F120">
        <v>2</v>
      </c>
      <c r="G120" t="s">
        <v>1618</v>
      </c>
      <c r="K120" t="s">
        <v>1625</v>
      </c>
    </row>
    <row r="121" spans="1:11" x14ac:dyDescent="0.25">
      <c r="A121" t="s">
        <v>1813</v>
      </c>
      <c r="B121" t="s">
        <v>403</v>
      </c>
      <c r="C121" t="s">
        <v>130</v>
      </c>
      <c r="D121" t="s">
        <v>158</v>
      </c>
      <c r="E121" t="s">
        <v>19</v>
      </c>
      <c r="F121">
        <v>1</v>
      </c>
      <c r="G121" t="s">
        <v>1618</v>
      </c>
      <c r="K121" t="s">
        <v>1625</v>
      </c>
    </row>
    <row r="122" spans="1:11" x14ac:dyDescent="0.25">
      <c r="A122" t="s">
        <v>1814</v>
      </c>
      <c r="B122" t="s">
        <v>405</v>
      </c>
      <c r="C122" t="s">
        <v>65</v>
      </c>
      <c r="D122" t="s">
        <v>145</v>
      </c>
      <c r="E122" t="s">
        <v>1815</v>
      </c>
      <c r="F122">
        <v>4</v>
      </c>
      <c r="G122" t="s">
        <v>1618</v>
      </c>
      <c r="H122">
        <v>87</v>
      </c>
      <c r="I122">
        <v>83</v>
      </c>
      <c r="K122" t="s">
        <v>1635</v>
      </c>
    </row>
    <row r="123" spans="1:11" x14ac:dyDescent="0.25">
      <c r="A123" t="s">
        <v>1816</v>
      </c>
      <c r="B123" t="s">
        <v>407</v>
      </c>
      <c r="C123" t="s">
        <v>100</v>
      </c>
      <c r="D123" t="s">
        <v>150</v>
      </c>
      <c r="E123" t="s">
        <v>1621</v>
      </c>
      <c r="F123">
        <v>2</v>
      </c>
      <c r="G123" t="s">
        <v>1618</v>
      </c>
      <c r="K123" t="s">
        <v>1630</v>
      </c>
    </row>
    <row r="124" spans="1:11" x14ac:dyDescent="0.25">
      <c r="A124" t="s">
        <v>1817</v>
      </c>
      <c r="B124" t="s">
        <v>408</v>
      </c>
      <c r="C124" t="s">
        <v>69</v>
      </c>
      <c r="D124" t="s">
        <v>158</v>
      </c>
      <c r="E124" t="s">
        <v>137</v>
      </c>
      <c r="F124">
        <v>3</v>
      </c>
      <c r="G124" t="s">
        <v>1618</v>
      </c>
      <c r="H124">
        <v>63</v>
      </c>
      <c r="K124" t="s">
        <v>1622</v>
      </c>
    </row>
    <row r="125" spans="1:11" x14ac:dyDescent="0.25">
      <c r="A125" t="s">
        <v>1818</v>
      </c>
      <c r="B125" t="s">
        <v>410</v>
      </c>
      <c r="C125" t="s">
        <v>128</v>
      </c>
      <c r="D125" t="s">
        <v>142</v>
      </c>
      <c r="E125" t="s">
        <v>1632</v>
      </c>
      <c r="F125">
        <v>5</v>
      </c>
      <c r="G125" t="s">
        <v>1618</v>
      </c>
      <c r="H125">
        <v>84</v>
      </c>
      <c r="I125">
        <v>91</v>
      </c>
      <c r="K125" t="s">
        <v>1659</v>
      </c>
    </row>
    <row r="126" spans="1:11" x14ac:dyDescent="0.25">
      <c r="A126" t="s">
        <v>1819</v>
      </c>
      <c r="B126" t="s">
        <v>411</v>
      </c>
      <c r="C126" t="s">
        <v>127</v>
      </c>
      <c r="D126" t="s">
        <v>160</v>
      </c>
      <c r="E126" t="s">
        <v>1820</v>
      </c>
      <c r="F126">
        <v>2</v>
      </c>
      <c r="G126" t="s">
        <v>1618</v>
      </c>
      <c r="K126" t="s">
        <v>1630</v>
      </c>
    </row>
    <row r="127" spans="1:11" x14ac:dyDescent="0.25">
      <c r="A127" t="s">
        <v>1821</v>
      </c>
      <c r="B127" t="s">
        <v>413</v>
      </c>
      <c r="C127" t="s">
        <v>59</v>
      </c>
      <c r="D127" t="s">
        <v>145</v>
      </c>
      <c r="E127" t="s">
        <v>1822</v>
      </c>
      <c r="F127">
        <v>2</v>
      </c>
      <c r="G127" t="s">
        <v>1618</v>
      </c>
      <c r="K127" t="s">
        <v>1625</v>
      </c>
    </row>
    <row r="128" spans="1:11" x14ac:dyDescent="0.25">
      <c r="A128" t="s">
        <v>1823</v>
      </c>
      <c r="B128" t="s">
        <v>415</v>
      </c>
      <c r="C128" t="s">
        <v>125</v>
      </c>
      <c r="D128" t="s">
        <v>153</v>
      </c>
      <c r="E128" t="s">
        <v>1824</v>
      </c>
      <c r="F128">
        <v>1</v>
      </c>
      <c r="G128" t="s">
        <v>1618</v>
      </c>
      <c r="K128" t="s">
        <v>1619</v>
      </c>
    </row>
    <row r="129" spans="1:11" x14ac:dyDescent="0.25">
      <c r="A129" t="s">
        <v>1825</v>
      </c>
      <c r="B129" t="s">
        <v>416</v>
      </c>
      <c r="C129" t="s">
        <v>128</v>
      </c>
      <c r="D129" t="s">
        <v>158</v>
      </c>
      <c r="E129" t="s">
        <v>1826</v>
      </c>
      <c r="F129">
        <v>2</v>
      </c>
      <c r="G129" t="s">
        <v>1618</v>
      </c>
      <c r="K129" t="s">
        <v>1619</v>
      </c>
    </row>
    <row r="130" spans="1:11" x14ac:dyDescent="0.25">
      <c r="A130" t="s">
        <v>1827</v>
      </c>
      <c r="B130" t="s">
        <v>418</v>
      </c>
      <c r="C130" t="s">
        <v>100</v>
      </c>
      <c r="D130" t="s">
        <v>150</v>
      </c>
      <c r="E130" t="s">
        <v>1828</v>
      </c>
      <c r="F130">
        <v>1</v>
      </c>
      <c r="G130" t="s">
        <v>1618</v>
      </c>
      <c r="K130" t="s">
        <v>1630</v>
      </c>
    </row>
    <row r="131" spans="1:11" x14ac:dyDescent="0.25">
      <c r="A131" t="s">
        <v>1829</v>
      </c>
      <c r="B131" t="s">
        <v>420</v>
      </c>
      <c r="C131" t="s">
        <v>97</v>
      </c>
      <c r="D131" t="s">
        <v>142</v>
      </c>
      <c r="E131" t="s">
        <v>1822</v>
      </c>
      <c r="F131">
        <v>1</v>
      </c>
      <c r="G131" t="s">
        <v>1618</v>
      </c>
      <c r="K131" t="s">
        <v>1619</v>
      </c>
    </row>
    <row r="132" spans="1:11" x14ac:dyDescent="0.25">
      <c r="A132" t="s">
        <v>1830</v>
      </c>
      <c r="B132" t="s">
        <v>422</v>
      </c>
      <c r="C132" t="s">
        <v>92</v>
      </c>
      <c r="D132" t="s">
        <v>156</v>
      </c>
      <c r="E132" t="s">
        <v>78</v>
      </c>
      <c r="F132">
        <v>1</v>
      </c>
      <c r="G132" t="s">
        <v>1618</v>
      </c>
      <c r="K132" t="s">
        <v>1630</v>
      </c>
    </row>
    <row r="133" spans="1:11" x14ac:dyDescent="0.25">
      <c r="A133" t="s">
        <v>1831</v>
      </c>
      <c r="B133" t="s">
        <v>424</v>
      </c>
      <c r="C133" t="s">
        <v>136</v>
      </c>
      <c r="D133" t="s">
        <v>142</v>
      </c>
      <c r="E133" t="s">
        <v>1637</v>
      </c>
      <c r="F133">
        <v>1</v>
      </c>
      <c r="G133" t="s">
        <v>1618</v>
      </c>
      <c r="K133" t="s">
        <v>1625</v>
      </c>
    </row>
    <row r="134" spans="1:11" x14ac:dyDescent="0.25">
      <c r="A134" t="s">
        <v>1832</v>
      </c>
      <c r="B134" t="s">
        <v>426</v>
      </c>
      <c r="C134" t="s">
        <v>128</v>
      </c>
      <c r="D134" t="s">
        <v>142</v>
      </c>
      <c r="E134" t="s">
        <v>1833</v>
      </c>
      <c r="F134">
        <v>4</v>
      </c>
      <c r="G134" t="s">
        <v>1618</v>
      </c>
      <c r="H134">
        <v>80</v>
      </c>
      <c r="I134">
        <v>78</v>
      </c>
      <c r="K134" t="s">
        <v>1659</v>
      </c>
    </row>
    <row r="135" spans="1:11" x14ac:dyDescent="0.25">
      <c r="A135" t="s">
        <v>1834</v>
      </c>
      <c r="B135" t="s">
        <v>427</v>
      </c>
      <c r="C135" t="s">
        <v>116</v>
      </c>
      <c r="D135" t="s">
        <v>158</v>
      </c>
      <c r="E135" t="s">
        <v>1835</v>
      </c>
      <c r="F135">
        <v>3</v>
      </c>
      <c r="G135" t="s">
        <v>1618</v>
      </c>
      <c r="H135">
        <v>71</v>
      </c>
      <c r="K135" t="s">
        <v>1622</v>
      </c>
    </row>
    <row r="136" spans="1:11" x14ac:dyDescent="0.25">
      <c r="A136" t="s">
        <v>1836</v>
      </c>
      <c r="B136" t="s">
        <v>429</v>
      </c>
      <c r="C136" t="s">
        <v>134</v>
      </c>
      <c r="D136" t="s">
        <v>150</v>
      </c>
      <c r="E136" t="s">
        <v>36</v>
      </c>
      <c r="F136">
        <v>1</v>
      </c>
      <c r="G136" t="s">
        <v>1618</v>
      </c>
      <c r="K136" t="s">
        <v>1630</v>
      </c>
    </row>
    <row r="137" spans="1:11" x14ac:dyDescent="0.25">
      <c r="A137" t="s">
        <v>1837</v>
      </c>
      <c r="B137" t="s">
        <v>430</v>
      </c>
      <c r="C137" t="s">
        <v>14</v>
      </c>
      <c r="D137" t="s">
        <v>158</v>
      </c>
      <c r="E137" t="s">
        <v>1637</v>
      </c>
      <c r="F137">
        <v>2</v>
      </c>
      <c r="G137" t="s">
        <v>1618</v>
      </c>
      <c r="K137" t="s">
        <v>1619</v>
      </c>
    </row>
    <row r="138" spans="1:11" x14ac:dyDescent="0.25">
      <c r="A138" t="s">
        <v>1838</v>
      </c>
      <c r="B138" t="s">
        <v>431</v>
      </c>
      <c r="C138" t="s">
        <v>132</v>
      </c>
      <c r="D138" t="s">
        <v>153</v>
      </c>
      <c r="E138" t="s">
        <v>1695</v>
      </c>
      <c r="F138">
        <v>2</v>
      </c>
      <c r="G138" t="s">
        <v>1618</v>
      </c>
      <c r="K138" t="s">
        <v>1619</v>
      </c>
    </row>
    <row r="139" spans="1:11" x14ac:dyDescent="0.25">
      <c r="A139" t="s">
        <v>1839</v>
      </c>
      <c r="B139" t="s">
        <v>433</v>
      </c>
      <c r="C139" t="s">
        <v>127</v>
      </c>
      <c r="D139" t="s">
        <v>145</v>
      </c>
      <c r="E139" t="s">
        <v>1657</v>
      </c>
      <c r="F139">
        <v>3</v>
      </c>
      <c r="G139" t="s">
        <v>1618</v>
      </c>
      <c r="H139">
        <v>97</v>
      </c>
      <c r="K139" t="s">
        <v>1622</v>
      </c>
    </row>
    <row r="140" spans="1:11" x14ac:dyDescent="0.25">
      <c r="A140" t="s">
        <v>1840</v>
      </c>
      <c r="B140" t="s">
        <v>435</v>
      </c>
      <c r="C140" t="s">
        <v>73</v>
      </c>
      <c r="D140" t="s">
        <v>153</v>
      </c>
      <c r="E140" t="s">
        <v>1621</v>
      </c>
      <c r="F140">
        <v>1</v>
      </c>
      <c r="G140" t="s">
        <v>1618</v>
      </c>
      <c r="K140" t="s">
        <v>1625</v>
      </c>
    </row>
    <row r="141" spans="1:11" x14ac:dyDescent="0.25">
      <c r="A141" t="s">
        <v>1841</v>
      </c>
      <c r="B141" t="s">
        <v>436</v>
      </c>
      <c r="C141" t="s">
        <v>116</v>
      </c>
      <c r="D141" t="s">
        <v>158</v>
      </c>
      <c r="E141" t="s">
        <v>1842</v>
      </c>
      <c r="F141">
        <v>3</v>
      </c>
      <c r="G141" t="s">
        <v>1618</v>
      </c>
      <c r="H141">
        <v>70</v>
      </c>
      <c r="K141" t="s">
        <v>1622</v>
      </c>
    </row>
    <row r="142" spans="1:11" x14ac:dyDescent="0.25">
      <c r="A142" t="s">
        <v>1843</v>
      </c>
      <c r="B142" t="s">
        <v>438</v>
      </c>
      <c r="C142" t="s">
        <v>94</v>
      </c>
      <c r="D142" t="s">
        <v>150</v>
      </c>
      <c r="E142" t="s">
        <v>1844</v>
      </c>
      <c r="F142">
        <v>1</v>
      </c>
      <c r="G142" t="s">
        <v>1618</v>
      </c>
      <c r="K142" t="s">
        <v>1625</v>
      </c>
    </row>
    <row r="143" spans="1:11" x14ac:dyDescent="0.25">
      <c r="A143" t="s">
        <v>1845</v>
      </c>
      <c r="B143" t="s">
        <v>439</v>
      </c>
      <c r="C143" t="s">
        <v>121</v>
      </c>
      <c r="D143" t="s">
        <v>156</v>
      </c>
      <c r="E143" t="s">
        <v>1657</v>
      </c>
      <c r="F143">
        <v>3</v>
      </c>
      <c r="G143" t="s">
        <v>1618</v>
      </c>
      <c r="H143">
        <v>66</v>
      </c>
      <c r="K143" t="s">
        <v>1622</v>
      </c>
    </row>
    <row r="144" spans="1:11" x14ac:dyDescent="0.25">
      <c r="A144" t="s">
        <v>1846</v>
      </c>
      <c r="B144" t="s">
        <v>440</v>
      </c>
      <c r="C144" t="s">
        <v>71</v>
      </c>
      <c r="D144" t="s">
        <v>142</v>
      </c>
      <c r="E144" t="s">
        <v>38</v>
      </c>
      <c r="F144">
        <v>2</v>
      </c>
      <c r="G144" t="s">
        <v>1618</v>
      </c>
      <c r="K144" t="s">
        <v>1625</v>
      </c>
    </row>
    <row r="145" spans="1:11" x14ac:dyDescent="0.25">
      <c r="A145" t="s">
        <v>1847</v>
      </c>
      <c r="B145" t="s">
        <v>442</v>
      </c>
      <c r="C145" t="s">
        <v>107</v>
      </c>
      <c r="D145" t="s">
        <v>150</v>
      </c>
      <c r="E145" t="s">
        <v>36</v>
      </c>
      <c r="F145">
        <v>1</v>
      </c>
      <c r="G145" t="s">
        <v>1618</v>
      </c>
      <c r="K145" t="s">
        <v>1619</v>
      </c>
    </row>
    <row r="146" spans="1:11" x14ac:dyDescent="0.25">
      <c r="A146" t="s">
        <v>1848</v>
      </c>
      <c r="B146" t="s">
        <v>444</v>
      </c>
      <c r="C146" t="s">
        <v>113</v>
      </c>
      <c r="D146" t="s">
        <v>145</v>
      </c>
      <c r="E146" t="s">
        <v>1663</v>
      </c>
      <c r="F146">
        <v>3</v>
      </c>
      <c r="G146" t="s">
        <v>1618</v>
      </c>
      <c r="H146">
        <v>64</v>
      </c>
      <c r="K146" t="s">
        <v>1622</v>
      </c>
    </row>
    <row r="147" spans="1:11" x14ac:dyDescent="0.25">
      <c r="A147" t="s">
        <v>1849</v>
      </c>
      <c r="B147" t="s">
        <v>446</v>
      </c>
      <c r="C147" t="s">
        <v>71</v>
      </c>
      <c r="D147" t="s">
        <v>158</v>
      </c>
      <c r="E147" t="s">
        <v>1850</v>
      </c>
      <c r="F147">
        <v>3</v>
      </c>
      <c r="G147" t="s">
        <v>1618</v>
      </c>
      <c r="H147">
        <v>60</v>
      </c>
      <c r="K147" t="s">
        <v>1622</v>
      </c>
    </row>
    <row r="148" spans="1:11" x14ac:dyDescent="0.25">
      <c r="A148" t="s">
        <v>1851</v>
      </c>
      <c r="B148" t="s">
        <v>447</v>
      </c>
      <c r="C148" t="s">
        <v>87</v>
      </c>
      <c r="D148" t="s">
        <v>145</v>
      </c>
      <c r="E148" t="s">
        <v>1815</v>
      </c>
      <c r="F148">
        <v>2</v>
      </c>
      <c r="G148" t="s">
        <v>1618</v>
      </c>
      <c r="K148" t="s">
        <v>1619</v>
      </c>
    </row>
    <row r="149" spans="1:11" x14ac:dyDescent="0.25">
      <c r="A149" t="s">
        <v>1852</v>
      </c>
      <c r="B149" t="s">
        <v>448</v>
      </c>
      <c r="C149" t="s">
        <v>46</v>
      </c>
      <c r="D149" t="s">
        <v>147</v>
      </c>
      <c r="E149" t="s">
        <v>64</v>
      </c>
      <c r="F149">
        <v>1</v>
      </c>
      <c r="G149" t="s">
        <v>1618</v>
      </c>
      <c r="K149" t="s">
        <v>1630</v>
      </c>
    </row>
    <row r="150" spans="1:11" x14ac:dyDescent="0.25">
      <c r="A150" t="s">
        <v>1853</v>
      </c>
      <c r="B150" t="s">
        <v>449</v>
      </c>
      <c r="C150" t="s">
        <v>46</v>
      </c>
      <c r="D150" t="s">
        <v>147</v>
      </c>
      <c r="E150" t="s">
        <v>64</v>
      </c>
      <c r="F150">
        <v>3</v>
      </c>
      <c r="G150" t="s">
        <v>1618</v>
      </c>
      <c r="H150">
        <v>63</v>
      </c>
      <c r="K150" t="s">
        <v>1622</v>
      </c>
    </row>
    <row r="151" spans="1:11" x14ac:dyDescent="0.25">
      <c r="A151" t="s">
        <v>1854</v>
      </c>
      <c r="B151" t="s">
        <v>450</v>
      </c>
      <c r="C151" t="s">
        <v>49</v>
      </c>
      <c r="D151" t="s">
        <v>142</v>
      </c>
      <c r="E151" t="s">
        <v>1645</v>
      </c>
      <c r="F151">
        <v>1</v>
      </c>
      <c r="G151" t="s">
        <v>1618</v>
      </c>
      <c r="K151" t="s">
        <v>1630</v>
      </c>
    </row>
    <row r="152" spans="1:11" x14ac:dyDescent="0.25">
      <c r="A152" t="s">
        <v>1855</v>
      </c>
      <c r="B152" t="s">
        <v>452</v>
      </c>
      <c r="C152" t="s">
        <v>116</v>
      </c>
      <c r="D152" t="s">
        <v>142</v>
      </c>
      <c r="E152" t="s">
        <v>45</v>
      </c>
      <c r="F152">
        <v>3</v>
      </c>
      <c r="G152" t="s">
        <v>1618</v>
      </c>
      <c r="H152">
        <v>53</v>
      </c>
      <c r="K152" t="s">
        <v>1622</v>
      </c>
    </row>
    <row r="153" spans="1:11" x14ac:dyDescent="0.25">
      <c r="A153" t="s">
        <v>1856</v>
      </c>
      <c r="B153" t="s">
        <v>453</v>
      </c>
      <c r="C153" t="s">
        <v>85</v>
      </c>
      <c r="D153" t="s">
        <v>160</v>
      </c>
      <c r="E153" t="s">
        <v>1857</v>
      </c>
      <c r="F153">
        <v>2</v>
      </c>
      <c r="G153" t="s">
        <v>1618</v>
      </c>
      <c r="K153" t="s">
        <v>1619</v>
      </c>
    </row>
    <row r="154" spans="1:11" x14ac:dyDescent="0.25">
      <c r="A154" t="s">
        <v>1858</v>
      </c>
      <c r="B154" t="s">
        <v>455</v>
      </c>
      <c r="C154" t="s">
        <v>134</v>
      </c>
      <c r="D154" t="s">
        <v>150</v>
      </c>
      <c r="E154" t="s">
        <v>1859</v>
      </c>
      <c r="F154">
        <v>1</v>
      </c>
      <c r="G154" t="s">
        <v>1618</v>
      </c>
      <c r="K154" t="s">
        <v>1625</v>
      </c>
    </row>
    <row r="155" spans="1:11" x14ac:dyDescent="0.25">
      <c r="A155" t="s">
        <v>1860</v>
      </c>
      <c r="B155" t="s">
        <v>457</v>
      </c>
      <c r="C155" t="s">
        <v>43</v>
      </c>
      <c r="D155" t="s">
        <v>142</v>
      </c>
      <c r="E155" t="s">
        <v>1713</v>
      </c>
      <c r="F155">
        <v>2</v>
      </c>
      <c r="G155" t="s">
        <v>1618</v>
      </c>
      <c r="K155" t="s">
        <v>1619</v>
      </c>
    </row>
    <row r="156" spans="1:11" x14ac:dyDescent="0.25">
      <c r="A156" t="s">
        <v>1861</v>
      </c>
      <c r="B156" t="s">
        <v>459</v>
      </c>
      <c r="C156" t="s">
        <v>127</v>
      </c>
      <c r="D156" t="s">
        <v>160</v>
      </c>
      <c r="E156" t="s">
        <v>1862</v>
      </c>
      <c r="F156">
        <v>1</v>
      </c>
      <c r="G156" t="s">
        <v>1618</v>
      </c>
      <c r="K156" t="s">
        <v>1630</v>
      </c>
    </row>
    <row r="157" spans="1:11" x14ac:dyDescent="0.25">
      <c r="A157" t="s">
        <v>1863</v>
      </c>
      <c r="B157" t="s">
        <v>461</v>
      </c>
      <c r="C157" t="s">
        <v>110</v>
      </c>
      <c r="D157" t="s">
        <v>145</v>
      </c>
      <c r="E157" t="s">
        <v>1683</v>
      </c>
      <c r="F157">
        <v>2</v>
      </c>
      <c r="G157" t="s">
        <v>1618</v>
      </c>
      <c r="K157" t="s">
        <v>1619</v>
      </c>
    </row>
    <row r="158" spans="1:11" x14ac:dyDescent="0.25">
      <c r="A158" t="s">
        <v>1864</v>
      </c>
      <c r="B158" t="s">
        <v>463</v>
      </c>
      <c r="C158" t="s">
        <v>23</v>
      </c>
      <c r="D158" t="s">
        <v>160</v>
      </c>
      <c r="E158" t="s">
        <v>1647</v>
      </c>
      <c r="F158">
        <v>1</v>
      </c>
      <c r="G158" t="s">
        <v>1618</v>
      </c>
      <c r="K158" t="s">
        <v>1619</v>
      </c>
    </row>
    <row r="159" spans="1:11" x14ac:dyDescent="0.25">
      <c r="A159" t="s">
        <v>1865</v>
      </c>
      <c r="B159" t="s">
        <v>464</v>
      </c>
      <c r="C159" t="s">
        <v>123</v>
      </c>
      <c r="D159" t="s">
        <v>160</v>
      </c>
      <c r="E159" t="s">
        <v>68</v>
      </c>
      <c r="F159">
        <v>3</v>
      </c>
      <c r="G159" t="s">
        <v>1618</v>
      </c>
      <c r="H159">
        <v>37</v>
      </c>
      <c r="K159" t="s">
        <v>1622</v>
      </c>
    </row>
    <row r="160" spans="1:11" x14ac:dyDescent="0.25">
      <c r="A160" t="s">
        <v>1866</v>
      </c>
      <c r="B160" t="s">
        <v>465</v>
      </c>
      <c r="C160" t="s">
        <v>46</v>
      </c>
      <c r="D160" t="s">
        <v>147</v>
      </c>
      <c r="E160" t="s">
        <v>68</v>
      </c>
      <c r="F160">
        <v>6</v>
      </c>
      <c r="G160" t="s">
        <v>1746</v>
      </c>
      <c r="H160">
        <v>71</v>
      </c>
      <c r="I160">
        <v>83</v>
      </c>
      <c r="K160" t="s">
        <v>1747</v>
      </c>
    </row>
    <row r="161" spans="1:11" x14ac:dyDescent="0.25">
      <c r="A161" t="s">
        <v>1867</v>
      </c>
      <c r="B161" t="s">
        <v>466</v>
      </c>
      <c r="C161" t="s">
        <v>100</v>
      </c>
      <c r="D161" t="s">
        <v>150</v>
      </c>
      <c r="E161" t="s">
        <v>1657</v>
      </c>
      <c r="F161">
        <v>4</v>
      </c>
      <c r="G161" t="s">
        <v>1618</v>
      </c>
      <c r="H161">
        <v>77</v>
      </c>
      <c r="I161">
        <v>64</v>
      </c>
      <c r="K161" t="s">
        <v>1635</v>
      </c>
    </row>
    <row r="162" spans="1:11" x14ac:dyDescent="0.25">
      <c r="A162" t="s">
        <v>1868</v>
      </c>
      <c r="B162" t="s">
        <v>467</v>
      </c>
      <c r="C162" t="s">
        <v>113</v>
      </c>
      <c r="D162" t="s">
        <v>160</v>
      </c>
      <c r="E162" t="s">
        <v>1869</v>
      </c>
      <c r="F162">
        <v>1</v>
      </c>
      <c r="G162" t="s">
        <v>1618</v>
      </c>
      <c r="K162" t="s">
        <v>1625</v>
      </c>
    </row>
    <row r="163" spans="1:11" x14ac:dyDescent="0.25">
      <c r="A163" t="s">
        <v>1870</v>
      </c>
      <c r="B163" t="s">
        <v>468</v>
      </c>
      <c r="C163" t="s">
        <v>14</v>
      </c>
      <c r="D163" t="s">
        <v>158</v>
      </c>
      <c r="E163" t="s">
        <v>1801</v>
      </c>
      <c r="F163">
        <v>2</v>
      </c>
      <c r="G163" t="s">
        <v>1618</v>
      </c>
      <c r="K163" t="s">
        <v>1619</v>
      </c>
    </row>
    <row r="164" spans="1:11" x14ac:dyDescent="0.25">
      <c r="A164" t="s">
        <v>1871</v>
      </c>
      <c r="B164" t="s">
        <v>469</v>
      </c>
      <c r="C164" t="s">
        <v>90</v>
      </c>
      <c r="D164" t="s">
        <v>160</v>
      </c>
      <c r="E164" t="s">
        <v>78</v>
      </c>
      <c r="F164">
        <v>2</v>
      </c>
      <c r="G164" t="s">
        <v>1618</v>
      </c>
      <c r="K164" t="s">
        <v>1619</v>
      </c>
    </row>
    <row r="165" spans="1:11" x14ac:dyDescent="0.25">
      <c r="A165" t="s">
        <v>1872</v>
      </c>
      <c r="B165" t="s">
        <v>470</v>
      </c>
      <c r="C165" t="s">
        <v>94</v>
      </c>
      <c r="D165" t="s">
        <v>150</v>
      </c>
      <c r="E165" t="s">
        <v>1634</v>
      </c>
      <c r="F165">
        <v>1</v>
      </c>
      <c r="G165" t="s">
        <v>1618</v>
      </c>
      <c r="K165" t="s">
        <v>1619</v>
      </c>
    </row>
    <row r="166" spans="1:11" x14ac:dyDescent="0.25">
      <c r="A166" t="s">
        <v>1873</v>
      </c>
      <c r="B166" t="s">
        <v>471</v>
      </c>
      <c r="C166" t="s">
        <v>43</v>
      </c>
      <c r="D166" t="s">
        <v>142</v>
      </c>
      <c r="E166" t="s">
        <v>1704</v>
      </c>
      <c r="F166">
        <v>2</v>
      </c>
      <c r="G166" t="s">
        <v>1618</v>
      </c>
      <c r="K166" t="s">
        <v>1630</v>
      </c>
    </row>
    <row r="167" spans="1:11" x14ac:dyDescent="0.25">
      <c r="A167" t="s">
        <v>1874</v>
      </c>
      <c r="B167" t="s">
        <v>473</v>
      </c>
      <c r="C167" t="s">
        <v>123</v>
      </c>
      <c r="D167" t="s">
        <v>160</v>
      </c>
      <c r="E167" t="s">
        <v>1643</v>
      </c>
      <c r="F167">
        <v>3</v>
      </c>
      <c r="G167" t="s">
        <v>1618</v>
      </c>
      <c r="H167">
        <v>49</v>
      </c>
      <c r="K167" t="s">
        <v>1622</v>
      </c>
    </row>
    <row r="168" spans="1:11" x14ac:dyDescent="0.25">
      <c r="A168" t="s">
        <v>1875</v>
      </c>
      <c r="B168" t="s">
        <v>474</v>
      </c>
      <c r="C168" t="s">
        <v>130</v>
      </c>
      <c r="D168" t="s">
        <v>158</v>
      </c>
      <c r="E168" t="s">
        <v>1760</v>
      </c>
      <c r="F168">
        <v>3</v>
      </c>
      <c r="G168" t="s">
        <v>1618</v>
      </c>
      <c r="H168">
        <v>54</v>
      </c>
      <c r="K168" t="s">
        <v>1622</v>
      </c>
    </row>
    <row r="169" spans="1:11" x14ac:dyDescent="0.25">
      <c r="A169" t="s">
        <v>1876</v>
      </c>
      <c r="B169" t="s">
        <v>476</v>
      </c>
      <c r="C169" t="s">
        <v>83</v>
      </c>
      <c r="D169" t="s">
        <v>158</v>
      </c>
      <c r="E169" t="s">
        <v>1713</v>
      </c>
      <c r="F169">
        <v>3</v>
      </c>
      <c r="G169" t="s">
        <v>1618</v>
      </c>
      <c r="H169">
        <v>87</v>
      </c>
      <c r="K169" t="s">
        <v>1622</v>
      </c>
    </row>
    <row r="170" spans="1:11" x14ac:dyDescent="0.25">
      <c r="A170" t="s">
        <v>1877</v>
      </c>
      <c r="B170" t="s">
        <v>477</v>
      </c>
      <c r="C170" t="s">
        <v>136</v>
      </c>
      <c r="D170" t="s">
        <v>142</v>
      </c>
      <c r="E170" t="s">
        <v>1637</v>
      </c>
      <c r="F170">
        <v>4</v>
      </c>
      <c r="G170" t="s">
        <v>1618</v>
      </c>
      <c r="H170">
        <v>78</v>
      </c>
      <c r="I170">
        <v>72</v>
      </c>
      <c r="K170" t="s">
        <v>1659</v>
      </c>
    </row>
    <row r="171" spans="1:11" x14ac:dyDescent="0.25">
      <c r="A171" t="s">
        <v>1878</v>
      </c>
      <c r="B171" t="s">
        <v>478</v>
      </c>
      <c r="C171" t="s">
        <v>103</v>
      </c>
      <c r="D171" t="s">
        <v>153</v>
      </c>
      <c r="E171" t="s">
        <v>1879</v>
      </c>
      <c r="F171">
        <v>3</v>
      </c>
      <c r="G171" t="s">
        <v>1618</v>
      </c>
      <c r="H171">
        <v>58</v>
      </c>
      <c r="K171" t="s">
        <v>1622</v>
      </c>
    </row>
    <row r="172" spans="1:11" x14ac:dyDescent="0.25">
      <c r="A172" t="s">
        <v>1880</v>
      </c>
      <c r="B172" t="s">
        <v>480</v>
      </c>
      <c r="C172" t="s">
        <v>83</v>
      </c>
      <c r="D172" t="s">
        <v>142</v>
      </c>
      <c r="E172" t="s">
        <v>1704</v>
      </c>
      <c r="F172">
        <v>2</v>
      </c>
      <c r="G172" t="s">
        <v>1618</v>
      </c>
      <c r="K172" t="s">
        <v>1630</v>
      </c>
    </row>
    <row r="173" spans="1:11" x14ac:dyDescent="0.25">
      <c r="A173" t="s">
        <v>1881</v>
      </c>
      <c r="B173" t="s">
        <v>482</v>
      </c>
      <c r="C173" t="s">
        <v>105</v>
      </c>
      <c r="D173" t="s">
        <v>142</v>
      </c>
      <c r="E173" t="s">
        <v>1653</v>
      </c>
      <c r="F173">
        <v>2</v>
      </c>
      <c r="G173" t="s">
        <v>1618</v>
      </c>
      <c r="K173" t="s">
        <v>1625</v>
      </c>
    </row>
    <row r="174" spans="1:11" x14ac:dyDescent="0.25">
      <c r="A174" t="s">
        <v>1882</v>
      </c>
      <c r="B174" t="s">
        <v>483</v>
      </c>
      <c r="C174" t="s">
        <v>123</v>
      </c>
      <c r="D174" t="s">
        <v>160</v>
      </c>
      <c r="E174" t="s">
        <v>1862</v>
      </c>
      <c r="F174">
        <v>3</v>
      </c>
      <c r="G174" t="s">
        <v>1618</v>
      </c>
      <c r="H174">
        <v>58</v>
      </c>
      <c r="K174" t="s">
        <v>1622</v>
      </c>
    </row>
    <row r="175" spans="1:11" x14ac:dyDescent="0.25">
      <c r="A175" t="s">
        <v>1883</v>
      </c>
      <c r="B175" t="s">
        <v>484</v>
      </c>
      <c r="C175" t="s">
        <v>87</v>
      </c>
      <c r="D175" t="s">
        <v>160</v>
      </c>
      <c r="E175" t="s">
        <v>1678</v>
      </c>
      <c r="F175">
        <v>2</v>
      </c>
      <c r="G175" t="s">
        <v>1618</v>
      </c>
      <c r="K175" t="s">
        <v>1625</v>
      </c>
    </row>
    <row r="176" spans="1:11" x14ac:dyDescent="0.25">
      <c r="A176" t="s">
        <v>1884</v>
      </c>
      <c r="B176" t="s">
        <v>486</v>
      </c>
      <c r="C176" t="s">
        <v>69</v>
      </c>
      <c r="D176" t="s">
        <v>142</v>
      </c>
      <c r="E176" t="s">
        <v>86</v>
      </c>
      <c r="F176">
        <v>1</v>
      </c>
      <c r="G176" t="s">
        <v>1618</v>
      </c>
      <c r="K176" t="s">
        <v>1619</v>
      </c>
    </row>
    <row r="177" spans="1:11" x14ac:dyDescent="0.25">
      <c r="A177" t="s">
        <v>1885</v>
      </c>
      <c r="B177" t="s">
        <v>487</v>
      </c>
      <c r="C177" t="s">
        <v>125</v>
      </c>
      <c r="D177" t="s">
        <v>153</v>
      </c>
      <c r="E177" t="s">
        <v>1886</v>
      </c>
      <c r="F177">
        <v>3</v>
      </c>
      <c r="G177" t="s">
        <v>1618</v>
      </c>
      <c r="H177">
        <v>50</v>
      </c>
      <c r="K177" t="s">
        <v>1622</v>
      </c>
    </row>
    <row r="178" spans="1:11" x14ac:dyDescent="0.25">
      <c r="A178" t="s">
        <v>1887</v>
      </c>
      <c r="B178" t="s">
        <v>489</v>
      </c>
      <c r="C178" t="s">
        <v>52</v>
      </c>
      <c r="D178" t="s">
        <v>147</v>
      </c>
      <c r="E178" t="s">
        <v>33</v>
      </c>
      <c r="F178">
        <v>3</v>
      </c>
      <c r="G178" t="s">
        <v>1618</v>
      </c>
      <c r="H178">
        <v>85</v>
      </c>
      <c r="K178" t="s">
        <v>1622</v>
      </c>
    </row>
    <row r="179" spans="1:11" x14ac:dyDescent="0.25">
      <c r="A179" t="s">
        <v>1888</v>
      </c>
      <c r="B179" t="s">
        <v>491</v>
      </c>
      <c r="C179" t="s">
        <v>69</v>
      </c>
      <c r="D179" t="s">
        <v>142</v>
      </c>
      <c r="E179" t="s">
        <v>1822</v>
      </c>
      <c r="F179">
        <v>1</v>
      </c>
      <c r="G179" t="s">
        <v>1618</v>
      </c>
      <c r="K179" t="s">
        <v>1630</v>
      </c>
    </row>
    <row r="180" spans="1:11" x14ac:dyDescent="0.25">
      <c r="A180" t="s">
        <v>1889</v>
      </c>
      <c r="B180" t="s">
        <v>492</v>
      </c>
      <c r="C180" t="s">
        <v>56</v>
      </c>
      <c r="D180" t="s">
        <v>153</v>
      </c>
      <c r="E180" t="s">
        <v>1689</v>
      </c>
      <c r="F180">
        <v>1</v>
      </c>
      <c r="G180" t="s">
        <v>1618</v>
      </c>
      <c r="K180" t="s">
        <v>1619</v>
      </c>
    </row>
    <row r="181" spans="1:11" x14ac:dyDescent="0.25">
      <c r="A181" t="s">
        <v>1890</v>
      </c>
      <c r="B181" t="s">
        <v>494</v>
      </c>
      <c r="C181" t="s">
        <v>34</v>
      </c>
      <c r="D181" t="s">
        <v>145</v>
      </c>
      <c r="E181" t="s">
        <v>1891</v>
      </c>
      <c r="F181">
        <v>1</v>
      </c>
      <c r="G181" t="s">
        <v>1618</v>
      </c>
      <c r="K181" t="s">
        <v>1630</v>
      </c>
    </row>
    <row r="182" spans="1:11" x14ac:dyDescent="0.25">
      <c r="A182" t="s">
        <v>1892</v>
      </c>
      <c r="B182" t="s">
        <v>495</v>
      </c>
      <c r="C182" t="s">
        <v>98</v>
      </c>
      <c r="D182" t="s">
        <v>145</v>
      </c>
      <c r="E182" t="s">
        <v>1627</v>
      </c>
      <c r="F182">
        <v>2</v>
      </c>
      <c r="G182" t="s">
        <v>1618</v>
      </c>
      <c r="K182" t="s">
        <v>1630</v>
      </c>
    </row>
    <row r="183" spans="1:11" x14ac:dyDescent="0.25">
      <c r="A183" t="s">
        <v>1893</v>
      </c>
      <c r="B183" t="s">
        <v>496</v>
      </c>
      <c r="C183" t="s">
        <v>130</v>
      </c>
      <c r="D183" t="s">
        <v>142</v>
      </c>
      <c r="E183" t="s">
        <v>1764</v>
      </c>
      <c r="F183">
        <v>1</v>
      </c>
      <c r="G183" t="s">
        <v>1618</v>
      </c>
      <c r="K183" t="s">
        <v>1619</v>
      </c>
    </row>
    <row r="184" spans="1:11" x14ac:dyDescent="0.25">
      <c r="A184" t="s">
        <v>1894</v>
      </c>
      <c r="B184" t="s">
        <v>497</v>
      </c>
      <c r="C184" t="s">
        <v>23</v>
      </c>
      <c r="D184" t="s">
        <v>160</v>
      </c>
      <c r="E184" t="s">
        <v>1795</v>
      </c>
      <c r="F184">
        <v>3</v>
      </c>
      <c r="G184" t="s">
        <v>1618</v>
      </c>
      <c r="H184">
        <v>47</v>
      </c>
      <c r="K184" t="s">
        <v>1622</v>
      </c>
    </row>
    <row r="185" spans="1:11" x14ac:dyDescent="0.25">
      <c r="A185" t="s">
        <v>1895</v>
      </c>
      <c r="B185" t="s">
        <v>499</v>
      </c>
      <c r="C185" t="s">
        <v>128</v>
      </c>
      <c r="D185" t="s">
        <v>142</v>
      </c>
      <c r="E185" t="s">
        <v>1896</v>
      </c>
      <c r="F185">
        <v>4</v>
      </c>
      <c r="G185" t="s">
        <v>1618</v>
      </c>
      <c r="H185">
        <v>75</v>
      </c>
      <c r="I185">
        <v>86</v>
      </c>
      <c r="K185" t="s">
        <v>1659</v>
      </c>
    </row>
    <row r="186" spans="1:11" x14ac:dyDescent="0.25">
      <c r="A186" t="s">
        <v>1897</v>
      </c>
      <c r="B186" t="s">
        <v>500</v>
      </c>
      <c r="C186" t="s">
        <v>85</v>
      </c>
      <c r="D186" t="s">
        <v>145</v>
      </c>
      <c r="E186" t="s">
        <v>1655</v>
      </c>
      <c r="F186">
        <v>1</v>
      </c>
      <c r="G186" t="s">
        <v>1618</v>
      </c>
      <c r="K186" t="s">
        <v>1625</v>
      </c>
    </row>
    <row r="187" spans="1:11" x14ac:dyDescent="0.25">
      <c r="A187" t="s">
        <v>1898</v>
      </c>
      <c r="B187" t="s">
        <v>502</v>
      </c>
      <c r="C187" t="s">
        <v>107</v>
      </c>
      <c r="D187" t="s">
        <v>150</v>
      </c>
      <c r="E187" t="s">
        <v>1760</v>
      </c>
      <c r="F187">
        <v>4</v>
      </c>
      <c r="G187" t="s">
        <v>1618</v>
      </c>
      <c r="H187">
        <v>79</v>
      </c>
      <c r="I187">
        <v>69</v>
      </c>
      <c r="K187" t="s">
        <v>1659</v>
      </c>
    </row>
    <row r="188" spans="1:11" x14ac:dyDescent="0.25">
      <c r="A188" t="s">
        <v>1899</v>
      </c>
      <c r="B188" t="s">
        <v>503</v>
      </c>
      <c r="C188" t="s">
        <v>134</v>
      </c>
      <c r="D188" t="s">
        <v>150</v>
      </c>
      <c r="E188" t="s">
        <v>1809</v>
      </c>
      <c r="F188">
        <v>3</v>
      </c>
      <c r="G188" t="s">
        <v>1618</v>
      </c>
      <c r="H188">
        <v>72</v>
      </c>
      <c r="K188" t="s">
        <v>1622</v>
      </c>
    </row>
    <row r="189" spans="1:11" x14ac:dyDescent="0.25">
      <c r="A189" t="s">
        <v>1900</v>
      </c>
      <c r="B189" t="s">
        <v>505</v>
      </c>
      <c r="C189" t="s">
        <v>23</v>
      </c>
      <c r="D189" t="s">
        <v>145</v>
      </c>
      <c r="E189" t="s">
        <v>55</v>
      </c>
      <c r="F189">
        <v>3</v>
      </c>
      <c r="G189" t="s">
        <v>1618</v>
      </c>
      <c r="H189">
        <v>66</v>
      </c>
      <c r="K189" t="s">
        <v>1622</v>
      </c>
    </row>
    <row r="190" spans="1:11" x14ac:dyDescent="0.25">
      <c r="A190" t="s">
        <v>1901</v>
      </c>
      <c r="B190" t="s">
        <v>506</v>
      </c>
      <c r="C190" t="s">
        <v>97</v>
      </c>
      <c r="D190" t="s">
        <v>142</v>
      </c>
      <c r="E190" t="s">
        <v>1653</v>
      </c>
      <c r="F190">
        <v>1</v>
      </c>
      <c r="G190" t="s">
        <v>1618</v>
      </c>
      <c r="K190" t="s">
        <v>1625</v>
      </c>
    </row>
    <row r="191" spans="1:11" x14ac:dyDescent="0.25">
      <c r="A191" t="s">
        <v>1902</v>
      </c>
      <c r="B191" t="s">
        <v>507</v>
      </c>
      <c r="C191" t="s">
        <v>43</v>
      </c>
      <c r="D191" t="s">
        <v>158</v>
      </c>
      <c r="E191" t="s">
        <v>72</v>
      </c>
      <c r="F191">
        <v>1</v>
      </c>
      <c r="G191" t="s">
        <v>1618</v>
      </c>
      <c r="K191" t="s">
        <v>1619</v>
      </c>
    </row>
    <row r="192" spans="1:11" x14ac:dyDescent="0.25">
      <c r="A192" t="s">
        <v>1903</v>
      </c>
      <c r="B192" t="s">
        <v>509</v>
      </c>
      <c r="C192" t="s">
        <v>85</v>
      </c>
      <c r="D192" t="s">
        <v>160</v>
      </c>
      <c r="E192" t="s">
        <v>1904</v>
      </c>
      <c r="F192">
        <v>7</v>
      </c>
      <c r="G192" t="s">
        <v>1692</v>
      </c>
      <c r="H192">
        <v>74</v>
      </c>
      <c r="I192">
        <v>79</v>
      </c>
      <c r="J192">
        <v>21</v>
      </c>
      <c r="K192" t="s">
        <v>1693</v>
      </c>
    </row>
    <row r="193" spans="1:11" x14ac:dyDescent="0.25">
      <c r="A193" t="s">
        <v>1905</v>
      </c>
      <c r="B193" t="s">
        <v>511</v>
      </c>
      <c r="C193" t="s">
        <v>134</v>
      </c>
      <c r="D193" t="s">
        <v>150</v>
      </c>
      <c r="E193" t="s">
        <v>1807</v>
      </c>
      <c r="F193">
        <v>7</v>
      </c>
      <c r="G193" t="s">
        <v>1692</v>
      </c>
      <c r="H193">
        <v>72</v>
      </c>
      <c r="I193">
        <v>76</v>
      </c>
      <c r="J193">
        <v>27</v>
      </c>
      <c r="K193" t="s">
        <v>1693</v>
      </c>
    </row>
    <row r="194" spans="1:11" x14ac:dyDescent="0.25">
      <c r="A194" t="s">
        <v>1906</v>
      </c>
      <c r="B194" t="s">
        <v>512</v>
      </c>
      <c r="C194" t="s">
        <v>83</v>
      </c>
      <c r="D194" t="s">
        <v>158</v>
      </c>
      <c r="E194" t="s">
        <v>1824</v>
      </c>
      <c r="F194">
        <v>3</v>
      </c>
      <c r="G194" t="s">
        <v>1618</v>
      </c>
      <c r="H194">
        <v>56</v>
      </c>
      <c r="K194" t="s">
        <v>1622</v>
      </c>
    </row>
    <row r="195" spans="1:11" x14ac:dyDescent="0.25">
      <c r="A195" t="s">
        <v>1907</v>
      </c>
      <c r="B195" t="s">
        <v>514</v>
      </c>
      <c r="C195" t="s">
        <v>113</v>
      </c>
      <c r="D195" t="s">
        <v>145</v>
      </c>
      <c r="E195" t="s">
        <v>1908</v>
      </c>
      <c r="F195">
        <v>7</v>
      </c>
      <c r="G195" t="s">
        <v>1692</v>
      </c>
      <c r="H195">
        <v>88</v>
      </c>
      <c r="I195">
        <v>84</v>
      </c>
      <c r="J195">
        <v>22</v>
      </c>
      <c r="K195" t="s">
        <v>1693</v>
      </c>
    </row>
    <row r="196" spans="1:11" x14ac:dyDescent="0.25">
      <c r="A196" t="s">
        <v>1909</v>
      </c>
      <c r="B196" t="s">
        <v>515</v>
      </c>
      <c r="C196" t="s">
        <v>83</v>
      </c>
      <c r="D196" t="s">
        <v>158</v>
      </c>
      <c r="E196" t="s">
        <v>1704</v>
      </c>
      <c r="F196">
        <v>3</v>
      </c>
      <c r="G196" t="s">
        <v>1618</v>
      </c>
      <c r="H196">
        <v>66</v>
      </c>
      <c r="K196" t="s">
        <v>1622</v>
      </c>
    </row>
    <row r="197" spans="1:11" x14ac:dyDescent="0.25">
      <c r="A197" t="s">
        <v>1910</v>
      </c>
      <c r="B197" t="s">
        <v>517</v>
      </c>
      <c r="C197" t="s">
        <v>52</v>
      </c>
      <c r="D197" t="s">
        <v>147</v>
      </c>
      <c r="E197" t="s">
        <v>1824</v>
      </c>
      <c r="F197">
        <v>1</v>
      </c>
      <c r="G197" t="s">
        <v>1618</v>
      </c>
      <c r="K197" t="s">
        <v>1625</v>
      </c>
    </row>
    <row r="198" spans="1:11" x14ac:dyDescent="0.25">
      <c r="A198" t="s">
        <v>1911</v>
      </c>
      <c r="B198" t="s">
        <v>519</v>
      </c>
      <c r="C198" t="s">
        <v>60</v>
      </c>
      <c r="D198" t="s">
        <v>156</v>
      </c>
      <c r="E198" t="s">
        <v>1624</v>
      </c>
      <c r="F198">
        <v>2</v>
      </c>
      <c r="G198" t="s">
        <v>1618</v>
      </c>
      <c r="K198" t="s">
        <v>1625</v>
      </c>
    </row>
    <row r="199" spans="1:11" x14ac:dyDescent="0.25">
      <c r="A199" t="s">
        <v>1912</v>
      </c>
      <c r="B199" t="s">
        <v>521</v>
      </c>
      <c r="C199" t="s">
        <v>20</v>
      </c>
      <c r="D199" t="s">
        <v>158</v>
      </c>
      <c r="E199" t="s">
        <v>135</v>
      </c>
      <c r="F199">
        <v>1</v>
      </c>
      <c r="G199" t="s">
        <v>1618</v>
      </c>
      <c r="K199" t="s">
        <v>1619</v>
      </c>
    </row>
    <row r="200" spans="1:11" x14ac:dyDescent="0.25">
      <c r="A200" t="s">
        <v>1913</v>
      </c>
      <c r="B200" t="s">
        <v>522</v>
      </c>
      <c r="C200" t="s">
        <v>87</v>
      </c>
      <c r="D200" t="s">
        <v>145</v>
      </c>
      <c r="E200" t="s">
        <v>1624</v>
      </c>
      <c r="F200">
        <v>1</v>
      </c>
      <c r="G200" t="s">
        <v>1618</v>
      </c>
      <c r="K200" t="s">
        <v>1625</v>
      </c>
    </row>
    <row r="201" spans="1:11" x14ac:dyDescent="0.25">
      <c r="A201" t="s">
        <v>1914</v>
      </c>
      <c r="B201" t="s">
        <v>523</v>
      </c>
      <c r="C201" t="s">
        <v>107</v>
      </c>
      <c r="D201" t="s">
        <v>150</v>
      </c>
      <c r="E201" t="s">
        <v>1915</v>
      </c>
      <c r="F201">
        <v>4</v>
      </c>
      <c r="G201" t="s">
        <v>1618</v>
      </c>
      <c r="H201">
        <v>92</v>
      </c>
      <c r="I201">
        <v>70</v>
      </c>
      <c r="K201" t="s">
        <v>1659</v>
      </c>
    </row>
    <row r="202" spans="1:11" x14ac:dyDescent="0.25">
      <c r="A202" t="s">
        <v>1916</v>
      </c>
      <c r="B202" t="s">
        <v>524</v>
      </c>
      <c r="C202" t="s">
        <v>73</v>
      </c>
      <c r="D202" t="s">
        <v>153</v>
      </c>
      <c r="E202" t="s">
        <v>1917</v>
      </c>
      <c r="F202">
        <v>2</v>
      </c>
      <c r="G202" t="s">
        <v>1618</v>
      </c>
      <c r="K202" t="s">
        <v>1630</v>
      </c>
    </row>
    <row r="203" spans="1:11" x14ac:dyDescent="0.25">
      <c r="A203" t="s">
        <v>1918</v>
      </c>
      <c r="B203" t="s">
        <v>526</v>
      </c>
      <c r="C203" t="s">
        <v>121</v>
      </c>
      <c r="D203" t="s">
        <v>156</v>
      </c>
      <c r="E203" t="s">
        <v>1711</v>
      </c>
      <c r="F203">
        <v>1</v>
      </c>
      <c r="G203" t="s">
        <v>1618</v>
      </c>
      <c r="K203" t="s">
        <v>1625</v>
      </c>
    </row>
    <row r="204" spans="1:11" x14ac:dyDescent="0.25">
      <c r="A204" t="s">
        <v>1919</v>
      </c>
      <c r="B204" t="s">
        <v>527</v>
      </c>
      <c r="C204" t="s">
        <v>87</v>
      </c>
      <c r="D204" t="s">
        <v>160</v>
      </c>
      <c r="E204" t="s">
        <v>1815</v>
      </c>
      <c r="F204">
        <v>2</v>
      </c>
      <c r="G204" t="s">
        <v>1618</v>
      </c>
      <c r="K204" t="s">
        <v>1625</v>
      </c>
    </row>
    <row r="205" spans="1:11" x14ac:dyDescent="0.25">
      <c r="A205" t="s">
        <v>1920</v>
      </c>
      <c r="B205" t="s">
        <v>529</v>
      </c>
      <c r="C205" t="s">
        <v>85</v>
      </c>
      <c r="D205" t="s">
        <v>145</v>
      </c>
      <c r="E205" t="s">
        <v>89</v>
      </c>
      <c r="F205">
        <v>1</v>
      </c>
      <c r="G205" t="s">
        <v>1618</v>
      </c>
      <c r="K205" t="s">
        <v>1619</v>
      </c>
    </row>
    <row r="206" spans="1:11" x14ac:dyDescent="0.25">
      <c r="A206" t="s">
        <v>1921</v>
      </c>
      <c r="B206" t="s">
        <v>531</v>
      </c>
      <c r="C206" t="s">
        <v>73</v>
      </c>
      <c r="D206" t="s">
        <v>153</v>
      </c>
      <c r="E206" t="s">
        <v>1751</v>
      </c>
      <c r="F206">
        <v>1</v>
      </c>
      <c r="G206" t="s">
        <v>1618</v>
      </c>
      <c r="K206" t="s">
        <v>1630</v>
      </c>
    </row>
    <row r="207" spans="1:11" x14ac:dyDescent="0.25">
      <c r="A207" t="s">
        <v>1922</v>
      </c>
      <c r="B207" t="s">
        <v>533</v>
      </c>
      <c r="C207" t="s">
        <v>127</v>
      </c>
      <c r="D207" t="s">
        <v>145</v>
      </c>
      <c r="E207" t="s">
        <v>1923</v>
      </c>
      <c r="F207">
        <v>4</v>
      </c>
      <c r="G207" t="s">
        <v>1618</v>
      </c>
      <c r="H207">
        <v>68</v>
      </c>
      <c r="I207">
        <v>68</v>
      </c>
      <c r="K207" t="s">
        <v>1659</v>
      </c>
    </row>
    <row r="208" spans="1:11" x14ac:dyDescent="0.25">
      <c r="A208" t="s">
        <v>1924</v>
      </c>
      <c r="B208" t="s">
        <v>534</v>
      </c>
      <c r="C208" t="s">
        <v>107</v>
      </c>
      <c r="D208" t="s">
        <v>150</v>
      </c>
      <c r="E208" t="s">
        <v>13</v>
      </c>
      <c r="F208">
        <v>1</v>
      </c>
      <c r="G208" t="s">
        <v>1618</v>
      </c>
      <c r="K208" t="s">
        <v>1630</v>
      </c>
    </row>
    <row r="209" spans="1:11" x14ac:dyDescent="0.25">
      <c r="A209" t="s">
        <v>1925</v>
      </c>
      <c r="B209" t="s">
        <v>536</v>
      </c>
      <c r="C209" t="s">
        <v>123</v>
      </c>
      <c r="D209" t="s">
        <v>160</v>
      </c>
      <c r="E209" t="s">
        <v>111</v>
      </c>
      <c r="F209">
        <v>1</v>
      </c>
      <c r="G209" t="s">
        <v>1618</v>
      </c>
      <c r="K209" t="s">
        <v>1625</v>
      </c>
    </row>
    <row r="210" spans="1:11" x14ac:dyDescent="0.25">
      <c r="A210" t="s">
        <v>1926</v>
      </c>
      <c r="B210" t="s">
        <v>537</v>
      </c>
      <c r="C210" t="s">
        <v>65</v>
      </c>
      <c r="D210" t="s">
        <v>160</v>
      </c>
      <c r="E210" t="s">
        <v>1741</v>
      </c>
      <c r="F210">
        <v>1</v>
      </c>
      <c r="G210" t="s">
        <v>1618</v>
      </c>
      <c r="K210" t="s">
        <v>1630</v>
      </c>
    </row>
    <row r="211" spans="1:11" x14ac:dyDescent="0.25">
      <c r="A211" t="s">
        <v>1927</v>
      </c>
      <c r="B211" t="s">
        <v>539</v>
      </c>
      <c r="C211" t="s">
        <v>134</v>
      </c>
      <c r="D211" t="s">
        <v>150</v>
      </c>
      <c r="E211" t="s">
        <v>1915</v>
      </c>
      <c r="F211">
        <v>1</v>
      </c>
      <c r="G211" t="s">
        <v>1618</v>
      </c>
      <c r="K211" t="s">
        <v>1630</v>
      </c>
    </row>
    <row r="212" spans="1:11" x14ac:dyDescent="0.25">
      <c r="A212" t="s">
        <v>1928</v>
      </c>
      <c r="B212" t="s">
        <v>541</v>
      </c>
      <c r="C212" t="s">
        <v>37</v>
      </c>
      <c r="D212" t="s">
        <v>147</v>
      </c>
      <c r="E212" t="s">
        <v>133</v>
      </c>
      <c r="F212">
        <v>6</v>
      </c>
      <c r="G212" t="s">
        <v>1746</v>
      </c>
      <c r="H212">
        <v>69</v>
      </c>
      <c r="I212">
        <v>81</v>
      </c>
      <c r="K212" t="s">
        <v>1747</v>
      </c>
    </row>
    <row r="213" spans="1:11" x14ac:dyDescent="0.25">
      <c r="A213" t="s">
        <v>1929</v>
      </c>
      <c r="B213" t="s">
        <v>542</v>
      </c>
      <c r="C213" t="s">
        <v>103</v>
      </c>
      <c r="D213" t="s">
        <v>153</v>
      </c>
      <c r="E213" t="s">
        <v>1772</v>
      </c>
      <c r="F213">
        <v>1</v>
      </c>
      <c r="G213" t="s">
        <v>1618</v>
      </c>
      <c r="K213" t="s">
        <v>1630</v>
      </c>
    </row>
    <row r="214" spans="1:11" x14ac:dyDescent="0.25">
      <c r="A214" t="s">
        <v>1930</v>
      </c>
      <c r="B214" t="s">
        <v>543</v>
      </c>
      <c r="C214" t="s">
        <v>101</v>
      </c>
      <c r="D214" t="s">
        <v>153</v>
      </c>
      <c r="E214" t="s">
        <v>1931</v>
      </c>
      <c r="F214">
        <v>3</v>
      </c>
      <c r="G214" t="s">
        <v>1618</v>
      </c>
      <c r="H214">
        <v>65</v>
      </c>
      <c r="K214" t="s">
        <v>1622</v>
      </c>
    </row>
    <row r="215" spans="1:11" x14ac:dyDescent="0.25">
      <c r="A215" t="s">
        <v>1932</v>
      </c>
      <c r="B215" t="s">
        <v>544</v>
      </c>
      <c r="C215" t="s">
        <v>92</v>
      </c>
      <c r="D215" t="s">
        <v>156</v>
      </c>
      <c r="E215" t="s">
        <v>111</v>
      </c>
      <c r="F215">
        <v>4</v>
      </c>
      <c r="G215" t="s">
        <v>1618</v>
      </c>
      <c r="H215">
        <v>68</v>
      </c>
      <c r="I215">
        <v>70</v>
      </c>
      <c r="K215" t="s">
        <v>1635</v>
      </c>
    </row>
    <row r="216" spans="1:11" x14ac:dyDescent="0.25">
      <c r="A216" t="s">
        <v>1933</v>
      </c>
      <c r="B216" t="s">
        <v>546</v>
      </c>
      <c r="C216" t="s">
        <v>123</v>
      </c>
      <c r="D216" t="s">
        <v>145</v>
      </c>
      <c r="E216" t="s">
        <v>1934</v>
      </c>
      <c r="F216">
        <v>1</v>
      </c>
      <c r="G216" t="s">
        <v>1618</v>
      </c>
      <c r="K216" t="s">
        <v>1630</v>
      </c>
    </row>
    <row r="217" spans="1:11" x14ac:dyDescent="0.25">
      <c r="A217" t="s">
        <v>1935</v>
      </c>
      <c r="B217" t="s">
        <v>547</v>
      </c>
      <c r="C217" t="s">
        <v>23</v>
      </c>
      <c r="D217" t="s">
        <v>160</v>
      </c>
      <c r="E217" t="s">
        <v>1835</v>
      </c>
      <c r="F217">
        <v>4</v>
      </c>
      <c r="G217" t="s">
        <v>1618</v>
      </c>
      <c r="H217">
        <v>83</v>
      </c>
      <c r="I217">
        <v>85</v>
      </c>
      <c r="K217" t="s">
        <v>1659</v>
      </c>
    </row>
    <row r="218" spans="1:11" x14ac:dyDescent="0.25">
      <c r="A218" t="s">
        <v>1936</v>
      </c>
      <c r="B218" t="s">
        <v>548</v>
      </c>
      <c r="C218" t="s">
        <v>31</v>
      </c>
      <c r="D218" t="s">
        <v>145</v>
      </c>
      <c r="E218" t="s">
        <v>1673</v>
      </c>
      <c r="F218">
        <v>2</v>
      </c>
      <c r="G218" t="s">
        <v>1618</v>
      </c>
      <c r="K218" t="s">
        <v>1619</v>
      </c>
    </row>
    <row r="219" spans="1:11" x14ac:dyDescent="0.25">
      <c r="A219" t="s">
        <v>1937</v>
      </c>
      <c r="B219" t="s">
        <v>549</v>
      </c>
      <c r="C219" t="s">
        <v>76</v>
      </c>
      <c r="D219" t="s">
        <v>153</v>
      </c>
      <c r="E219" t="s">
        <v>1683</v>
      </c>
      <c r="F219">
        <v>4</v>
      </c>
      <c r="G219" t="s">
        <v>1618</v>
      </c>
      <c r="H219">
        <v>75</v>
      </c>
      <c r="I219">
        <v>80</v>
      </c>
      <c r="K219" t="s">
        <v>1635</v>
      </c>
    </row>
    <row r="220" spans="1:11" x14ac:dyDescent="0.25">
      <c r="A220" t="s">
        <v>1938</v>
      </c>
      <c r="B220" t="s">
        <v>550</v>
      </c>
      <c r="C220" t="s">
        <v>121</v>
      </c>
      <c r="D220" t="s">
        <v>156</v>
      </c>
      <c r="E220" t="s">
        <v>1655</v>
      </c>
      <c r="F220">
        <v>1</v>
      </c>
      <c r="G220" t="s">
        <v>1618</v>
      </c>
      <c r="K220" t="s">
        <v>1619</v>
      </c>
    </row>
    <row r="221" spans="1:11" x14ac:dyDescent="0.25">
      <c r="A221" t="s">
        <v>1939</v>
      </c>
      <c r="B221" t="s">
        <v>552</v>
      </c>
      <c r="C221" t="s">
        <v>112</v>
      </c>
      <c r="D221" t="s">
        <v>150</v>
      </c>
      <c r="E221" t="s">
        <v>33</v>
      </c>
      <c r="F221">
        <v>2</v>
      </c>
      <c r="G221" t="s">
        <v>1618</v>
      </c>
      <c r="K221" t="s">
        <v>1630</v>
      </c>
    </row>
    <row r="222" spans="1:11" x14ac:dyDescent="0.25">
      <c r="A222" t="s">
        <v>1940</v>
      </c>
      <c r="B222" t="s">
        <v>554</v>
      </c>
      <c r="C222" t="s">
        <v>85</v>
      </c>
      <c r="D222" t="s">
        <v>160</v>
      </c>
      <c r="E222" t="s">
        <v>1857</v>
      </c>
      <c r="F222">
        <v>1</v>
      </c>
      <c r="G222" t="s">
        <v>1618</v>
      </c>
      <c r="K222" t="s">
        <v>1625</v>
      </c>
    </row>
    <row r="223" spans="1:11" x14ac:dyDescent="0.25">
      <c r="A223" t="s">
        <v>1941</v>
      </c>
      <c r="B223" t="s">
        <v>555</v>
      </c>
      <c r="C223" t="s">
        <v>59</v>
      </c>
      <c r="D223" t="s">
        <v>160</v>
      </c>
      <c r="E223" t="s">
        <v>1667</v>
      </c>
      <c r="F223">
        <v>2</v>
      </c>
      <c r="G223" t="s">
        <v>1618</v>
      </c>
      <c r="K223" t="s">
        <v>1619</v>
      </c>
    </row>
    <row r="224" spans="1:11" x14ac:dyDescent="0.25">
      <c r="A224" t="s">
        <v>1942</v>
      </c>
      <c r="B224" t="s">
        <v>556</v>
      </c>
      <c r="C224" t="s">
        <v>118</v>
      </c>
      <c r="D224" t="s">
        <v>150</v>
      </c>
      <c r="E224" t="s">
        <v>1695</v>
      </c>
      <c r="F224">
        <v>3</v>
      </c>
      <c r="G224" t="s">
        <v>1618</v>
      </c>
      <c r="H224">
        <v>86</v>
      </c>
      <c r="K224" t="s">
        <v>1622</v>
      </c>
    </row>
    <row r="225" spans="1:11" x14ac:dyDescent="0.25">
      <c r="A225" t="s">
        <v>1943</v>
      </c>
      <c r="B225" t="s">
        <v>557</v>
      </c>
      <c r="C225" t="s">
        <v>49</v>
      </c>
      <c r="D225" t="s">
        <v>142</v>
      </c>
      <c r="E225" t="s">
        <v>96</v>
      </c>
      <c r="F225">
        <v>4</v>
      </c>
      <c r="G225" t="s">
        <v>1618</v>
      </c>
      <c r="H225">
        <v>75</v>
      </c>
      <c r="I225">
        <v>91</v>
      </c>
      <c r="K225" t="s">
        <v>1635</v>
      </c>
    </row>
    <row r="226" spans="1:11" x14ac:dyDescent="0.25">
      <c r="A226" t="s">
        <v>1944</v>
      </c>
      <c r="B226" t="s">
        <v>558</v>
      </c>
      <c r="C226" t="s">
        <v>83</v>
      </c>
      <c r="D226" t="s">
        <v>142</v>
      </c>
      <c r="E226" t="s">
        <v>1886</v>
      </c>
      <c r="F226">
        <v>2</v>
      </c>
      <c r="G226" t="s">
        <v>1618</v>
      </c>
      <c r="K226" t="s">
        <v>1630</v>
      </c>
    </row>
    <row r="227" spans="1:11" x14ac:dyDescent="0.25">
      <c r="A227" t="s">
        <v>1945</v>
      </c>
      <c r="B227" t="s">
        <v>559</v>
      </c>
      <c r="C227" t="s">
        <v>116</v>
      </c>
      <c r="D227" t="s">
        <v>142</v>
      </c>
      <c r="E227" t="s">
        <v>1946</v>
      </c>
      <c r="F227">
        <v>2</v>
      </c>
      <c r="G227" t="s">
        <v>1618</v>
      </c>
      <c r="K227" t="s">
        <v>1630</v>
      </c>
    </row>
    <row r="228" spans="1:11" x14ac:dyDescent="0.25">
      <c r="A228" t="s">
        <v>1947</v>
      </c>
      <c r="B228" t="s">
        <v>561</v>
      </c>
      <c r="C228" t="s">
        <v>43</v>
      </c>
      <c r="D228" t="s">
        <v>142</v>
      </c>
      <c r="E228" t="s">
        <v>1948</v>
      </c>
      <c r="F228">
        <v>2</v>
      </c>
      <c r="G228" t="s">
        <v>1618</v>
      </c>
      <c r="K228" t="s">
        <v>1630</v>
      </c>
    </row>
    <row r="229" spans="1:11" x14ac:dyDescent="0.25">
      <c r="A229" t="s">
        <v>1949</v>
      </c>
      <c r="B229" t="s">
        <v>562</v>
      </c>
      <c r="C229" t="s">
        <v>97</v>
      </c>
      <c r="D229" t="s">
        <v>142</v>
      </c>
      <c r="E229" t="s">
        <v>68</v>
      </c>
      <c r="F229">
        <v>4</v>
      </c>
      <c r="G229" t="s">
        <v>1618</v>
      </c>
      <c r="H229">
        <v>79</v>
      </c>
      <c r="I229">
        <v>80</v>
      </c>
      <c r="K229" t="s">
        <v>1635</v>
      </c>
    </row>
    <row r="230" spans="1:11" x14ac:dyDescent="0.25">
      <c r="A230" t="s">
        <v>1950</v>
      </c>
      <c r="B230" t="s">
        <v>563</v>
      </c>
      <c r="C230" t="s">
        <v>112</v>
      </c>
      <c r="D230" t="s">
        <v>150</v>
      </c>
      <c r="E230" t="s">
        <v>1951</v>
      </c>
      <c r="F230">
        <v>2</v>
      </c>
      <c r="G230" t="s">
        <v>1618</v>
      </c>
      <c r="K230" t="s">
        <v>1625</v>
      </c>
    </row>
    <row r="231" spans="1:11" x14ac:dyDescent="0.25">
      <c r="A231" t="s">
        <v>1952</v>
      </c>
      <c r="B231" t="s">
        <v>564</v>
      </c>
      <c r="C231" t="s">
        <v>87</v>
      </c>
      <c r="D231" t="s">
        <v>145</v>
      </c>
      <c r="E231" t="s">
        <v>1953</v>
      </c>
      <c r="F231">
        <v>3</v>
      </c>
      <c r="G231" t="s">
        <v>1618</v>
      </c>
      <c r="H231">
        <v>67</v>
      </c>
      <c r="K231" t="s">
        <v>1622</v>
      </c>
    </row>
    <row r="232" spans="1:11" x14ac:dyDescent="0.25">
      <c r="A232" t="s">
        <v>1954</v>
      </c>
      <c r="B232" t="s">
        <v>565</v>
      </c>
      <c r="C232" t="s">
        <v>87</v>
      </c>
      <c r="D232" t="s">
        <v>160</v>
      </c>
      <c r="E232" t="s">
        <v>68</v>
      </c>
      <c r="F232">
        <v>4</v>
      </c>
      <c r="G232" t="s">
        <v>1618</v>
      </c>
      <c r="H232">
        <v>77</v>
      </c>
      <c r="I232">
        <v>65</v>
      </c>
      <c r="K232" t="s">
        <v>1635</v>
      </c>
    </row>
    <row r="233" spans="1:11" x14ac:dyDescent="0.25">
      <c r="A233" t="s">
        <v>1955</v>
      </c>
      <c r="B233" t="s">
        <v>566</v>
      </c>
      <c r="C233" t="s">
        <v>94</v>
      </c>
      <c r="D233" t="s">
        <v>150</v>
      </c>
      <c r="E233" t="s">
        <v>1956</v>
      </c>
      <c r="F233">
        <v>1</v>
      </c>
      <c r="G233" t="s">
        <v>1618</v>
      </c>
      <c r="K233" t="s">
        <v>1619</v>
      </c>
    </row>
    <row r="234" spans="1:11" x14ac:dyDescent="0.25">
      <c r="A234" t="s">
        <v>1957</v>
      </c>
      <c r="B234" t="s">
        <v>568</v>
      </c>
      <c r="C234" t="s">
        <v>112</v>
      </c>
      <c r="D234" t="s">
        <v>150</v>
      </c>
      <c r="E234" t="s">
        <v>13</v>
      </c>
      <c r="F234">
        <v>3</v>
      </c>
      <c r="G234" t="s">
        <v>1618</v>
      </c>
      <c r="H234">
        <v>59</v>
      </c>
      <c r="K234" t="s">
        <v>1622</v>
      </c>
    </row>
    <row r="235" spans="1:11" x14ac:dyDescent="0.25">
      <c r="A235" t="s">
        <v>1958</v>
      </c>
      <c r="B235" t="s">
        <v>570</v>
      </c>
      <c r="C235" t="s">
        <v>123</v>
      </c>
      <c r="D235" t="s">
        <v>160</v>
      </c>
      <c r="E235" t="s">
        <v>1624</v>
      </c>
      <c r="F235">
        <v>2</v>
      </c>
      <c r="G235" t="s">
        <v>1618</v>
      </c>
      <c r="K235" t="s">
        <v>1619</v>
      </c>
    </row>
    <row r="236" spans="1:11" x14ac:dyDescent="0.25">
      <c r="A236" t="s">
        <v>1959</v>
      </c>
      <c r="B236" t="s">
        <v>571</v>
      </c>
      <c r="C236" t="s">
        <v>49</v>
      </c>
      <c r="D236" t="s">
        <v>158</v>
      </c>
      <c r="E236" t="s">
        <v>1960</v>
      </c>
      <c r="F236">
        <v>2</v>
      </c>
      <c r="G236" t="s">
        <v>1618</v>
      </c>
      <c r="K236" t="s">
        <v>1625</v>
      </c>
    </row>
    <row r="237" spans="1:11" x14ac:dyDescent="0.25">
      <c r="A237" t="s">
        <v>1961</v>
      </c>
      <c r="B237" t="s">
        <v>572</v>
      </c>
      <c r="C237" t="s">
        <v>103</v>
      </c>
      <c r="D237" t="s">
        <v>153</v>
      </c>
      <c r="E237" t="s">
        <v>1643</v>
      </c>
      <c r="F237">
        <v>1</v>
      </c>
      <c r="G237" t="s">
        <v>1618</v>
      </c>
      <c r="K237" t="s">
        <v>1619</v>
      </c>
    </row>
    <row r="238" spans="1:11" x14ac:dyDescent="0.25">
      <c r="A238" t="s">
        <v>1962</v>
      </c>
      <c r="B238" t="s">
        <v>574</v>
      </c>
      <c r="C238" t="s">
        <v>8</v>
      </c>
      <c r="D238" t="s">
        <v>160</v>
      </c>
      <c r="E238" t="s">
        <v>1789</v>
      </c>
      <c r="F238">
        <v>4</v>
      </c>
      <c r="G238" t="s">
        <v>1618</v>
      </c>
      <c r="H238">
        <v>76</v>
      </c>
      <c r="I238">
        <v>75</v>
      </c>
      <c r="K238" t="s">
        <v>1635</v>
      </c>
    </row>
    <row r="239" spans="1:11" x14ac:dyDescent="0.25">
      <c r="A239" t="s">
        <v>1963</v>
      </c>
      <c r="B239" t="s">
        <v>576</v>
      </c>
      <c r="C239" t="s">
        <v>65</v>
      </c>
      <c r="D239" t="s">
        <v>145</v>
      </c>
      <c r="E239" t="s">
        <v>1801</v>
      </c>
      <c r="F239">
        <v>2</v>
      </c>
      <c r="G239" t="s">
        <v>1618</v>
      </c>
      <c r="K239" t="s">
        <v>1619</v>
      </c>
    </row>
    <row r="240" spans="1:11" x14ac:dyDescent="0.25">
      <c r="A240" t="s">
        <v>1964</v>
      </c>
      <c r="B240" t="s">
        <v>577</v>
      </c>
      <c r="C240" t="s">
        <v>79</v>
      </c>
      <c r="D240" t="s">
        <v>150</v>
      </c>
      <c r="E240" t="s">
        <v>1653</v>
      </c>
      <c r="F240">
        <v>2</v>
      </c>
      <c r="G240" t="s">
        <v>1618</v>
      </c>
      <c r="K240" t="s">
        <v>1625</v>
      </c>
    </row>
    <row r="241" spans="1:11" x14ac:dyDescent="0.25">
      <c r="A241" t="s">
        <v>1965</v>
      </c>
      <c r="B241" t="s">
        <v>578</v>
      </c>
      <c r="C241" t="s">
        <v>43</v>
      </c>
      <c r="D241" t="s">
        <v>142</v>
      </c>
      <c r="E241" t="s">
        <v>1713</v>
      </c>
      <c r="F241">
        <v>3</v>
      </c>
      <c r="G241" t="s">
        <v>1618</v>
      </c>
      <c r="H241">
        <v>69</v>
      </c>
      <c r="K241" t="s">
        <v>1622</v>
      </c>
    </row>
    <row r="242" spans="1:11" x14ac:dyDescent="0.25">
      <c r="A242" t="s">
        <v>1966</v>
      </c>
      <c r="B242" t="s">
        <v>579</v>
      </c>
      <c r="C242" t="s">
        <v>14</v>
      </c>
      <c r="D242" t="s">
        <v>158</v>
      </c>
      <c r="E242" t="s">
        <v>1637</v>
      </c>
      <c r="F242">
        <v>7</v>
      </c>
      <c r="G242" t="s">
        <v>1692</v>
      </c>
      <c r="H242">
        <v>90</v>
      </c>
      <c r="I242">
        <v>79</v>
      </c>
      <c r="J242">
        <v>17</v>
      </c>
      <c r="K242" t="s">
        <v>1693</v>
      </c>
    </row>
    <row r="243" spans="1:11" x14ac:dyDescent="0.25">
      <c r="A243" t="s">
        <v>1967</v>
      </c>
      <c r="B243" t="s">
        <v>580</v>
      </c>
      <c r="C243" t="s">
        <v>79</v>
      </c>
      <c r="D243" t="s">
        <v>150</v>
      </c>
      <c r="E243" t="s">
        <v>1657</v>
      </c>
      <c r="F243">
        <v>3</v>
      </c>
      <c r="G243" t="s">
        <v>1618</v>
      </c>
      <c r="H243">
        <v>77</v>
      </c>
      <c r="K243" t="s">
        <v>1622</v>
      </c>
    </row>
    <row r="244" spans="1:11" x14ac:dyDescent="0.25">
      <c r="A244" t="s">
        <v>1968</v>
      </c>
      <c r="B244" t="s">
        <v>581</v>
      </c>
      <c r="C244" t="s">
        <v>127</v>
      </c>
      <c r="D244" t="s">
        <v>145</v>
      </c>
      <c r="E244" t="s">
        <v>111</v>
      </c>
      <c r="F244">
        <v>2</v>
      </c>
      <c r="G244" t="s">
        <v>1618</v>
      </c>
      <c r="K244" t="s">
        <v>1619</v>
      </c>
    </row>
    <row r="245" spans="1:11" x14ac:dyDescent="0.25">
      <c r="A245" t="s">
        <v>1969</v>
      </c>
      <c r="B245" t="s">
        <v>582</v>
      </c>
      <c r="C245" t="s">
        <v>118</v>
      </c>
      <c r="D245" t="s">
        <v>150</v>
      </c>
      <c r="E245" t="s">
        <v>30</v>
      </c>
      <c r="F245">
        <v>2</v>
      </c>
      <c r="G245" t="s">
        <v>1618</v>
      </c>
      <c r="K245" t="s">
        <v>1625</v>
      </c>
    </row>
    <row r="246" spans="1:11" x14ac:dyDescent="0.25">
      <c r="A246" t="s">
        <v>1970</v>
      </c>
      <c r="B246" t="s">
        <v>584</v>
      </c>
      <c r="C246" t="s">
        <v>90</v>
      </c>
      <c r="D246" t="s">
        <v>160</v>
      </c>
      <c r="E246" t="s">
        <v>1728</v>
      </c>
      <c r="F246">
        <v>2</v>
      </c>
      <c r="G246" t="s">
        <v>1618</v>
      </c>
      <c r="K246" t="s">
        <v>1630</v>
      </c>
    </row>
    <row r="247" spans="1:11" x14ac:dyDescent="0.25">
      <c r="A247" t="s">
        <v>1971</v>
      </c>
      <c r="B247" t="s">
        <v>586</v>
      </c>
      <c r="C247" t="s">
        <v>20</v>
      </c>
      <c r="D247" t="s">
        <v>142</v>
      </c>
      <c r="E247" t="s">
        <v>1809</v>
      </c>
      <c r="F247">
        <v>3</v>
      </c>
      <c r="G247" t="s">
        <v>1618</v>
      </c>
      <c r="H247">
        <v>62</v>
      </c>
      <c r="K247" t="s">
        <v>1622</v>
      </c>
    </row>
    <row r="248" spans="1:11" x14ac:dyDescent="0.25">
      <c r="A248" t="s">
        <v>1972</v>
      </c>
      <c r="B248" t="s">
        <v>587</v>
      </c>
      <c r="C248" t="s">
        <v>123</v>
      </c>
      <c r="D248" t="s">
        <v>160</v>
      </c>
      <c r="E248" t="s">
        <v>1781</v>
      </c>
      <c r="F248">
        <v>1</v>
      </c>
      <c r="G248" t="s">
        <v>1618</v>
      </c>
      <c r="K248" t="s">
        <v>1625</v>
      </c>
    </row>
    <row r="249" spans="1:11" x14ac:dyDescent="0.25">
      <c r="A249" t="s">
        <v>1973</v>
      </c>
      <c r="B249" t="s">
        <v>588</v>
      </c>
      <c r="C249" t="s">
        <v>83</v>
      </c>
      <c r="D249" t="s">
        <v>158</v>
      </c>
      <c r="E249" t="s">
        <v>1663</v>
      </c>
      <c r="F249">
        <v>1</v>
      </c>
      <c r="G249" t="s">
        <v>1618</v>
      </c>
      <c r="K249" t="s">
        <v>1630</v>
      </c>
    </row>
    <row r="250" spans="1:11" x14ac:dyDescent="0.25">
      <c r="A250" t="s">
        <v>1974</v>
      </c>
      <c r="B250" t="s">
        <v>589</v>
      </c>
      <c r="C250" t="s">
        <v>14</v>
      </c>
      <c r="D250" t="s">
        <v>142</v>
      </c>
      <c r="E250" t="s">
        <v>1904</v>
      </c>
      <c r="F250">
        <v>1</v>
      </c>
      <c r="G250" t="s">
        <v>1618</v>
      </c>
      <c r="K250" t="s">
        <v>1625</v>
      </c>
    </row>
    <row r="251" spans="1:11" x14ac:dyDescent="0.25">
      <c r="A251" t="s">
        <v>1975</v>
      </c>
      <c r="B251" t="s">
        <v>590</v>
      </c>
      <c r="C251" t="s">
        <v>37</v>
      </c>
      <c r="D251" t="s">
        <v>147</v>
      </c>
      <c r="E251" t="s">
        <v>1809</v>
      </c>
      <c r="F251">
        <v>1</v>
      </c>
      <c r="G251" t="s">
        <v>1618</v>
      </c>
      <c r="K251" t="s">
        <v>1625</v>
      </c>
    </row>
    <row r="252" spans="1:11" x14ac:dyDescent="0.25">
      <c r="A252" t="s">
        <v>1976</v>
      </c>
      <c r="B252" t="s">
        <v>591</v>
      </c>
      <c r="C252" t="s">
        <v>136</v>
      </c>
      <c r="D252" t="s">
        <v>142</v>
      </c>
      <c r="E252" t="s">
        <v>1789</v>
      </c>
      <c r="F252">
        <v>5</v>
      </c>
      <c r="G252" t="s">
        <v>1618</v>
      </c>
      <c r="H252">
        <v>82</v>
      </c>
      <c r="I252">
        <v>85</v>
      </c>
      <c r="K252" t="s">
        <v>1659</v>
      </c>
    </row>
    <row r="253" spans="1:11" x14ac:dyDescent="0.25">
      <c r="A253" t="s">
        <v>1977</v>
      </c>
      <c r="B253" t="s">
        <v>592</v>
      </c>
      <c r="C253" t="s">
        <v>134</v>
      </c>
      <c r="D253" t="s">
        <v>150</v>
      </c>
      <c r="E253" t="s">
        <v>1685</v>
      </c>
      <c r="F253">
        <v>3</v>
      </c>
      <c r="G253" t="s">
        <v>1618</v>
      </c>
      <c r="H253">
        <v>56</v>
      </c>
      <c r="K253" t="s">
        <v>1622</v>
      </c>
    </row>
    <row r="254" spans="1:11" x14ac:dyDescent="0.25">
      <c r="A254" t="s">
        <v>1978</v>
      </c>
      <c r="B254" t="s">
        <v>594</v>
      </c>
      <c r="C254" t="s">
        <v>83</v>
      </c>
      <c r="D254" t="s">
        <v>142</v>
      </c>
      <c r="E254" t="s">
        <v>1701</v>
      </c>
      <c r="F254">
        <v>3</v>
      </c>
      <c r="G254" t="s">
        <v>1618</v>
      </c>
      <c r="H254">
        <v>56</v>
      </c>
      <c r="K254" t="s">
        <v>1622</v>
      </c>
    </row>
    <row r="255" spans="1:11" x14ac:dyDescent="0.25">
      <c r="A255" t="s">
        <v>1979</v>
      </c>
      <c r="B255" t="s">
        <v>595</v>
      </c>
      <c r="C255" t="s">
        <v>128</v>
      </c>
      <c r="D255" t="s">
        <v>142</v>
      </c>
      <c r="E255" t="s">
        <v>1824</v>
      </c>
      <c r="F255">
        <v>1</v>
      </c>
      <c r="G255" t="s">
        <v>1618</v>
      </c>
      <c r="K255" t="s">
        <v>1630</v>
      </c>
    </row>
    <row r="256" spans="1:11" x14ac:dyDescent="0.25">
      <c r="A256" t="s">
        <v>1980</v>
      </c>
      <c r="B256" t="s">
        <v>597</v>
      </c>
      <c r="C256" t="s">
        <v>100</v>
      </c>
      <c r="D256" t="s">
        <v>150</v>
      </c>
      <c r="E256" t="s">
        <v>1917</v>
      </c>
      <c r="F256">
        <v>3</v>
      </c>
      <c r="G256" t="s">
        <v>1618</v>
      </c>
      <c r="H256">
        <v>59</v>
      </c>
      <c r="K256" t="s">
        <v>1622</v>
      </c>
    </row>
    <row r="257" spans="1:11" x14ac:dyDescent="0.25">
      <c r="A257" t="s">
        <v>1981</v>
      </c>
      <c r="B257" t="s">
        <v>598</v>
      </c>
      <c r="C257" t="s">
        <v>134</v>
      </c>
      <c r="D257" t="s">
        <v>150</v>
      </c>
      <c r="E257" t="s">
        <v>137</v>
      </c>
      <c r="F257">
        <v>2</v>
      </c>
      <c r="G257" t="s">
        <v>1618</v>
      </c>
      <c r="K257" t="s">
        <v>1619</v>
      </c>
    </row>
    <row r="258" spans="1:11" x14ac:dyDescent="0.25">
      <c r="A258" t="s">
        <v>1982</v>
      </c>
      <c r="B258" t="s">
        <v>600</v>
      </c>
      <c r="C258" t="s">
        <v>110</v>
      </c>
      <c r="D258" t="s">
        <v>160</v>
      </c>
      <c r="E258" t="s">
        <v>1983</v>
      </c>
      <c r="F258">
        <v>2</v>
      </c>
      <c r="G258" t="s">
        <v>1618</v>
      </c>
      <c r="K258" t="s">
        <v>1630</v>
      </c>
    </row>
    <row r="259" spans="1:11" x14ac:dyDescent="0.25">
      <c r="A259" t="s">
        <v>1984</v>
      </c>
      <c r="B259" t="s">
        <v>602</v>
      </c>
      <c r="C259" t="s">
        <v>97</v>
      </c>
      <c r="D259" t="s">
        <v>158</v>
      </c>
      <c r="E259" t="s">
        <v>78</v>
      </c>
      <c r="F259">
        <v>2</v>
      </c>
      <c r="G259" t="s">
        <v>1618</v>
      </c>
      <c r="K259" t="s">
        <v>1619</v>
      </c>
    </row>
    <row r="260" spans="1:11" x14ac:dyDescent="0.25">
      <c r="A260" t="s">
        <v>1985</v>
      </c>
      <c r="B260" t="s">
        <v>604</v>
      </c>
      <c r="C260" t="s">
        <v>83</v>
      </c>
      <c r="D260" t="s">
        <v>142</v>
      </c>
      <c r="E260" t="s">
        <v>1824</v>
      </c>
      <c r="F260">
        <v>2</v>
      </c>
      <c r="G260" t="s">
        <v>1618</v>
      </c>
      <c r="K260" t="s">
        <v>1619</v>
      </c>
    </row>
    <row r="261" spans="1:11" x14ac:dyDescent="0.25">
      <c r="A261" t="s">
        <v>1986</v>
      </c>
      <c r="B261" t="s">
        <v>605</v>
      </c>
      <c r="C261" t="s">
        <v>118</v>
      </c>
      <c r="D261" t="s">
        <v>150</v>
      </c>
      <c r="E261" t="s">
        <v>1724</v>
      </c>
      <c r="F261">
        <v>1</v>
      </c>
      <c r="G261" t="s">
        <v>1618</v>
      </c>
      <c r="K261" t="s">
        <v>1630</v>
      </c>
    </row>
    <row r="262" spans="1:11" x14ac:dyDescent="0.25">
      <c r="A262" t="s">
        <v>1987</v>
      </c>
      <c r="B262" t="s">
        <v>607</v>
      </c>
      <c r="C262" t="s">
        <v>125</v>
      </c>
      <c r="D262" t="s">
        <v>153</v>
      </c>
      <c r="E262" t="s">
        <v>72</v>
      </c>
      <c r="F262">
        <v>4</v>
      </c>
      <c r="G262" t="s">
        <v>1618</v>
      </c>
      <c r="H262">
        <v>69</v>
      </c>
      <c r="I262">
        <v>88</v>
      </c>
      <c r="K262" t="s">
        <v>1635</v>
      </c>
    </row>
    <row r="263" spans="1:11" x14ac:dyDescent="0.25">
      <c r="A263" t="s">
        <v>1988</v>
      </c>
      <c r="B263" t="s">
        <v>608</v>
      </c>
      <c r="C263" t="s">
        <v>27</v>
      </c>
      <c r="D263" t="s">
        <v>147</v>
      </c>
      <c r="E263" t="s">
        <v>1661</v>
      </c>
      <c r="F263">
        <v>3</v>
      </c>
      <c r="G263" t="s">
        <v>1618</v>
      </c>
      <c r="H263">
        <v>72</v>
      </c>
      <c r="K263" t="s">
        <v>1622</v>
      </c>
    </row>
    <row r="264" spans="1:11" x14ac:dyDescent="0.25">
      <c r="A264" t="s">
        <v>1989</v>
      </c>
      <c r="B264" t="s">
        <v>609</v>
      </c>
      <c r="C264" t="s">
        <v>27</v>
      </c>
      <c r="D264" t="s">
        <v>147</v>
      </c>
      <c r="E264" t="s">
        <v>109</v>
      </c>
      <c r="F264">
        <v>2</v>
      </c>
      <c r="G264" t="s">
        <v>1618</v>
      </c>
      <c r="K264" t="s">
        <v>1625</v>
      </c>
    </row>
    <row r="265" spans="1:11" x14ac:dyDescent="0.25">
      <c r="A265" t="s">
        <v>1990</v>
      </c>
      <c r="B265" t="s">
        <v>610</v>
      </c>
      <c r="C265" t="s">
        <v>43</v>
      </c>
      <c r="D265" t="s">
        <v>158</v>
      </c>
      <c r="E265" t="s">
        <v>120</v>
      </c>
      <c r="F265">
        <v>1</v>
      </c>
      <c r="G265" t="s">
        <v>1618</v>
      </c>
      <c r="K265" t="s">
        <v>1619</v>
      </c>
    </row>
    <row r="266" spans="1:11" x14ac:dyDescent="0.25">
      <c r="A266" t="s">
        <v>1991</v>
      </c>
      <c r="B266" t="s">
        <v>612</v>
      </c>
      <c r="C266" t="s">
        <v>31</v>
      </c>
      <c r="D266" t="s">
        <v>145</v>
      </c>
      <c r="E266" t="s">
        <v>1739</v>
      </c>
      <c r="F266">
        <v>3</v>
      </c>
      <c r="G266" t="s">
        <v>1618</v>
      </c>
      <c r="H266">
        <v>66</v>
      </c>
      <c r="K266" t="s">
        <v>1622</v>
      </c>
    </row>
    <row r="267" spans="1:11" x14ac:dyDescent="0.25">
      <c r="A267" t="s">
        <v>1992</v>
      </c>
      <c r="B267" t="s">
        <v>614</v>
      </c>
      <c r="C267" t="s">
        <v>136</v>
      </c>
      <c r="D267" t="s">
        <v>158</v>
      </c>
      <c r="E267" t="s">
        <v>1653</v>
      </c>
      <c r="F267">
        <v>2</v>
      </c>
      <c r="G267" t="s">
        <v>1618</v>
      </c>
      <c r="K267" t="s">
        <v>1630</v>
      </c>
    </row>
    <row r="268" spans="1:11" x14ac:dyDescent="0.25">
      <c r="A268" t="s">
        <v>1993</v>
      </c>
      <c r="B268" t="s">
        <v>615</v>
      </c>
      <c r="C268" t="s">
        <v>105</v>
      </c>
      <c r="D268" t="s">
        <v>158</v>
      </c>
      <c r="E268" t="s">
        <v>96</v>
      </c>
      <c r="F268">
        <v>2</v>
      </c>
      <c r="G268" t="s">
        <v>1618</v>
      </c>
      <c r="K268" t="s">
        <v>1619</v>
      </c>
    </row>
    <row r="269" spans="1:11" x14ac:dyDescent="0.25">
      <c r="A269" t="s">
        <v>1994</v>
      </c>
      <c r="B269" t="s">
        <v>616</v>
      </c>
      <c r="C269" t="s">
        <v>101</v>
      </c>
      <c r="D269" t="s">
        <v>153</v>
      </c>
      <c r="E269" t="s">
        <v>1995</v>
      </c>
      <c r="F269">
        <v>2</v>
      </c>
      <c r="G269" t="s">
        <v>1618</v>
      </c>
      <c r="K269" t="s">
        <v>1630</v>
      </c>
    </row>
    <row r="270" spans="1:11" x14ac:dyDescent="0.25">
      <c r="A270" t="s">
        <v>1996</v>
      </c>
      <c r="B270" t="s">
        <v>617</v>
      </c>
      <c r="C270" t="s">
        <v>34</v>
      </c>
      <c r="D270" t="s">
        <v>160</v>
      </c>
      <c r="E270" t="s">
        <v>106</v>
      </c>
      <c r="F270">
        <v>3</v>
      </c>
      <c r="G270" t="s">
        <v>1618</v>
      </c>
      <c r="H270">
        <v>67</v>
      </c>
      <c r="K270" t="s">
        <v>1622</v>
      </c>
    </row>
    <row r="271" spans="1:11" x14ac:dyDescent="0.25">
      <c r="A271" t="s">
        <v>1997</v>
      </c>
      <c r="B271" t="s">
        <v>619</v>
      </c>
      <c r="C271" t="s">
        <v>66</v>
      </c>
      <c r="D271" t="s">
        <v>145</v>
      </c>
      <c r="E271" t="s">
        <v>1781</v>
      </c>
      <c r="F271">
        <v>2</v>
      </c>
      <c r="G271" t="s">
        <v>1618</v>
      </c>
      <c r="K271" t="s">
        <v>1625</v>
      </c>
    </row>
    <row r="272" spans="1:11" x14ac:dyDescent="0.25">
      <c r="A272" t="s">
        <v>1998</v>
      </c>
      <c r="B272" t="s">
        <v>620</v>
      </c>
      <c r="C272" t="s">
        <v>116</v>
      </c>
      <c r="D272" t="s">
        <v>142</v>
      </c>
      <c r="E272" t="s">
        <v>1699</v>
      </c>
      <c r="F272">
        <v>1</v>
      </c>
      <c r="G272" t="s">
        <v>1618</v>
      </c>
      <c r="K272" t="s">
        <v>1619</v>
      </c>
    </row>
    <row r="273" spans="1:11" x14ac:dyDescent="0.25">
      <c r="A273" t="s">
        <v>1999</v>
      </c>
      <c r="B273" t="s">
        <v>621</v>
      </c>
      <c r="C273" t="s">
        <v>23</v>
      </c>
      <c r="D273" t="s">
        <v>160</v>
      </c>
      <c r="E273" t="s">
        <v>1824</v>
      </c>
      <c r="F273">
        <v>4</v>
      </c>
      <c r="G273" t="s">
        <v>1618</v>
      </c>
      <c r="H273">
        <v>93</v>
      </c>
      <c r="I273">
        <v>74</v>
      </c>
      <c r="K273" t="s">
        <v>1659</v>
      </c>
    </row>
    <row r="274" spans="1:11" x14ac:dyDescent="0.25">
      <c r="A274" t="s">
        <v>2000</v>
      </c>
      <c r="B274" t="s">
        <v>622</v>
      </c>
      <c r="C274" t="s">
        <v>130</v>
      </c>
      <c r="D274" t="s">
        <v>158</v>
      </c>
      <c r="E274" t="s">
        <v>70</v>
      </c>
      <c r="F274">
        <v>4</v>
      </c>
      <c r="G274" t="s">
        <v>1618</v>
      </c>
      <c r="H274">
        <v>80</v>
      </c>
      <c r="I274">
        <v>86</v>
      </c>
      <c r="K274" t="s">
        <v>1659</v>
      </c>
    </row>
    <row r="275" spans="1:11" x14ac:dyDescent="0.25">
      <c r="A275" t="s">
        <v>2001</v>
      </c>
      <c r="B275" t="s">
        <v>624</v>
      </c>
      <c r="C275" t="s">
        <v>100</v>
      </c>
      <c r="D275" t="s">
        <v>150</v>
      </c>
      <c r="E275" t="s">
        <v>1862</v>
      </c>
      <c r="F275">
        <v>1</v>
      </c>
      <c r="G275" t="s">
        <v>1618</v>
      </c>
      <c r="K275" t="s">
        <v>1619</v>
      </c>
    </row>
    <row r="276" spans="1:11" x14ac:dyDescent="0.25">
      <c r="A276" t="s">
        <v>2002</v>
      </c>
      <c r="B276" t="s">
        <v>625</v>
      </c>
      <c r="C276" t="s">
        <v>110</v>
      </c>
      <c r="D276" t="s">
        <v>145</v>
      </c>
      <c r="E276" t="s">
        <v>2003</v>
      </c>
      <c r="F276">
        <v>3</v>
      </c>
      <c r="G276" t="s">
        <v>1618</v>
      </c>
      <c r="H276">
        <v>85</v>
      </c>
      <c r="K276" t="s">
        <v>1622</v>
      </c>
    </row>
    <row r="277" spans="1:11" x14ac:dyDescent="0.25">
      <c r="A277" t="s">
        <v>2004</v>
      </c>
      <c r="B277" t="s">
        <v>626</v>
      </c>
      <c r="C277" t="s">
        <v>107</v>
      </c>
      <c r="D277" t="s">
        <v>150</v>
      </c>
      <c r="E277" t="s">
        <v>1779</v>
      </c>
      <c r="F277">
        <v>2</v>
      </c>
      <c r="G277" t="s">
        <v>1618</v>
      </c>
      <c r="K277" t="s">
        <v>1625</v>
      </c>
    </row>
    <row r="278" spans="1:11" x14ac:dyDescent="0.25">
      <c r="A278" t="s">
        <v>2005</v>
      </c>
      <c r="B278" t="s">
        <v>627</v>
      </c>
      <c r="C278" t="s">
        <v>31</v>
      </c>
      <c r="D278" t="s">
        <v>145</v>
      </c>
      <c r="E278" t="s">
        <v>1701</v>
      </c>
      <c r="F278">
        <v>2</v>
      </c>
      <c r="G278" t="s">
        <v>1618</v>
      </c>
      <c r="K278" t="s">
        <v>1625</v>
      </c>
    </row>
    <row r="279" spans="1:11" x14ac:dyDescent="0.25">
      <c r="A279" t="s">
        <v>2006</v>
      </c>
      <c r="B279" t="s">
        <v>628</v>
      </c>
      <c r="C279" t="s">
        <v>116</v>
      </c>
      <c r="D279" t="s">
        <v>158</v>
      </c>
      <c r="E279" t="s">
        <v>1826</v>
      </c>
      <c r="F279">
        <v>4</v>
      </c>
      <c r="G279" t="s">
        <v>1618</v>
      </c>
      <c r="H279">
        <v>80</v>
      </c>
      <c r="I279">
        <v>68</v>
      </c>
      <c r="K279" t="s">
        <v>1659</v>
      </c>
    </row>
    <row r="280" spans="1:11" x14ac:dyDescent="0.25">
      <c r="A280" t="s">
        <v>2007</v>
      </c>
      <c r="B280" t="s">
        <v>630</v>
      </c>
      <c r="C280" t="s">
        <v>31</v>
      </c>
      <c r="D280" t="s">
        <v>160</v>
      </c>
      <c r="E280" t="s">
        <v>1915</v>
      </c>
      <c r="F280">
        <v>2</v>
      </c>
      <c r="G280" t="s">
        <v>1618</v>
      </c>
      <c r="K280" t="s">
        <v>1625</v>
      </c>
    </row>
    <row r="281" spans="1:11" x14ac:dyDescent="0.25">
      <c r="A281" t="s">
        <v>2008</v>
      </c>
      <c r="B281" t="s">
        <v>632</v>
      </c>
      <c r="C281" t="s">
        <v>136</v>
      </c>
      <c r="D281" t="s">
        <v>158</v>
      </c>
      <c r="E281" t="s">
        <v>78</v>
      </c>
      <c r="F281">
        <v>1</v>
      </c>
      <c r="G281" t="s">
        <v>1618</v>
      </c>
      <c r="K281" t="s">
        <v>1625</v>
      </c>
    </row>
    <row r="282" spans="1:11" x14ac:dyDescent="0.25">
      <c r="A282" t="s">
        <v>2009</v>
      </c>
      <c r="B282" t="s">
        <v>633</v>
      </c>
      <c r="C282" t="s">
        <v>98</v>
      </c>
      <c r="D282" t="s">
        <v>145</v>
      </c>
      <c r="E282" t="s">
        <v>133</v>
      </c>
      <c r="F282">
        <v>4</v>
      </c>
      <c r="G282" t="s">
        <v>1618</v>
      </c>
      <c r="H282">
        <v>69</v>
      </c>
      <c r="I282">
        <v>70</v>
      </c>
      <c r="K282" t="s">
        <v>1635</v>
      </c>
    </row>
    <row r="283" spans="1:11" x14ac:dyDescent="0.25">
      <c r="A283" t="s">
        <v>2010</v>
      </c>
      <c r="B283" t="s">
        <v>635</v>
      </c>
      <c r="C283" t="s">
        <v>46</v>
      </c>
      <c r="D283" t="s">
        <v>147</v>
      </c>
      <c r="E283" t="s">
        <v>1781</v>
      </c>
      <c r="F283">
        <v>3</v>
      </c>
      <c r="G283" t="s">
        <v>1618</v>
      </c>
      <c r="H283">
        <v>42</v>
      </c>
      <c r="K283" t="s">
        <v>1622</v>
      </c>
    </row>
    <row r="284" spans="1:11" x14ac:dyDescent="0.25">
      <c r="A284" t="s">
        <v>2011</v>
      </c>
      <c r="B284" t="s">
        <v>636</v>
      </c>
      <c r="C284" t="s">
        <v>125</v>
      </c>
      <c r="D284" t="s">
        <v>153</v>
      </c>
      <c r="E284" t="s">
        <v>1995</v>
      </c>
      <c r="F284">
        <v>3</v>
      </c>
      <c r="G284" t="s">
        <v>1618</v>
      </c>
      <c r="H284">
        <v>98</v>
      </c>
      <c r="K284" t="s">
        <v>1622</v>
      </c>
    </row>
    <row r="285" spans="1:11" x14ac:dyDescent="0.25">
      <c r="A285" t="s">
        <v>2012</v>
      </c>
      <c r="B285" t="s">
        <v>638</v>
      </c>
      <c r="C285" t="s">
        <v>20</v>
      </c>
      <c r="D285" t="s">
        <v>158</v>
      </c>
      <c r="E285" t="s">
        <v>1824</v>
      </c>
      <c r="F285">
        <v>3</v>
      </c>
      <c r="G285" t="s">
        <v>1618</v>
      </c>
      <c r="H285">
        <v>59</v>
      </c>
      <c r="K285" t="s">
        <v>1622</v>
      </c>
    </row>
    <row r="286" spans="1:11" x14ac:dyDescent="0.25">
      <c r="A286" t="s">
        <v>2013</v>
      </c>
      <c r="B286" t="s">
        <v>639</v>
      </c>
      <c r="C286" t="s">
        <v>46</v>
      </c>
      <c r="D286" t="s">
        <v>147</v>
      </c>
      <c r="E286" t="s">
        <v>1645</v>
      </c>
      <c r="F286">
        <v>7</v>
      </c>
      <c r="G286" t="s">
        <v>1692</v>
      </c>
      <c r="H286">
        <v>81</v>
      </c>
      <c r="I286">
        <v>91</v>
      </c>
      <c r="J286">
        <v>21</v>
      </c>
      <c r="K286" t="s">
        <v>1693</v>
      </c>
    </row>
    <row r="287" spans="1:11" x14ac:dyDescent="0.25">
      <c r="A287" t="s">
        <v>2014</v>
      </c>
      <c r="B287" t="s">
        <v>640</v>
      </c>
      <c r="C287" t="s">
        <v>127</v>
      </c>
      <c r="D287" t="s">
        <v>160</v>
      </c>
      <c r="E287" t="s">
        <v>1643</v>
      </c>
      <c r="F287">
        <v>4</v>
      </c>
      <c r="G287" t="s">
        <v>1618</v>
      </c>
      <c r="H287">
        <v>80</v>
      </c>
      <c r="I287">
        <v>62</v>
      </c>
      <c r="K287" t="s">
        <v>1659</v>
      </c>
    </row>
    <row r="288" spans="1:11" x14ac:dyDescent="0.25">
      <c r="A288" t="s">
        <v>2015</v>
      </c>
      <c r="B288" t="s">
        <v>641</v>
      </c>
      <c r="C288" t="s">
        <v>87</v>
      </c>
      <c r="D288" t="s">
        <v>160</v>
      </c>
      <c r="E288" t="s">
        <v>96</v>
      </c>
      <c r="F288">
        <v>3</v>
      </c>
      <c r="G288" t="s">
        <v>1618</v>
      </c>
      <c r="H288">
        <v>55</v>
      </c>
      <c r="K288" t="s">
        <v>1622</v>
      </c>
    </row>
    <row r="289" spans="1:11" x14ac:dyDescent="0.25">
      <c r="A289" t="s">
        <v>2016</v>
      </c>
      <c r="B289" t="s">
        <v>642</v>
      </c>
      <c r="C289" t="s">
        <v>107</v>
      </c>
      <c r="D289" t="s">
        <v>150</v>
      </c>
      <c r="E289" t="s">
        <v>2017</v>
      </c>
      <c r="F289">
        <v>2</v>
      </c>
      <c r="G289" t="s">
        <v>1618</v>
      </c>
      <c r="K289" t="s">
        <v>1625</v>
      </c>
    </row>
    <row r="290" spans="1:11" x14ac:dyDescent="0.25">
      <c r="A290" t="s">
        <v>2018</v>
      </c>
      <c r="B290" t="s">
        <v>644</v>
      </c>
      <c r="C290" t="s">
        <v>56</v>
      </c>
      <c r="D290" t="s">
        <v>153</v>
      </c>
      <c r="E290" t="s">
        <v>1908</v>
      </c>
      <c r="F290">
        <v>1</v>
      </c>
      <c r="G290" t="s">
        <v>1618</v>
      </c>
      <c r="K290" t="s">
        <v>1619</v>
      </c>
    </row>
    <row r="291" spans="1:11" x14ac:dyDescent="0.25">
      <c r="A291" t="s">
        <v>2019</v>
      </c>
      <c r="B291" t="s">
        <v>645</v>
      </c>
      <c r="C291" t="s">
        <v>118</v>
      </c>
      <c r="D291" t="s">
        <v>150</v>
      </c>
      <c r="E291" t="s">
        <v>13</v>
      </c>
      <c r="F291">
        <v>3</v>
      </c>
      <c r="G291" t="s">
        <v>1618</v>
      </c>
      <c r="H291">
        <v>60</v>
      </c>
      <c r="K291" t="s">
        <v>1622</v>
      </c>
    </row>
    <row r="292" spans="1:11" x14ac:dyDescent="0.25">
      <c r="A292" t="s">
        <v>2020</v>
      </c>
      <c r="B292" t="s">
        <v>647</v>
      </c>
      <c r="C292" t="s">
        <v>34</v>
      </c>
      <c r="D292" t="s">
        <v>145</v>
      </c>
      <c r="E292" t="s">
        <v>2021</v>
      </c>
      <c r="F292">
        <v>3</v>
      </c>
      <c r="G292" t="s">
        <v>1618</v>
      </c>
      <c r="H292">
        <v>66</v>
      </c>
      <c r="K292" t="s">
        <v>1622</v>
      </c>
    </row>
    <row r="293" spans="1:11" x14ac:dyDescent="0.25">
      <c r="A293" t="s">
        <v>2022</v>
      </c>
      <c r="B293" t="s">
        <v>648</v>
      </c>
      <c r="C293" t="s">
        <v>105</v>
      </c>
      <c r="D293" t="s">
        <v>142</v>
      </c>
      <c r="E293" t="s">
        <v>1728</v>
      </c>
      <c r="F293">
        <v>3</v>
      </c>
      <c r="G293" t="s">
        <v>1618</v>
      </c>
      <c r="H293">
        <v>54</v>
      </c>
      <c r="K293" t="s">
        <v>1622</v>
      </c>
    </row>
    <row r="294" spans="1:11" x14ac:dyDescent="0.25">
      <c r="A294" t="s">
        <v>2023</v>
      </c>
      <c r="B294" t="s">
        <v>649</v>
      </c>
      <c r="C294" t="s">
        <v>121</v>
      </c>
      <c r="D294" t="s">
        <v>156</v>
      </c>
      <c r="E294" t="s">
        <v>1653</v>
      </c>
      <c r="F294">
        <v>1</v>
      </c>
      <c r="G294" t="s">
        <v>1618</v>
      </c>
      <c r="K294" t="s">
        <v>1619</v>
      </c>
    </row>
    <row r="295" spans="1:11" x14ac:dyDescent="0.25">
      <c r="A295" t="s">
        <v>2024</v>
      </c>
      <c r="B295" t="s">
        <v>651</v>
      </c>
      <c r="C295" t="s">
        <v>49</v>
      </c>
      <c r="D295" t="s">
        <v>142</v>
      </c>
      <c r="E295" t="s">
        <v>1639</v>
      </c>
      <c r="F295">
        <v>1</v>
      </c>
      <c r="G295" t="s">
        <v>1618</v>
      </c>
      <c r="K295" t="s">
        <v>1625</v>
      </c>
    </row>
    <row r="296" spans="1:11" x14ac:dyDescent="0.25">
      <c r="A296" t="s">
        <v>2025</v>
      </c>
      <c r="B296" t="s">
        <v>652</v>
      </c>
      <c r="C296" t="s">
        <v>49</v>
      </c>
      <c r="D296" t="s">
        <v>142</v>
      </c>
      <c r="E296" t="s">
        <v>1844</v>
      </c>
      <c r="F296">
        <v>2</v>
      </c>
      <c r="G296" t="s">
        <v>1618</v>
      </c>
      <c r="K296" t="s">
        <v>1630</v>
      </c>
    </row>
    <row r="297" spans="1:11" x14ac:dyDescent="0.25">
      <c r="A297" t="s">
        <v>2026</v>
      </c>
      <c r="B297" t="s">
        <v>654</v>
      </c>
      <c r="C297" t="s">
        <v>39</v>
      </c>
      <c r="D297" t="s">
        <v>160</v>
      </c>
      <c r="E297" t="s">
        <v>1896</v>
      </c>
      <c r="F297">
        <v>5</v>
      </c>
      <c r="G297" t="s">
        <v>1618</v>
      </c>
      <c r="H297">
        <v>71</v>
      </c>
      <c r="I297">
        <v>79</v>
      </c>
      <c r="K297" t="s">
        <v>1635</v>
      </c>
    </row>
    <row r="298" spans="1:11" x14ac:dyDescent="0.25">
      <c r="A298" t="s">
        <v>2027</v>
      </c>
      <c r="B298" t="s">
        <v>655</v>
      </c>
      <c r="C298" t="s">
        <v>134</v>
      </c>
      <c r="D298" t="s">
        <v>150</v>
      </c>
      <c r="E298" t="s">
        <v>1724</v>
      </c>
      <c r="F298">
        <v>4</v>
      </c>
      <c r="G298" t="s">
        <v>1618</v>
      </c>
      <c r="H298">
        <v>77</v>
      </c>
      <c r="I298">
        <v>74</v>
      </c>
      <c r="K298" t="s">
        <v>1635</v>
      </c>
    </row>
    <row r="299" spans="1:11" x14ac:dyDescent="0.25">
      <c r="A299" t="s">
        <v>2028</v>
      </c>
      <c r="B299" t="s">
        <v>657</v>
      </c>
      <c r="C299" t="s">
        <v>110</v>
      </c>
      <c r="D299" t="s">
        <v>145</v>
      </c>
      <c r="E299" t="s">
        <v>2029</v>
      </c>
      <c r="F299">
        <v>2</v>
      </c>
      <c r="G299" t="s">
        <v>1618</v>
      </c>
      <c r="K299" t="s">
        <v>1625</v>
      </c>
    </row>
    <row r="300" spans="1:11" x14ac:dyDescent="0.25">
      <c r="A300" t="s">
        <v>2030</v>
      </c>
      <c r="B300" t="s">
        <v>658</v>
      </c>
      <c r="C300" t="s">
        <v>69</v>
      </c>
      <c r="D300" t="s">
        <v>158</v>
      </c>
      <c r="E300" t="s">
        <v>1807</v>
      </c>
      <c r="F300">
        <v>4</v>
      </c>
      <c r="G300" t="s">
        <v>1618</v>
      </c>
      <c r="H300">
        <v>71</v>
      </c>
      <c r="I300">
        <v>74</v>
      </c>
      <c r="K300" t="s">
        <v>1635</v>
      </c>
    </row>
    <row r="301" spans="1:11" x14ac:dyDescent="0.25">
      <c r="A301" t="s">
        <v>2031</v>
      </c>
      <c r="B301" t="s">
        <v>659</v>
      </c>
      <c r="C301" t="s">
        <v>123</v>
      </c>
      <c r="D301" t="s">
        <v>160</v>
      </c>
      <c r="E301" t="s">
        <v>2032</v>
      </c>
      <c r="F301">
        <v>1</v>
      </c>
      <c r="G301" t="s">
        <v>1618</v>
      </c>
      <c r="K301" t="s">
        <v>1619</v>
      </c>
    </row>
    <row r="302" spans="1:11" x14ac:dyDescent="0.25">
      <c r="A302" t="s">
        <v>2033</v>
      </c>
      <c r="B302" t="s">
        <v>660</v>
      </c>
      <c r="C302" t="s">
        <v>27</v>
      </c>
      <c r="D302" t="s">
        <v>147</v>
      </c>
      <c r="E302" t="s">
        <v>1695</v>
      </c>
      <c r="F302">
        <v>3</v>
      </c>
      <c r="G302" t="s">
        <v>1618</v>
      </c>
      <c r="H302">
        <v>73</v>
      </c>
      <c r="K302" t="s">
        <v>1622</v>
      </c>
    </row>
    <row r="303" spans="1:11" x14ac:dyDescent="0.25">
      <c r="A303" t="s">
        <v>2034</v>
      </c>
      <c r="B303" t="s">
        <v>661</v>
      </c>
      <c r="C303" t="s">
        <v>113</v>
      </c>
      <c r="D303" t="s">
        <v>145</v>
      </c>
      <c r="E303" t="s">
        <v>1787</v>
      </c>
      <c r="F303">
        <v>2</v>
      </c>
      <c r="G303" t="s">
        <v>1618</v>
      </c>
      <c r="K303" t="s">
        <v>1619</v>
      </c>
    </row>
    <row r="304" spans="1:11" x14ac:dyDescent="0.25">
      <c r="A304" t="s">
        <v>2035</v>
      </c>
      <c r="B304" t="s">
        <v>662</v>
      </c>
      <c r="C304" t="s">
        <v>73</v>
      </c>
      <c r="D304" t="s">
        <v>153</v>
      </c>
      <c r="E304" t="s">
        <v>1728</v>
      </c>
      <c r="F304">
        <v>4</v>
      </c>
      <c r="G304" t="s">
        <v>1618</v>
      </c>
      <c r="H304">
        <v>93</v>
      </c>
      <c r="I304">
        <v>95</v>
      </c>
      <c r="K304" t="s">
        <v>1635</v>
      </c>
    </row>
    <row r="305" spans="1:11" x14ac:dyDescent="0.25">
      <c r="A305" t="s">
        <v>2036</v>
      </c>
      <c r="B305" t="s">
        <v>663</v>
      </c>
      <c r="C305" t="s">
        <v>20</v>
      </c>
      <c r="D305" t="s">
        <v>158</v>
      </c>
      <c r="E305" t="s">
        <v>109</v>
      </c>
      <c r="F305">
        <v>1</v>
      </c>
      <c r="G305" t="s">
        <v>1618</v>
      </c>
      <c r="K305" t="s">
        <v>1619</v>
      </c>
    </row>
    <row r="306" spans="1:11" x14ac:dyDescent="0.25">
      <c r="A306" t="s">
        <v>2037</v>
      </c>
      <c r="B306" t="s">
        <v>665</v>
      </c>
      <c r="C306" t="s">
        <v>107</v>
      </c>
      <c r="D306" t="s">
        <v>150</v>
      </c>
      <c r="E306" t="s">
        <v>2038</v>
      </c>
      <c r="F306">
        <v>1</v>
      </c>
      <c r="G306" t="s">
        <v>1618</v>
      </c>
      <c r="K306" t="s">
        <v>1630</v>
      </c>
    </row>
    <row r="307" spans="1:11" x14ac:dyDescent="0.25">
      <c r="A307" t="s">
        <v>2039</v>
      </c>
      <c r="B307" t="s">
        <v>666</v>
      </c>
      <c r="C307" t="s">
        <v>118</v>
      </c>
      <c r="D307" t="s">
        <v>150</v>
      </c>
      <c r="E307" t="s">
        <v>1695</v>
      </c>
      <c r="F307">
        <v>2</v>
      </c>
      <c r="G307" t="s">
        <v>1618</v>
      </c>
      <c r="K307" t="s">
        <v>1630</v>
      </c>
    </row>
    <row r="308" spans="1:11" x14ac:dyDescent="0.25">
      <c r="A308" t="s">
        <v>2040</v>
      </c>
      <c r="B308" t="s">
        <v>667</v>
      </c>
      <c r="C308" t="s">
        <v>100</v>
      </c>
      <c r="D308" t="s">
        <v>150</v>
      </c>
      <c r="E308" t="s">
        <v>1751</v>
      </c>
      <c r="F308">
        <v>1</v>
      </c>
      <c r="G308" t="s">
        <v>1618</v>
      </c>
      <c r="K308" t="s">
        <v>1619</v>
      </c>
    </row>
    <row r="309" spans="1:11" x14ac:dyDescent="0.25">
      <c r="A309" t="s">
        <v>2041</v>
      </c>
      <c r="B309" t="s">
        <v>668</v>
      </c>
      <c r="C309" t="s">
        <v>101</v>
      </c>
      <c r="D309" t="s">
        <v>153</v>
      </c>
      <c r="E309" t="s">
        <v>2042</v>
      </c>
      <c r="F309">
        <v>1</v>
      </c>
      <c r="G309" t="s">
        <v>1618</v>
      </c>
      <c r="K309" t="s">
        <v>1625</v>
      </c>
    </row>
    <row r="310" spans="1:11" x14ac:dyDescent="0.25">
      <c r="A310" t="s">
        <v>2043</v>
      </c>
      <c r="B310" t="s">
        <v>669</v>
      </c>
      <c r="C310" t="s">
        <v>46</v>
      </c>
      <c r="D310" t="s">
        <v>147</v>
      </c>
      <c r="E310" t="s">
        <v>1621</v>
      </c>
      <c r="F310">
        <v>1</v>
      </c>
      <c r="G310" t="s">
        <v>1618</v>
      </c>
      <c r="K310" t="s">
        <v>1625</v>
      </c>
    </row>
    <row r="311" spans="1:11" x14ac:dyDescent="0.25">
      <c r="A311" t="s">
        <v>2044</v>
      </c>
      <c r="B311" t="s">
        <v>670</v>
      </c>
      <c r="C311" t="s">
        <v>136</v>
      </c>
      <c r="D311" t="s">
        <v>142</v>
      </c>
      <c r="E311" t="s">
        <v>1879</v>
      </c>
      <c r="F311">
        <v>3</v>
      </c>
      <c r="G311" t="s">
        <v>1618</v>
      </c>
      <c r="H311">
        <v>79</v>
      </c>
      <c r="K311" t="s">
        <v>1622</v>
      </c>
    </row>
    <row r="312" spans="1:11" x14ac:dyDescent="0.25">
      <c r="A312" t="s">
        <v>2045</v>
      </c>
      <c r="B312" t="s">
        <v>671</v>
      </c>
      <c r="C312" t="s">
        <v>134</v>
      </c>
      <c r="D312" t="s">
        <v>150</v>
      </c>
      <c r="E312" t="s">
        <v>2046</v>
      </c>
      <c r="F312">
        <v>2</v>
      </c>
      <c r="G312" t="s">
        <v>1618</v>
      </c>
      <c r="K312" t="s">
        <v>1625</v>
      </c>
    </row>
    <row r="313" spans="1:11" x14ac:dyDescent="0.25">
      <c r="A313" t="s">
        <v>2047</v>
      </c>
      <c r="B313" t="s">
        <v>672</v>
      </c>
      <c r="C313" t="s">
        <v>92</v>
      </c>
      <c r="D313" t="s">
        <v>156</v>
      </c>
      <c r="E313" t="s">
        <v>51</v>
      </c>
      <c r="F313">
        <v>2</v>
      </c>
      <c r="G313" t="s">
        <v>1618</v>
      </c>
      <c r="K313" t="s">
        <v>1625</v>
      </c>
    </row>
    <row r="314" spans="1:11" x14ac:dyDescent="0.25">
      <c r="A314" t="s">
        <v>2048</v>
      </c>
      <c r="B314" t="s">
        <v>673</v>
      </c>
      <c r="C314" t="s">
        <v>127</v>
      </c>
      <c r="D314" t="s">
        <v>160</v>
      </c>
      <c r="E314" t="s">
        <v>1621</v>
      </c>
      <c r="F314">
        <v>3</v>
      </c>
      <c r="G314" t="s">
        <v>1618</v>
      </c>
      <c r="H314">
        <v>91</v>
      </c>
      <c r="K314" t="s">
        <v>1622</v>
      </c>
    </row>
    <row r="315" spans="1:11" x14ac:dyDescent="0.25">
      <c r="A315" t="s">
        <v>2049</v>
      </c>
      <c r="B315" t="s">
        <v>675</v>
      </c>
      <c r="C315" t="s">
        <v>101</v>
      </c>
      <c r="D315" t="s">
        <v>153</v>
      </c>
      <c r="E315" t="s">
        <v>1795</v>
      </c>
      <c r="F315">
        <v>3</v>
      </c>
      <c r="G315" t="s">
        <v>1618</v>
      </c>
      <c r="H315">
        <v>69</v>
      </c>
      <c r="K315" t="s">
        <v>1622</v>
      </c>
    </row>
    <row r="316" spans="1:11" x14ac:dyDescent="0.25">
      <c r="A316" t="s">
        <v>2050</v>
      </c>
      <c r="B316" t="s">
        <v>676</v>
      </c>
      <c r="C316" t="s">
        <v>39</v>
      </c>
      <c r="D316" t="s">
        <v>145</v>
      </c>
      <c r="E316" t="s">
        <v>1670</v>
      </c>
      <c r="F316">
        <v>1</v>
      </c>
      <c r="G316" t="s">
        <v>1618</v>
      </c>
      <c r="K316" t="s">
        <v>1630</v>
      </c>
    </row>
    <row r="317" spans="1:11" x14ac:dyDescent="0.25">
      <c r="A317" t="s">
        <v>2051</v>
      </c>
      <c r="B317" t="s">
        <v>677</v>
      </c>
      <c r="C317" t="s">
        <v>125</v>
      </c>
      <c r="D317" t="s">
        <v>153</v>
      </c>
      <c r="E317" t="s">
        <v>133</v>
      </c>
      <c r="F317">
        <v>3</v>
      </c>
      <c r="G317" t="s">
        <v>1618</v>
      </c>
      <c r="H317">
        <v>64</v>
      </c>
      <c r="K317" t="s">
        <v>1622</v>
      </c>
    </row>
    <row r="318" spans="1:11" x14ac:dyDescent="0.25">
      <c r="A318" t="s">
        <v>2052</v>
      </c>
      <c r="B318" t="s">
        <v>678</v>
      </c>
      <c r="C318" t="s">
        <v>123</v>
      </c>
      <c r="D318" t="s">
        <v>145</v>
      </c>
      <c r="E318" t="s">
        <v>1678</v>
      </c>
      <c r="F318">
        <v>4</v>
      </c>
      <c r="G318" t="s">
        <v>1618</v>
      </c>
      <c r="H318">
        <v>74</v>
      </c>
      <c r="I318">
        <v>83</v>
      </c>
      <c r="K318" t="s">
        <v>1659</v>
      </c>
    </row>
    <row r="319" spans="1:11" x14ac:dyDescent="0.25">
      <c r="A319" t="s">
        <v>2053</v>
      </c>
      <c r="B319" t="s">
        <v>680</v>
      </c>
      <c r="C319" t="s">
        <v>39</v>
      </c>
      <c r="D319" t="s">
        <v>145</v>
      </c>
      <c r="E319" t="s">
        <v>1699</v>
      </c>
      <c r="F319">
        <v>7</v>
      </c>
      <c r="G319" t="s">
        <v>1692</v>
      </c>
      <c r="H319">
        <v>71</v>
      </c>
      <c r="I319">
        <v>77</v>
      </c>
      <c r="J319">
        <v>18</v>
      </c>
      <c r="K319" t="s">
        <v>1693</v>
      </c>
    </row>
    <row r="320" spans="1:11" x14ac:dyDescent="0.25">
      <c r="A320" t="s">
        <v>2054</v>
      </c>
      <c r="B320" t="s">
        <v>682</v>
      </c>
      <c r="C320" t="s">
        <v>56</v>
      </c>
      <c r="D320" t="s">
        <v>153</v>
      </c>
      <c r="E320" t="s">
        <v>135</v>
      </c>
      <c r="F320">
        <v>1</v>
      </c>
      <c r="G320" t="s">
        <v>1618</v>
      </c>
      <c r="K320" t="s">
        <v>1625</v>
      </c>
    </row>
    <row r="321" spans="1:11" x14ac:dyDescent="0.25">
      <c r="A321" t="s">
        <v>2055</v>
      </c>
      <c r="B321" t="s">
        <v>684</v>
      </c>
      <c r="C321" t="s">
        <v>27</v>
      </c>
      <c r="D321" t="s">
        <v>147</v>
      </c>
      <c r="E321" t="s">
        <v>1915</v>
      </c>
      <c r="F321">
        <v>3</v>
      </c>
      <c r="G321" t="s">
        <v>1618</v>
      </c>
      <c r="H321">
        <v>61</v>
      </c>
      <c r="K321" t="s">
        <v>1622</v>
      </c>
    </row>
    <row r="322" spans="1:11" x14ac:dyDescent="0.25">
      <c r="A322" t="s">
        <v>2056</v>
      </c>
      <c r="B322" t="s">
        <v>685</v>
      </c>
      <c r="C322" t="s">
        <v>27</v>
      </c>
      <c r="D322" t="s">
        <v>147</v>
      </c>
      <c r="E322" t="s">
        <v>1704</v>
      </c>
      <c r="F322">
        <v>3</v>
      </c>
      <c r="G322" t="s">
        <v>1618</v>
      </c>
      <c r="H322">
        <v>60</v>
      </c>
      <c r="K322" t="s">
        <v>1622</v>
      </c>
    </row>
    <row r="323" spans="1:11" x14ac:dyDescent="0.25">
      <c r="A323" t="s">
        <v>2057</v>
      </c>
      <c r="B323" t="s">
        <v>687</v>
      </c>
      <c r="C323" t="s">
        <v>46</v>
      </c>
      <c r="D323" t="s">
        <v>147</v>
      </c>
      <c r="E323" t="s">
        <v>1657</v>
      </c>
      <c r="F323">
        <v>2</v>
      </c>
      <c r="G323" t="s">
        <v>1618</v>
      </c>
      <c r="K323" t="s">
        <v>1625</v>
      </c>
    </row>
    <row r="324" spans="1:11" x14ac:dyDescent="0.25">
      <c r="A324" t="s">
        <v>2058</v>
      </c>
      <c r="B324" t="s">
        <v>689</v>
      </c>
      <c r="C324" t="s">
        <v>90</v>
      </c>
      <c r="D324" t="s">
        <v>145</v>
      </c>
      <c r="E324" t="s">
        <v>2003</v>
      </c>
      <c r="F324">
        <v>5</v>
      </c>
      <c r="G324" t="s">
        <v>1618</v>
      </c>
      <c r="H324">
        <v>80</v>
      </c>
      <c r="I324">
        <v>84</v>
      </c>
      <c r="K324" t="s">
        <v>1659</v>
      </c>
    </row>
    <row r="325" spans="1:11" x14ac:dyDescent="0.25">
      <c r="A325" t="s">
        <v>2059</v>
      </c>
      <c r="B325" t="s">
        <v>690</v>
      </c>
      <c r="C325" t="s">
        <v>121</v>
      </c>
      <c r="D325" t="s">
        <v>156</v>
      </c>
      <c r="E325" t="s">
        <v>1812</v>
      </c>
      <c r="F325">
        <v>3</v>
      </c>
      <c r="G325" t="s">
        <v>1618</v>
      </c>
      <c r="H325">
        <v>53</v>
      </c>
      <c r="K325" t="s">
        <v>1622</v>
      </c>
    </row>
    <row r="326" spans="1:11" x14ac:dyDescent="0.25">
      <c r="A326" t="s">
        <v>2060</v>
      </c>
      <c r="B326" t="s">
        <v>691</v>
      </c>
      <c r="C326" t="s">
        <v>101</v>
      </c>
      <c r="D326" t="s">
        <v>153</v>
      </c>
      <c r="E326" t="s">
        <v>120</v>
      </c>
      <c r="F326">
        <v>1</v>
      </c>
      <c r="G326" t="s">
        <v>1618</v>
      </c>
      <c r="K326" t="s">
        <v>1630</v>
      </c>
    </row>
    <row r="327" spans="1:11" x14ac:dyDescent="0.25">
      <c r="A327" t="s">
        <v>2061</v>
      </c>
      <c r="B327" t="s">
        <v>692</v>
      </c>
      <c r="C327" t="s">
        <v>112</v>
      </c>
      <c r="D327" t="s">
        <v>150</v>
      </c>
      <c r="E327" t="s">
        <v>1785</v>
      </c>
      <c r="F327">
        <v>2</v>
      </c>
      <c r="G327" t="s">
        <v>1618</v>
      </c>
      <c r="K327" t="s">
        <v>1619</v>
      </c>
    </row>
    <row r="328" spans="1:11" x14ac:dyDescent="0.25">
      <c r="A328" t="s">
        <v>2062</v>
      </c>
      <c r="B328" t="s">
        <v>693</v>
      </c>
      <c r="C328" t="s">
        <v>113</v>
      </c>
      <c r="D328" t="s">
        <v>160</v>
      </c>
      <c r="E328" t="s">
        <v>99</v>
      </c>
      <c r="F328">
        <v>1</v>
      </c>
      <c r="G328" t="s">
        <v>1618</v>
      </c>
      <c r="K328" t="s">
        <v>1619</v>
      </c>
    </row>
    <row r="329" spans="1:11" x14ac:dyDescent="0.25">
      <c r="A329" t="s">
        <v>2063</v>
      </c>
      <c r="B329" t="s">
        <v>694</v>
      </c>
      <c r="C329" t="s">
        <v>94</v>
      </c>
      <c r="D329" t="s">
        <v>150</v>
      </c>
      <c r="E329" t="s">
        <v>2064</v>
      </c>
      <c r="F329">
        <v>4</v>
      </c>
      <c r="G329" t="s">
        <v>1618</v>
      </c>
      <c r="H329">
        <v>87</v>
      </c>
      <c r="I329">
        <v>71</v>
      </c>
      <c r="K329" t="s">
        <v>1635</v>
      </c>
    </row>
    <row r="330" spans="1:11" x14ac:dyDescent="0.25">
      <c r="A330" t="s">
        <v>2065</v>
      </c>
      <c r="B330" t="s">
        <v>696</v>
      </c>
      <c r="C330" t="s">
        <v>97</v>
      </c>
      <c r="D330" t="s">
        <v>142</v>
      </c>
      <c r="E330" t="s">
        <v>1637</v>
      </c>
      <c r="F330">
        <v>7</v>
      </c>
      <c r="G330" t="s">
        <v>1692</v>
      </c>
      <c r="H330">
        <v>86</v>
      </c>
      <c r="I330">
        <v>88</v>
      </c>
      <c r="J330">
        <v>26</v>
      </c>
      <c r="K330" t="s">
        <v>1693</v>
      </c>
    </row>
    <row r="331" spans="1:11" x14ac:dyDescent="0.25">
      <c r="A331" t="s">
        <v>2066</v>
      </c>
      <c r="B331" t="s">
        <v>698</v>
      </c>
      <c r="C331" t="s">
        <v>66</v>
      </c>
      <c r="D331" t="s">
        <v>160</v>
      </c>
      <c r="E331" t="s">
        <v>2064</v>
      </c>
      <c r="F331">
        <v>3</v>
      </c>
      <c r="G331" t="s">
        <v>1618</v>
      </c>
      <c r="H331">
        <v>58</v>
      </c>
      <c r="K331" t="s">
        <v>1622</v>
      </c>
    </row>
    <row r="332" spans="1:11" x14ac:dyDescent="0.25">
      <c r="A332" t="s">
        <v>2067</v>
      </c>
      <c r="B332" t="s">
        <v>699</v>
      </c>
      <c r="C332" t="s">
        <v>65</v>
      </c>
      <c r="D332" t="s">
        <v>145</v>
      </c>
      <c r="E332" t="s">
        <v>1643</v>
      </c>
      <c r="F332">
        <v>1</v>
      </c>
      <c r="G332" t="s">
        <v>1618</v>
      </c>
      <c r="K332" t="s">
        <v>1619</v>
      </c>
    </row>
    <row r="333" spans="1:11" x14ac:dyDescent="0.25">
      <c r="A333" t="s">
        <v>2068</v>
      </c>
      <c r="B333" t="s">
        <v>700</v>
      </c>
      <c r="C333" t="s">
        <v>76</v>
      </c>
      <c r="D333" t="s">
        <v>153</v>
      </c>
      <c r="E333" t="s">
        <v>1862</v>
      </c>
      <c r="F333">
        <v>2</v>
      </c>
      <c r="G333" t="s">
        <v>1618</v>
      </c>
      <c r="K333" t="s">
        <v>1630</v>
      </c>
    </row>
    <row r="334" spans="1:11" x14ac:dyDescent="0.25">
      <c r="A334" t="s">
        <v>2069</v>
      </c>
      <c r="B334" t="s">
        <v>701</v>
      </c>
      <c r="C334" t="s">
        <v>123</v>
      </c>
      <c r="D334" t="s">
        <v>145</v>
      </c>
      <c r="E334" t="s">
        <v>111</v>
      </c>
      <c r="F334">
        <v>4</v>
      </c>
      <c r="G334" t="s">
        <v>1618</v>
      </c>
      <c r="H334">
        <v>73</v>
      </c>
      <c r="I334">
        <v>70</v>
      </c>
      <c r="K334" t="s">
        <v>1659</v>
      </c>
    </row>
    <row r="335" spans="1:11" x14ac:dyDescent="0.25">
      <c r="A335" t="s">
        <v>2070</v>
      </c>
      <c r="B335" t="s">
        <v>703</v>
      </c>
      <c r="C335" t="s">
        <v>20</v>
      </c>
      <c r="D335" t="s">
        <v>142</v>
      </c>
      <c r="E335" t="s">
        <v>2071</v>
      </c>
      <c r="F335">
        <v>2</v>
      </c>
      <c r="G335" t="s">
        <v>1618</v>
      </c>
      <c r="K335" t="s">
        <v>1630</v>
      </c>
    </row>
    <row r="336" spans="1:11" x14ac:dyDescent="0.25">
      <c r="A336" t="s">
        <v>2072</v>
      </c>
      <c r="B336" t="s">
        <v>704</v>
      </c>
      <c r="C336" t="s">
        <v>127</v>
      </c>
      <c r="D336" t="s">
        <v>145</v>
      </c>
      <c r="E336" t="s">
        <v>64</v>
      </c>
      <c r="F336">
        <v>3</v>
      </c>
      <c r="G336" t="s">
        <v>1618</v>
      </c>
      <c r="H336">
        <v>67</v>
      </c>
      <c r="K336" t="s">
        <v>1622</v>
      </c>
    </row>
    <row r="337" spans="1:11" x14ac:dyDescent="0.25">
      <c r="A337" t="s">
        <v>2073</v>
      </c>
      <c r="B337" t="s">
        <v>705</v>
      </c>
      <c r="C337" t="s">
        <v>112</v>
      </c>
      <c r="D337" t="s">
        <v>150</v>
      </c>
      <c r="E337" t="s">
        <v>1649</v>
      </c>
      <c r="F337">
        <v>3</v>
      </c>
      <c r="G337" t="s">
        <v>1618</v>
      </c>
      <c r="H337">
        <v>76</v>
      </c>
      <c r="K337" t="s">
        <v>1622</v>
      </c>
    </row>
    <row r="338" spans="1:11" x14ac:dyDescent="0.25">
      <c r="A338" t="s">
        <v>2074</v>
      </c>
      <c r="B338" t="s">
        <v>707</v>
      </c>
      <c r="C338" t="s">
        <v>103</v>
      </c>
      <c r="D338" t="s">
        <v>153</v>
      </c>
      <c r="E338" t="s">
        <v>124</v>
      </c>
      <c r="F338">
        <v>4</v>
      </c>
      <c r="G338" t="s">
        <v>1618</v>
      </c>
      <c r="H338">
        <v>74</v>
      </c>
      <c r="I338">
        <v>80</v>
      </c>
      <c r="K338" t="s">
        <v>1659</v>
      </c>
    </row>
    <row r="339" spans="1:11" x14ac:dyDescent="0.25">
      <c r="A339" t="s">
        <v>2075</v>
      </c>
      <c r="B339" t="s">
        <v>708</v>
      </c>
      <c r="C339" t="s">
        <v>118</v>
      </c>
      <c r="D339" t="s">
        <v>150</v>
      </c>
      <c r="E339" t="s">
        <v>1850</v>
      </c>
      <c r="F339">
        <v>3</v>
      </c>
      <c r="G339" t="s">
        <v>1618</v>
      </c>
      <c r="H339">
        <v>57</v>
      </c>
      <c r="K339" t="s">
        <v>1622</v>
      </c>
    </row>
    <row r="340" spans="1:11" x14ac:dyDescent="0.25">
      <c r="A340" t="s">
        <v>2076</v>
      </c>
      <c r="B340" t="s">
        <v>709</v>
      </c>
      <c r="C340" t="s">
        <v>113</v>
      </c>
      <c r="D340" t="s">
        <v>160</v>
      </c>
      <c r="E340" t="s">
        <v>22</v>
      </c>
      <c r="F340">
        <v>2</v>
      </c>
      <c r="G340" t="s">
        <v>1618</v>
      </c>
      <c r="K340" t="s">
        <v>1619</v>
      </c>
    </row>
    <row r="341" spans="1:11" x14ac:dyDescent="0.25">
      <c r="A341" t="s">
        <v>2077</v>
      </c>
      <c r="B341" t="s">
        <v>710</v>
      </c>
      <c r="C341" t="s">
        <v>69</v>
      </c>
      <c r="D341" t="s">
        <v>142</v>
      </c>
      <c r="E341" t="s">
        <v>2078</v>
      </c>
      <c r="F341">
        <v>3</v>
      </c>
      <c r="G341" t="s">
        <v>1618</v>
      </c>
      <c r="H341">
        <v>59</v>
      </c>
      <c r="K341" t="s">
        <v>1622</v>
      </c>
    </row>
    <row r="342" spans="1:11" x14ac:dyDescent="0.25">
      <c r="A342" t="s">
        <v>2079</v>
      </c>
      <c r="B342" t="s">
        <v>711</v>
      </c>
      <c r="C342" t="s">
        <v>69</v>
      </c>
      <c r="D342" t="s">
        <v>142</v>
      </c>
      <c r="E342" t="s">
        <v>1655</v>
      </c>
      <c r="F342">
        <v>2</v>
      </c>
      <c r="G342" t="s">
        <v>1618</v>
      </c>
      <c r="K342" t="s">
        <v>1625</v>
      </c>
    </row>
    <row r="343" spans="1:11" x14ac:dyDescent="0.25">
      <c r="A343" t="s">
        <v>2080</v>
      </c>
      <c r="B343" t="s">
        <v>712</v>
      </c>
      <c r="C343" t="s">
        <v>20</v>
      </c>
      <c r="D343" t="s">
        <v>142</v>
      </c>
      <c r="E343" t="s">
        <v>2081</v>
      </c>
      <c r="F343">
        <v>4</v>
      </c>
      <c r="G343" t="s">
        <v>1618</v>
      </c>
      <c r="H343">
        <v>73</v>
      </c>
      <c r="I343">
        <v>91</v>
      </c>
      <c r="K343" t="s">
        <v>1635</v>
      </c>
    </row>
    <row r="344" spans="1:11" x14ac:dyDescent="0.25">
      <c r="A344" t="s">
        <v>2082</v>
      </c>
      <c r="B344" t="s">
        <v>713</v>
      </c>
      <c r="C344" t="s">
        <v>116</v>
      </c>
      <c r="D344" t="s">
        <v>142</v>
      </c>
      <c r="E344" t="s">
        <v>26</v>
      </c>
      <c r="F344">
        <v>1</v>
      </c>
      <c r="G344" t="s">
        <v>1618</v>
      </c>
      <c r="K344" t="s">
        <v>1630</v>
      </c>
    </row>
    <row r="345" spans="1:11" x14ac:dyDescent="0.25">
      <c r="A345" t="s">
        <v>2083</v>
      </c>
      <c r="B345" t="s">
        <v>714</v>
      </c>
      <c r="C345" t="s">
        <v>112</v>
      </c>
      <c r="D345" t="s">
        <v>150</v>
      </c>
      <c r="E345" t="s">
        <v>1649</v>
      </c>
      <c r="F345">
        <v>4</v>
      </c>
      <c r="G345" t="s">
        <v>1618</v>
      </c>
      <c r="H345">
        <v>71</v>
      </c>
      <c r="I345">
        <v>83</v>
      </c>
      <c r="K345" t="s">
        <v>1659</v>
      </c>
    </row>
    <row r="346" spans="1:11" x14ac:dyDescent="0.25">
      <c r="A346" t="s">
        <v>2084</v>
      </c>
      <c r="B346" t="s">
        <v>716</v>
      </c>
      <c r="C346" t="s">
        <v>90</v>
      </c>
      <c r="D346" t="s">
        <v>160</v>
      </c>
      <c r="E346" t="s">
        <v>1726</v>
      </c>
      <c r="F346">
        <v>1</v>
      </c>
      <c r="G346" t="s">
        <v>1618</v>
      </c>
      <c r="K346" t="s">
        <v>1619</v>
      </c>
    </row>
    <row r="347" spans="1:11" x14ac:dyDescent="0.25">
      <c r="A347" t="s">
        <v>2085</v>
      </c>
      <c r="B347" t="s">
        <v>717</v>
      </c>
      <c r="C347" t="s">
        <v>37</v>
      </c>
      <c r="D347" t="s">
        <v>147</v>
      </c>
      <c r="E347" t="s">
        <v>36</v>
      </c>
      <c r="F347">
        <v>7</v>
      </c>
      <c r="G347" t="s">
        <v>1692</v>
      </c>
      <c r="H347">
        <v>73</v>
      </c>
      <c r="I347">
        <v>78</v>
      </c>
      <c r="J347">
        <v>21</v>
      </c>
      <c r="K347" t="s">
        <v>1693</v>
      </c>
    </row>
    <row r="348" spans="1:11" x14ac:dyDescent="0.25">
      <c r="A348" t="s">
        <v>2086</v>
      </c>
      <c r="B348" t="s">
        <v>718</v>
      </c>
      <c r="C348" t="s">
        <v>34</v>
      </c>
      <c r="D348" t="s">
        <v>160</v>
      </c>
      <c r="E348" t="s">
        <v>106</v>
      </c>
      <c r="F348">
        <v>1</v>
      </c>
      <c r="G348" t="s">
        <v>1618</v>
      </c>
      <c r="K348" t="s">
        <v>1625</v>
      </c>
    </row>
    <row r="349" spans="1:11" x14ac:dyDescent="0.25">
      <c r="A349" t="s">
        <v>2087</v>
      </c>
      <c r="B349" t="s">
        <v>719</v>
      </c>
      <c r="C349" t="s">
        <v>127</v>
      </c>
      <c r="D349" t="s">
        <v>145</v>
      </c>
      <c r="E349" t="s">
        <v>2088</v>
      </c>
      <c r="F349">
        <v>3</v>
      </c>
      <c r="G349" t="s">
        <v>1618</v>
      </c>
      <c r="H349">
        <v>51</v>
      </c>
      <c r="K349" t="s">
        <v>1622</v>
      </c>
    </row>
    <row r="350" spans="1:11" x14ac:dyDescent="0.25">
      <c r="A350" t="s">
        <v>2089</v>
      </c>
      <c r="B350" t="s">
        <v>720</v>
      </c>
      <c r="C350" t="s">
        <v>66</v>
      </c>
      <c r="D350" t="s">
        <v>145</v>
      </c>
      <c r="E350" t="s">
        <v>1683</v>
      </c>
      <c r="F350">
        <v>2</v>
      </c>
      <c r="G350" t="s">
        <v>1618</v>
      </c>
      <c r="K350" t="s">
        <v>1619</v>
      </c>
    </row>
    <row r="351" spans="1:11" x14ac:dyDescent="0.25">
      <c r="A351" t="s">
        <v>2090</v>
      </c>
      <c r="B351" t="s">
        <v>721</v>
      </c>
      <c r="C351" t="s">
        <v>46</v>
      </c>
      <c r="D351" t="s">
        <v>147</v>
      </c>
      <c r="E351" t="s">
        <v>1812</v>
      </c>
      <c r="F351">
        <v>3</v>
      </c>
      <c r="G351" t="s">
        <v>1618</v>
      </c>
      <c r="H351">
        <v>64</v>
      </c>
      <c r="K351" t="s">
        <v>1622</v>
      </c>
    </row>
    <row r="352" spans="1:11" x14ac:dyDescent="0.25">
      <c r="A352" t="s">
        <v>2091</v>
      </c>
      <c r="B352" t="s">
        <v>722</v>
      </c>
      <c r="C352" t="s">
        <v>125</v>
      </c>
      <c r="D352" t="s">
        <v>153</v>
      </c>
      <c r="E352" t="s">
        <v>1869</v>
      </c>
      <c r="F352">
        <v>2</v>
      </c>
      <c r="G352" t="s">
        <v>1618</v>
      </c>
      <c r="K352" t="s">
        <v>1619</v>
      </c>
    </row>
    <row r="353" spans="1:11" x14ac:dyDescent="0.25">
      <c r="A353" t="s">
        <v>2092</v>
      </c>
      <c r="B353" t="s">
        <v>723</v>
      </c>
      <c r="C353" t="s">
        <v>123</v>
      </c>
      <c r="D353" t="s">
        <v>145</v>
      </c>
      <c r="E353" t="s">
        <v>1624</v>
      </c>
      <c r="F353">
        <v>1</v>
      </c>
      <c r="G353" t="s">
        <v>1618</v>
      </c>
      <c r="K353" t="s">
        <v>1625</v>
      </c>
    </row>
    <row r="354" spans="1:11" x14ac:dyDescent="0.25">
      <c r="A354" t="s">
        <v>2093</v>
      </c>
      <c r="B354" t="s">
        <v>725</v>
      </c>
      <c r="C354" t="s">
        <v>8</v>
      </c>
      <c r="D354" t="s">
        <v>145</v>
      </c>
      <c r="E354" t="s">
        <v>2094</v>
      </c>
      <c r="F354">
        <v>2</v>
      </c>
      <c r="G354" t="s">
        <v>1618</v>
      </c>
      <c r="K354" t="s">
        <v>1625</v>
      </c>
    </row>
    <row r="355" spans="1:11" x14ac:dyDescent="0.25">
      <c r="A355" t="s">
        <v>2095</v>
      </c>
      <c r="B355" t="s">
        <v>726</v>
      </c>
      <c r="C355" t="s">
        <v>79</v>
      </c>
      <c r="D355" t="s">
        <v>150</v>
      </c>
      <c r="E355" t="s">
        <v>1741</v>
      </c>
      <c r="F355">
        <v>2</v>
      </c>
      <c r="G355" t="s">
        <v>1618</v>
      </c>
      <c r="K355" t="s">
        <v>1625</v>
      </c>
    </row>
    <row r="356" spans="1:11" x14ac:dyDescent="0.25">
      <c r="A356" t="s">
        <v>2096</v>
      </c>
      <c r="B356" t="s">
        <v>727</v>
      </c>
      <c r="C356" t="s">
        <v>101</v>
      </c>
      <c r="D356" t="s">
        <v>153</v>
      </c>
      <c r="E356" t="s">
        <v>1803</v>
      </c>
      <c r="F356">
        <v>2</v>
      </c>
      <c r="G356" t="s">
        <v>1618</v>
      </c>
      <c r="K356" t="s">
        <v>1619</v>
      </c>
    </row>
    <row r="357" spans="1:11" x14ac:dyDescent="0.25">
      <c r="A357" t="s">
        <v>2097</v>
      </c>
      <c r="B357" t="s">
        <v>728</v>
      </c>
      <c r="C357" t="s">
        <v>85</v>
      </c>
      <c r="D357" t="s">
        <v>160</v>
      </c>
      <c r="E357" t="s">
        <v>89</v>
      </c>
      <c r="F357">
        <v>2</v>
      </c>
      <c r="G357" t="s">
        <v>1618</v>
      </c>
      <c r="K357" t="s">
        <v>1630</v>
      </c>
    </row>
    <row r="358" spans="1:11" x14ac:dyDescent="0.25">
      <c r="A358" t="s">
        <v>2098</v>
      </c>
      <c r="B358" t="s">
        <v>729</v>
      </c>
      <c r="C358" t="s">
        <v>128</v>
      </c>
      <c r="D358" t="s">
        <v>158</v>
      </c>
      <c r="E358" t="s">
        <v>1797</v>
      </c>
      <c r="F358">
        <v>1</v>
      </c>
      <c r="G358" t="s">
        <v>1618</v>
      </c>
      <c r="K358" t="s">
        <v>1619</v>
      </c>
    </row>
    <row r="359" spans="1:11" x14ac:dyDescent="0.25">
      <c r="A359" t="s">
        <v>2099</v>
      </c>
      <c r="B359" t="s">
        <v>730</v>
      </c>
      <c r="C359" t="s">
        <v>116</v>
      </c>
      <c r="D359" t="s">
        <v>142</v>
      </c>
      <c r="E359" t="s">
        <v>2100</v>
      </c>
      <c r="F359">
        <v>3</v>
      </c>
      <c r="G359" t="s">
        <v>1618</v>
      </c>
      <c r="H359">
        <v>45</v>
      </c>
      <c r="K359" t="s">
        <v>1622</v>
      </c>
    </row>
    <row r="360" spans="1:11" x14ac:dyDescent="0.25">
      <c r="A360" t="s">
        <v>2101</v>
      </c>
      <c r="B360" t="s">
        <v>731</v>
      </c>
      <c r="C360" t="s">
        <v>79</v>
      </c>
      <c r="D360" t="s">
        <v>150</v>
      </c>
      <c r="E360" t="s">
        <v>96</v>
      </c>
      <c r="F360">
        <v>4</v>
      </c>
      <c r="G360" t="s">
        <v>1618</v>
      </c>
      <c r="H360">
        <v>82</v>
      </c>
      <c r="I360">
        <v>87</v>
      </c>
      <c r="K360" t="s">
        <v>1635</v>
      </c>
    </row>
    <row r="361" spans="1:11" x14ac:dyDescent="0.25">
      <c r="A361" t="s">
        <v>2102</v>
      </c>
      <c r="B361" t="s">
        <v>732</v>
      </c>
      <c r="C361" t="s">
        <v>49</v>
      </c>
      <c r="D361" t="s">
        <v>142</v>
      </c>
      <c r="E361" t="s">
        <v>1844</v>
      </c>
      <c r="F361">
        <v>1</v>
      </c>
      <c r="G361" t="s">
        <v>1618</v>
      </c>
      <c r="K361" t="s">
        <v>1625</v>
      </c>
    </row>
    <row r="362" spans="1:11" x14ac:dyDescent="0.25">
      <c r="A362" t="s">
        <v>2103</v>
      </c>
      <c r="B362" t="s">
        <v>733</v>
      </c>
      <c r="C362" t="s">
        <v>97</v>
      </c>
      <c r="D362" t="s">
        <v>158</v>
      </c>
      <c r="E362" t="s">
        <v>1655</v>
      </c>
      <c r="F362">
        <v>2</v>
      </c>
      <c r="G362" t="s">
        <v>1618</v>
      </c>
      <c r="K362" t="s">
        <v>1630</v>
      </c>
    </row>
    <row r="363" spans="1:11" x14ac:dyDescent="0.25">
      <c r="A363" t="s">
        <v>2104</v>
      </c>
      <c r="B363" t="s">
        <v>734</v>
      </c>
      <c r="C363" t="s">
        <v>49</v>
      </c>
      <c r="D363" t="s">
        <v>158</v>
      </c>
      <c r="E363" t="s">
        <v>1683</v>
      </c>
      <c r="F363">
        <v>2</v>
      </c>
      <c r="G363" t="s">
        <v>1618</v>
      </c>
      <c r="K363" t="s">
        <v>1630</v>
      </c>
    </row>
    <row r="364" spans="1:11" x14ac:dyDescent="0.25">
      <c r="A364" t="s">
        <v>2105</v>
      </c>
      <c r="B364" t="s">
        <v>735</v>
      </c>
      <c r="C364" t="s">
        <v>101</v>
      </c>
      <c r="D364" t="s">
        <v>153</v>
      </c>
      <c r="E364" t="s">
        <v>2106</v>
      </c>
      <c r="F364">
        <v>5</v>
      </c>
      <c r="G364" t="s">
        <v>1618</v>
      </c>
      <c r="H364">
        <v>70</v>
      </c>
      <c r="I364">
        <v>78</v>
      </c>
      <c r="K364" t="s">
        <v>1659</v>
      </c>
    </row>
    <row r="365" spans="1:11" x14ac:dyDescent="0.25">
      <c r="A365" t="s">
        <v>2107</v>
      </c>
      <c r="B365" t="s">
        <v>736</v>
      </c>
      <c r="C365" t="s">
        <v>56</v>
      </c>
      <c r="D365" t="s">
        <v>153</v>
      </c>
      <c r="E365" t="s">
        <v>1809</v>
      </c>
      <c r="F365">
        <v>1</v>
      </c>
      <c r="G365" t="s">
        <v>1618</v>
      </c>
      <c r="K365" t="s">
        <v>1619</v>
      </c>
    </row>
    <row r="366" spans="1:11" x14ac:dyDescent="0.25">
      <c r="A366" t="s">
        <v>2108</v>
      </c>
      <c r="B366" t="s">
        <v>737</v>
      </c>
      <c r="C366" t="s">
        <v>127</v>
      </c>
      <c r="D366" t="s">
        <v>145</v>
      </c>
      <c r="E366" t="s">
        <v>1621</v>
      </c>
      <c r="F366">
        <v>4</v>
      </c>
      <c r="G366" t="s">
        <v>1618</v>
      </c>
      <c r="H366">
        <v>74</v>
      </c>
      <c r="I366">
        <v>68</v>
      </c>
      <c r="K366" t="s">
        <v>1659</v>
      </c>
    </row>
    <row r="367" spans="1:11" x14ac:dyDescent="0.25">
      <c r="A367" t="s">
        <v>2109</v>
      </c>
      <c r="B367" t="s">
        <v>738</v>
      </c>
      <c r="C367" t="s">
        <v>100</v>
      </c>
      <c r="D367" t="s">
        <v>150</v>
      </c>
      <c r="E367" t="s">
        <v>1657</v>
      </c>
      <c r="F367">
        <v>1</v>
      </c>
      <c r="G367" t="s">
        <v>1618</v>
      </c>
      <c r="K367" t="s">
        <v>1625</v>
      </c>
    </row>
    <row r="368" spans="1:11" x14ac:dyDescent="0.25">
      <c r="A368" t="s">
        <v>2110</v>
      </c>
      <c r="B368" t="s">
        <v>740</v>
      </c>
      <c r="C368" t="s">
        <v>113</v>
      </c>
      <c r="D368" t="s">
        <v>160</v>
      </c>
      <c r="E368" t="s">
        <v>2111</v>
      </c>
      <c r="F368">
        <v>1</v>
      </c>
      <c r="G368" t="s">
        <v>1618</v>
      </c>
      <c r="K368" t="s">
        <v>1619</v>
      </c>
    </row>
    <row r="369" spans="1:11" x14ac:dyDescent="0.25">
      <c r="A369" t="s">
        <v>2112</v>
      </c>
      <c r="B369" t="s">
        <v>741</v>
      </c>
      <c r="C369" t="s">
        <v>94</v>
      </c>
      <c r="D369" t="s">
        <v>150</v>
      </c>
      <c r="E369" t="s">
        <v>1629</v>
      </c>
      <c r="F369">
        <v>2</v>
      </c>
      <c r="G369" t="s">
        <v>1618</v>
      </c>
      <c r="K369" t="s">
        <v>1619</v>
      </c>
    </row>
    <row r="370" spans="1:11" x14ac:dyDescent="0.25">
      <c r="A370" t="s">
        <v>2113</v>
      </c>
      <c r="B370" t="s">
        <v>742</v>
      </c>
      <c r="C370" t="s">
        <v>59</v>
      </c>
      <c r="D370" t="s">
        <v>145</v>
      </c>
      <c r="E370" t="s">
        <v>1789</v>
      </c>
      <c r="F370">
        <v>1</v>
      </c>
      <c r="G370" t="s">
        <v>1618</v>
      </c>
      <c r="K370" t="s">
        <v>1619</v>
      </c>
    </row>
    <row r="371" spans="1:11" x14ac:dyDescent="0.25">
      <c r="A371" t="s">
        <v>2114</v>
      </c>
      <c r="B371" t="s">
        <v>743</v>
      </c>
      <c r="C371" t="s">
        <v>110</v>
      </c>
      <c r="D371" t="s">
        <v>160</v>
      </c>
      <c r="E371" t="s">
        <v>2115</v>
      </c>
      <c r="F371">
        <v>7</v>
      </c>
      <c r="G371" t="s">
        <v>1692</v>
      </c>
      <c r="H371">
        <v>70</v>
      </c>
      <c r="I371">
        <v>81</v>
      </c>
      <c r="J371">
        <v>25</v>
      </c>
      <c r="K371" t="s">
        <v>1693</v>
      </c>
    </row>
    <row r="372" spans="1:11" x14ac:dyDescent="0.25">
      <c r="A372" t="s">
        <v>2116</v>
      </c>
      <c r="B372" t="s">
        <v>744</v>
      </c>
      <c r="C372" t="s">
        <v>60</v>
      </c>
      <c r="D372" t="s">
        <v>156</v>
      </c>
      <c r="E372" t="s">
        <v>1820</v>
      </c>
      <c r="F372">
        <v>5</v>
      </c>
      <c r="G372" t="s">
        <v>1618</v>
      </c>
      <c r="H372">
        <v>78</v>
      </c>
      <c r="I372">
        <v>83</v>
      </c>
      <c r="K372" t="s">
        <v>1635</v>
      </c>
    </row>
    <row r="373" spans="1:11" x14ac:dyDescent="0.25">
      <c r="A373" t="s">
        <v>2117</v>
      </c>
      <c r="B373" t="s">
        <v>745</v>
      </c>
      <c r="C373" t="s">
        <v>125</v>
      </c>
      <c r="D373" t="s">
        <v>153</v>
      </c>
      <c r="E373" t="s">
        <v>22</v>
      </c>
      <c r="F373">
        <v>2</v>
      </c>
      <c r="G373" t="s">
        <v>1618</v>
      </c>
      <c r="K373" t="s">
        <v>1619</v>
      </c>
    </row>
    <row r="374" spans="1:11" x14ac:dyDescent="0.25">
      <c r="A374" t="s">
        <v>2118</v>
      </c>
      <c r="B374" t="s">
        <v>746</v>
      </c>
      <c r="C374" t="s">
        <v>118</v>
      </c>
      <c r="D374" t="s">
        <v>150</v>
      </c>
      <c r="E374" t="s">
        <v>1785</v>
      </c>
      <c r="F374">
        <v>1</v>
      </c>
      <c r="G374" t="s">
        <v>1618</v>
      </c>
      <c r="K374" t="s">
        <v>1625</v>
      </c>
    </row>
    <row r="375" spans="1:11" x14ac:dyDescent="0.25">
      <c r="A375" t="s">
        <v>2119</v>
      </c>
      <c r="B375" t="s">
        <v>747</v>
      </c>
      <c r="C375" t="s">
        <v>116</v>
      </c>
      <c r="D375" t="s">
        <v>158</v>
      </c>
      <c r="E375" t="s">
        <v>99</v>
      </c>
      <c r="F375">
        <v>3</v>
      </c>
      <c r="G375" t="s">
        <v>1618</v>
      </c>
      <c r="H375">
        <v>66</v>
      </c>
      <c r="K375" t="s">
        <v>1622</v>
      </c>
    </row>
    <row r="376" spans="1:11" x14ac:dyDescent="0.25">
      <c r="A376" t="s">
        <v>2120</v>
      </c>
      <c r="B376" t="s">
        <v>748</v>
      </c>
      <c r="C376" t="s">
        <v>116</v>
      </c>
      <c r="D376" t="s">
        <v>142</v>
      </c>
      <c r="E376" t="s">
        <v>1826</v>
      </c>
      <c r="F376">
        <v>2</v>
      </c>
      <c r="G376" t="s">
        <v>1618</v>
      </c>
      <c r="K376" t="s">
        <v>1625</v>
      </c>
    </row>
    <row r="377" spans="1:11" x14ac:dyDescent="0.25">
      <c r="A377" t="s">
        <v>2121</v>
      </c>
      <c r="B377" t="s">
        <v>750</v>
      </c>
      <c r="C377" t="s">
        <v>31</v>
      </c>
      <c r="D377" t="s">
        <v>145</v>
      </c>
      <c r="E377" t="s">
        <v>2122</v>
      </c>
      <c r="F377">
        <v>3</v>
      </c>
      <c r="G377" t="s">
        <v>1618</v>
      </c>
      <c r="H377">
        <v>65</v>
      </c>
      <c r="K377" t="s">
        <v>1622</v>
      </c>
    </row>
    <row r="378" spans="1:11" x14ac:dyDescent="0.25">
      <c r="A378" t="s">
        <v>2123</v>
      </c>
      <c r="B378" t="s">
        <v>751</v>
      </c>
      <c r="C378" t="s">
        <v>39</v>
      </c>
      <c r="D378" t="s">
        <v>145</v>
      </c>
      <c r="E378" t="s">
        <v>2100</v>
      </c>
      <c r="F378">
        <v>3</v>
      </c>
      <c r="G378" t="s">
        <v>1618</v>
      </c>
      <c r="H378">
        <v>54</v>
      </c>
      <c r="K378" t="s">
        <v>1622</v>
      </c>
    </row>
    <row r="379" spans="1:11" x14ac:dyDescent="0.25">
      <c r="A379" t="s">
        <v>2124</v>
      </c>
      <c r="B379" t="s">
        <v>752</v>
      </c>
      <c r="C379" t="s">
        <v>8</v>
      </c>
      <c r="D379" t="s">
        <v>160</v>
      </c>
      <c r="E379" t="s">
        <v>1807</v>
      </c>
      <c r="F379">
        <v>3</v>
      </c>
      <c r="G379" t="s">
        <v>1618</v>
      </c>
      <c r="H379">
        <v>72</v>
      </c>
      <c r="K379" t="s">
        <v>1622</v>
      </c>
    </row>
    <row r="380" spans="1:11" x14ac:dyDescent="0.25">
      <c r="A380" t="s">
        <v>2125</v>
      </c>
      <c r="B380" t="s">
        <v>753</v>
      </c>
      <c r="C380" t="s">
        <v>118</v>
      </c>
      <c r="D380" t="s">
        <v>150</v>
      </c>
      <c r="E380" t="s">
        <v>1627</v>
      </c>
      <c r="F380">
        <v>7</v>
      </c>
      <c r="G380" t="s">
        <v>1692</v>
      </c>
      <c r="H380">
        <v>73</v>
      </c>
      <c r="I380">
        <v>84</v>
      </c>
      <c r="J380">
        <v>21</v>
      </c>
      <c r="K380" t="s">
        <v>1693</v>
      </c>
    </row>
    <row r="381" spans="1:11" x14ac:dyDescent="0.25">
      <c r="A381" t="s">
        <v>2126</v>
      </c>
      <c r="B381" t="s">
        <v>754</v>
      </c>
      <c r="C381" t="s">
        <v>27</v>
      </c>
      <c r="D381" t="s">
        <v>147</v>
      </c>
      <c r="E381" t="s">
        <v>2081</v>
      </c>
      <c r="F381">
        <v>1</v>
      </c>
      <c r="G381" t="s">
        <v>1618</v>
      </c>
      <c r="K381" t="s">
        <v>1630</v>
      </c>
    </row>
    <row r="382" spans="1:11" x14ac:dyDescent="0.25">
      <c r="A382" t="s">
        <v>2127</v>
      </c>
      <c r="B382" t="s">
        <v>755</v>
      </c>
      <c r="C382" t="s">
        <v>76</v>
      </c>
      <c r="D382" t="s">
        <v>153</v>
      </c>
      <c r="E382" t="s">
        <v>2128</v>
      </c>
      <c r="F382">
        <v>1</v>
      </c>
      <c r="G382" t="s">
        <v>1618</v>
      </c>
      <c r="K382" t="s">
        <v>1619</v>
      </c>
    </row>
    <row r="383" spans="1:11" x14ac:dyDescent="0.25">
      <c r="A383" t="s">
        <v>2129</v>
      </c>
      <c r="B383" t="s">
        <v>756</v>
      </c>
      <c r="C383" t="s">
        <v>8</v>
      </c>
      <c r="D383" t="s">
        <v>160</v>
      </c>
      <c r="E383" t="s">
        <v>2130</v>
      </c>
      <c r="F383">
        <v>3</v>
      </c>
      <c r="G383" t="s">
        <v>1618</v>
      </c>
      <c r="H383">
        <v>66</v>
      </c>
      <c r="K383" t="s">
        <v>1622</v>
      </c>
    </row>
    <row r="384" spans="1:11" x14ac:dyDescent="0.25">
      <c r="A384" t="s">
        <v>2131</v>
      </c>
      <c r="B384" t="s">
        <v>758</v>
      </c>
      <c r="C384" t="s">
        <v>92</v>
      </c>
      <c r="D384" t="s">
        <v>156</v>
      </c>
      <c r="E384" t="s">
        <v>2003</v>
      </c>
      <c r="F384">
        <v>3</v>
      </c>
      <c r="G384" t="s">
        <v>1618</v>
      </c>
      <c r="H384">
        <v>59</v>
      </c>
      <c r="K384" t="s">
        <v>1622</v>
      </c>
    </row>
    <row r="385" spans="1:11" x14ac:dyDescent="0.25">
      <c r="A385" t="s">
        <v>2132</v>
      </c>
      <c r="B385" t="s">
        <v>759</v>
      </c>
      <c r="C385" t="s">
        <v>125</v>
      </c>
      <c r="D385" t="s">
        <v>153</v>
      </c>
      <c r="E385" t="s">
        <v>1704</v>
      </c>
      <c r="F385">
        <v>3</v>
      </c>
      <c r="G385" t="s">
        <v>1618</v>
      </c>
      <c r="H385">
        <v>65</v>
      </c>
      <c r="K385" t="s">
        <v>1622</v>
      </c>
    </row>
    <row r="386" spans="1:11" x14ac:dyDescent="0.25">
      <c r="A386" t="s">
        <v>2133</v>
      </c>
      <c r="B386" t="s">
        <v>761</v>
      </c>
      <c r="C386" t="s">
        <v>92</v>
      </c>
      <c r="D386" t="s">
        <v>156</v>
      </c>
      <c r="E386" t="s">
        <v>124</v>
      </c>
      <c r="F386">
        <v>4</v>
      </c>
      <c r="G386" t="s">
        <v>1618</v>
      </c>
      <c r="H386">
        <v>82</v>
      </c>
      <c r="I386">
        <v>73</v>
      </c>
      <c r="K386" t="s">
        <v>1635</v>
      </c>
    </row>
    <row r="387" spans="1:11" x14ac:dyDescent="0.25">
      <c r="A387" t="s">
        <v>2134</v>
      </c>
      <c r="B387" t="s">
        <v>762</v>
      </c>
      <c r="C387" t="s">
        <v>69</v>
      </c>
      <c r="D387" t="s">
        <v>158</v>
      </c>
      <c r="E387" t="s">
        <v>1721</v>
      </c>
      <c r="F387">
        <v>5</v>
      </c>
      <c r="G387" t="s">
        <v>1618</v>
      </c>
      <c r="H387">
        <v>73</v>
      </c>
      <c r="I387">
        <v>85</v>
      </c>
      <c r="K387" t="s">
        <v>1635</v>
      </c>
    </row>
    <row r="388" spans="1:11" x14ac:dyDescent="0.25">
      <c r="A388" t="s">
        <v>2135</v>
      </c>
      <c r="B388" t="s">
        <v>763</v>
      </c>
      <c r="C388" t="s">
        <v>14</v>
      </c>
      <c r="D388" t="s">
        <v>142</v>
      </c>
      <c r="E388" t="s">
        <v>68</v>
      </c>
      <c r="F388">
        <v>2</v>
      </c>
      <c r="G388" t="s">
        <v>1618</v>
      </c>
      <c r="K388" t="s">
        <v>1625</v>
      </c>
    </row>
    <row r="389" spans="1:11" x14ac:dyDescent="0.25">
      <c r="A389" t="s">
        <v>2136</v>
      </c>
      <c r="B389" t="s">
        <v>765</v>
      </c>
      <c r="C389" t="s">
        <v>27</v>
      </c>
      <c r="D389" t="s">
        <v>147</v>
      </c>
      <c r="E389" t="s">
        <v>1891</v>
      </c>
      <c r="F389">
        <v>3</v>
      </c>
      <c r="G389" t="s">
        <v>1618</v>
      </c>
      <c r="H389">
        <v>55</v>
      </c>
      <c r="K389" t="s">
        <v>1622</v>
      </c>
    </row>
    <row r="390" spans="1:11" x14ac:dyDescent="0.25">
      <c r="A390" t="s">
        <v>2137</v>
      </c>
      <c r="B390" t="s">
        <v>766</v>
      </c>
      <c r="C390" t="s">
        <v>118</v>
      </c>
      <c r="D390" t="s">
        <v>150</v>
      </c>
      <c r="E390" t="s">
        <v>135</v>
      </c>
      <c r="F390">
        <v>1</v>
      </c>
      <c r="G390" t="s">
        <v>1618</v>
      </c>
      <c r="K390" t="s">
        <v>1625</v>
      </c>
    </row>
    <row r="391" spans="1:11" x14ac:dyDescent="0.25">
      <c r="A391" t="s">
        <v>2138</v>
      </c>
      <c r="B391" t="s">
        <v>767</v>
      </c>
      <c r="C391" t="s">
        <v>79</v>
      </c>
      <c r="D391" t="s">
        <v>150</v>
      </c>
      <c r="E391" t="s">
        <v>1953</v>
      </c>
      <c r="F391">
        <v>7</v>
      </c>
      <c r="G391" t="s">
        <v>1692</v>
      </c>
      <c r="H391">
        <v>83</v>
      </c>
      <c r="I391">
        <v>86</v>
      </c>
      <c r="J391">
        <v>23</v>
      </c>
      <c r="K391" t="s">
        <v>1693</v>
      </c>
    </row>
    <row r="392" spans="1:11" x14ac:dyDescent="0.25">
      <c r="A392" t="s">
        <v>2139</v>
      </c>
      <c r="B392" t="s">
        <v>768</v>
      </c>
      <c r="C392" t="s">
        <v>37</v>
      </c>
      <c r="D392" t="s">
        <v>147</v>
      </c>
      <c r="E392" t="s">
        <v>1649</v>
      </c>
      <c r="F392">
        <v>2</v>
      </c>
      <c r="G392" t="s">
        <v>1618</v>
      </c>
      <c r="K392" t="s">
        <v>1625</v>
      </c>
    </row>
    <row r="393" spans="1:11" x14ac:dyDescent="0.25">
      <c r="A393" t="s">
        <v>2140</v>
      </c>
      <c r="B393" t="s">
        <v>770</v>
      </c>
      <c r="C393" t="s">
        <v>65</v>
      </c>
      <c r="D393" t="s">
        <v>160</v>
      </c>
      <c r="E393" t="s">
        <v>1953</v>
      </c>
      <c r="F393">
        <v>2</v>
      </c>
      <c r="G393" t="s">
        <v>1618</v>
      </c>
      <c r="K393" t="s">
        <v>1619</v>
      </c>
    </row>
    <row r="394" spans="1:11" x14ac:dyDescent="0.25">
      <c r="A394" t="s">
        <v>2141</v>
      </c>
      <c r="B394" t="s">
        <v>771</v>
      </c>
      <c r="C394" t="s">
        <v>43</v>
      </c>
      <c r="D394" t="s">
        <v>158</v>
      </c>
      <c r="E394" t="s">
        <v>30</v>
      </c>
      <c r="F394">
        <v>7</v>
      </c>
      <c r="G394" t="s">
        <v>1692</v>
      </c>
      <c r="H394">
        <v>69</v>
      </c>
      <c r="I394">
        <v>87</v>
      </c>
      <c r="J394">
        <v>23</v>
      </c>
      <c r="K394" t="s">
        <v>1693</v>
      </c>
    </row>
    <row r="395" spans="1:11" x14ac:dyDescent="0.25">
      <c r="A395" t="s">
        <v>2142</v>
      </c>
      <c r="B395" t="s">
        <v>772</v>
      </c>
      <c r="C395" t="s">
        <v>97</v>
      </c>
      <c r="D395" t="s">
        <v>158</v>
      </c>
      <c r="E395" t="s">
        <v>75</v>
      </c>
      <c r="F395">
        <v>3</v>
      </c>
      <c r="G395" t="s">
        <v>1618</v>
      </c>
      <c r="H395">
        <v>67</v>
      </c>
      <c r="K395" t="s">
        <v>1622</v>
      </c>
    </row>
    <row r="396" spans="1:11" x14ac:dyDescent="0.25">
      <c r="A396" t="s">
        <v>2143</v>
      </c>
      <c r="B396" t="s">
        <v>773</v>
      </c>
      <c r="C396" t="s">
        <v>27</v>
      </c>
      <c r="D396" t="s">
        <v>147</v>
      </c>
      <c r="E396" t="s">
        <v>1691</v>
      </c>
      <c r="F396">
        <v>1</v>
      </c>
      <c r="G396" t="s">
        <v>1618</v>
      </c>
      <c r="K396" t="s">
        <v>1619</v>
      </c>
    </row>
    <row r="397" spans="1:11" x14ac:dyDescent="0.25">
      <c r="A397" t="s">
        <v>2144</v>
      </c>
      <c r="B397" t="s">
        <v>774</v>
      </c>
      <c r="C397" t="s">
        <v>90</v>
      </c>
      <c r="D397" t="s">
        <v>160</v>
      </c>
      <c r="E397" t="s">
        <v>1801</v>
      </c>
      <c r="F397">
        <v>3</v>
      </c>
      <c r="G397" t="s">
        <v>1618</v>
      </c>
      <c r="H397">
        <v>65</v>
      </c>
      <c r="K397" t="s">
        <v>1622</v>
      </c>
    </row>
    <row r="398" spans="1:11" x14ac:dyDescent="0.25">
      <c r="A398" t="s">
        <v>2145</v>
      </c>
      <c r="B398" t="s">
        <v>775</v>
      </c>
      <c r="C398" t="s">
        <v>113</v>
      </c>
      <c r="D398" t="s">
        <v>160</v>
      </c>
      <c r="E398" t="s">
        <v>1632</v>
      </c>
      <c r="F398">
        <v>3</v>
      </c>
      <c r="G398" t="s">
        <v>1618</v>
      </c>
      <c r="H398">
        <v>80</v>
      </c>
      <c r="K398" t="s">
        <v>1622</v>
      </c>
    </row>
    <row r="399" spans="1:11" x14ac:dyDescent="0.25">
      <c r="A399" t="s">
        <v>2146</v>
      </c>
      <c r="B399" t="s">
        <v>777</v>
      </c>
      <c r="C399" t="s">
        <v>107</v>
      </c>
      <c r="D399" t="s">
        <v>150</v>
      </c>
      <c r="E399" t="s">
        <v>1687</v>
      </c>
      <c r="F399">
        <v>2</v>
      </c>
      <c r="G399" t="s">
        <v>1618</v>
      </c>
      <c r="K399" t="s">
        <v>1630</v>
      </c>
    </row>
    <row r="400" spans="1:11" x14ac:dyDescent="0.25">
      <c r="A400" t="s">
        <v>2147</v>
      </c>
      <c r="B400" t="s">
        <v>778</v>
      </c>
      <c r="C400" t="s">
        <v>46</v>
      </c>
      <c r="D400" t="s">
        <v>147</v>
      </c>
      <c r="E400" t="s">
        <v>1772</v>
      </c>
      <c r="F400">
        <v>3</v>
      </c>
      <c r="G400" t="s">
        <v>1618</v>
      </c>
      <c r="H400">
        <v>89</v>
      </c>
      <c r="K400" t="s">
        <v>1622</v>
      </c>
    </row>
    <row r="401" spans="1:11" x14ac:dyDescent="0.25">
      <c r="A401" t="s">
        <v>2148</v>
      </c>
      <c r="B401" t="s">
        <v>779</v>
      </c>
      <c r="C401" t="s">
        <v>79</v>
      </c>
      <c r="D401" t="s">
        <v>150</v>
      </c>
      <c r="E401" t="s">
        <v>124</v>
      </c>
      <c r="F401">
        <v>3</v>
      </c>
      <c r="G401" t="s">
        <v>1618</v>
      </c>
      <c r="H401">
        <v>77</v>
      </c>
      <c r="K401" t="s">
        <v>1622</v>
      </c>
    </row>
    <row r="402" spans="1:11" x14ac:dyDescent="0.25">
      <c r="A402" t="s">
        <v>2149</v>
      </c>
      <c r="B402" t="s">
        <v>780</v>
      </c>
      <c r="C402" t="s">
        <v>125</v>
      </c>
      <c r="D402" t="s">
        <v>153</v>
      </c>
      <c r="E402" t="s">
        <v>120</v>
      </c>
      <c r="F402">
        <v>3</v>
      </c>
      <c r="G402" t="s">
        <v>1618</v>
      </c>
      <c r="H402">
        <v>64</v>
      </c>
      <c r="K402" t="s">
        <v>1622</v>
      </c>
    </row>
    <row r="403" spans="1:11" x14ac:dyDescent="0.25">
      <c r="A403" t="s">
        <v>2150</v>
      </c>
      <c r="B403" t="s">
        <v>781</v>
      </c>
      <c r="C403" t="s">
        <v>56</v>
      </c>
      <c r="D403" t="s">
        <v>153</v>
      </c>
      <c r="E403" t="s">
        <v>1886</v>
      </c>
      <c r="F403">
        <v>2</v>
      </c>
      <c r="G403" t="s">
        <v>1618</v>
      </c>
      <c r="K403" t="s">
        <v>1630</v>
      </c>
    </row>
    <row r="404" spans="1:11" x14ac:dyDescent="0.25">
      <c r="A404" t="s">
        <v>2151</v>
      </c>
      <c r="B404" t="s">
        <v>782</v>
      </c>
      <c r="C404" t="s">
        <v>112</v>
      </c>
      <c r="D404" t="s">
        <v>150</v>
      </c>
      <c r="E404" t="s">
        <v>1824</v>
      </c>
      <c r="F404">
        <v>3</v>
      </c>
      <c r="G404" t="s">
        <v>1618</v>
      </c>
      <c r="H404">
        <v>88</v>
      </c>
      <c r="K404" t="s">
        <v>1622</v>
      </c>
    </row>
    <row r="405" spans="1:11" x14ac:dyDescent="0.25">
      <c r="A405" t="s">
        <v>2152</v>
      </c>
      <c r="B405" t="s">
        <v>783</v>
      </c>
      <c r="C405" t="s">
        <v>118</v>
      </c>
      <c r="D405" t="s">
        <v>150</v>
      </c>
      <c r="E405" t="s">
        <v>1649</v>
      </c>
      <c r="F405">
        <v>3</v>
      </c>
      <c r="G405" t="s">
        <v>1618</v>
      </c>
      <c r="H405">
        <v>67</v>
      </c>
      <c r="K405" t="s">
        <v>1622</v>
      </c>
    </row>
    <row r="406" spans="1:11" x14ac:dyDescent="0.25">
      <c r="A406" t="s">
        <v>2153</v>
      </c>
      <c r="B406" t="s">
        <v>784</v>
      </c>
      <c r="C406" t="s">
        <v>118</v>
      </c>
      <c r="D406" t="s">
        <v>150</v>
      </c>
      <c r="E406" t="s">
        <v>1687</v>
      </c>
      <c r="F406">
        <v>3</v>
      </c>
      <c r="G406" t="s">
        <v>1618</v>
      </c>
      <c r="H406">
        <v>70</v>
      </c>
      <c r="K406" t="s">
        <v>1622</v>
      </c>
    </row>
    <row r="407" spans="1:11" x14ac:dyDescent="0.25">
      <c r="A407" t="s">
        <v>2154</v>
      </c>
      <c r="B407" t="s">
        <v>785</v>
      </c>
      <c r="C407" t="s">
        <v>113</v>
      </c>
      <c r="D407" t="s">
        <v>160</v>
      </c>
      <c r="E407" t="s">
        <v>2111</v>
      </c>
      <c r="F407">
        <v>3</v>
      </c>
      <c r="G407" t="s">
        <v>1618</v>
      </c>
      <c r="H407">
        <v>65</v>
      </c>
      <c r="K407" t="s">
        <v>1622</v>
      </c>
    </row>
    <row r="408" spans="1:11" x14ac:dyDescent="0.25">
      <c r="A408" t="s">
        <v>2155</v>
      </c>
      <c r="B408" t="s">
        <v>786</v>
      </c>
      <c r="C408" t="s">
        <v>92</v>
      </c>
      <c r="D408" t="s">
        <v>156</v>
      </c>
      <c r="E408" t="s">
        <v>1726</v>
      </c>
      <c r="F408">
        <v>2</v>
      </c>
      <c r="G408" t="s">
        <v>1618</v>
      </c>
      <c r="K408" t="s">
        <v>1625</v>
      </c>
    </row>
    <row r="409" spans="1:11" x14ac:dyDescent="0.25">
      <c r="A409" t="s">
        <v>2156</v>
      </c>
      <c r="B409" t="s">
        <v>787</v>
      </c>
      <c r="C409" t="s">
        <v>59</v>
      </c>
      <c r="D409" t="s">
        <v>160</v>
      </c>
      <c r="E409" t="s">
        <v>1904</v>
      </c>
      <c r="F409">
        <v>2</v>
      </c>
      <c r="G409" t="s">
        <v>1618</v>
      </c>
      <c r="K409" t="s">
        <v>1625</v>
      </c>
    </row>
    <row r="410" spans="1:11" x14ac:dyDescent="0.25">
      <c r="A410" t="s">
        <v>2157</v>
      </c>
      <c r="B410" t="s">
        <v>788</v>
      </c>
      <c r="C410" t="s">
        <v>101</v>
      </c>
      <c r="D410" t="s">
        <v>153</v>
      </c>
      <c r="E410" t="s">
        <v>120</v>
      </c>
      <c r="F410">
        <v>1</v>
      </c>
      <c r="G410" t="s">
        <v>1618</v>
      </c>
      <c r="K410" t="s">
        <v>1619</v>
      </c>
    </row>
    <row r="411" spans="1:11" x14ac:dyDescent="0.25">
      <c r="A411" t="s">
        <v>2158</v>
      </c>
      <c r="B411" t="s">
        <v>790</v>
      </c>
      <c r="C411" t="s">
        <v>43</v>
      </c>
      <c r="D411" t="s">
        <v>158</v>
      </c>
      <c r="E411" t="s">
        <v>1701</v>
      </c>
      <c r="F411">
        <v>2</v>
      </c>
      <c r="G411" t="s">
        <v>1618</v>
      </c>
      <c r="K411" t="s">
        <v>1630</v>
      </c>
    </row>
    <row r="412" spans="1:11" x14ac:dyDescent="0.25">
      <c r="A412" t="s">
        <v>2159</v>
      </c>
      <c r="B412" t="s">
        <v>792</v>
      </c>
      <c r="C412" t="s">
        <v>85</v>
      </c>
      <c r="D412" t="s">
        <v>145</v>
      </c>
      <c r="E412" t="s">
        <v>1857</v>
      </c>
      <c r="F412">
        <v>7</v>
      </c>
      <c r="G412" t="s">
        <v>1692</v>
      </c>
      <c r="H412">
        <v>81</v>
      </c>
      <c r="I412">
        <v>77</v>
      </c>
      <c r="J412">
        <v>26</v>
      </c>
      <c r="K412" t="s">
        <v>1693</v>
      </c>
    </row>
    <row r="413" spans="1:11" x14ac:dyDescent="0.25">
      <c r="A413" t="s">
        <v>2160</v>
      </c>
      <c r="B413" t="s">
        <v>793</v>
      </c>
      <c r="C413" t="s">
        <v>14</v>
      </c>
      <c r="D413" t="s">
        <v>158</v>
      </c>
      <c r="E413" t="s">
        <v>1812</v>
      </c>
      <c r="F413">
        <v>1</v>
      </c>
      <c r="G413" t="s">
        <v>1618</v>
      </c>
      <c r="K413" t="s">
        <v>1625</v>
      </c>
    </row>
    <row r="414" spans="1:11" x14ac:dyDescent="0.25">
      <c r="A414" t="s">
        <v>2161</v>
      </c>
      <c r="B414" t="s">
        <v>795</v>
      </c>
      <c r="C414" t="s">
        <v>90</v>
      </c>
      <c r="D414" t="s">
        <v>145</v>
      </c>
      <c r="E414" t="s">
        <v>1667</v>
      </c>
      <c r="F414">
        <v>2</v>
      </c>
      <c r="G414" t="s">
        <v>1618</v>
      </c>
      <c r="K414" t="s">
        <v>1630</v>
      </c>
    </row>
    <row r="415" spans="1:11" x14ac:dyDescent="0.25">
      <c r="A415" t="s">
        <v>2162</v>
      </c>
      <c r="B415" t="s">
        <v>797</v>
      </c>
      <c r="C415" t="s">
        <v>79</v>
      </c>
      <c r="D415" t="s">
        <v>150</v>
      </c>
      <c r="E415" t="s">
        <v>1709</v>
      </c>
      <c r="F415">
        <v>3</v>
      </c>
      <c r="G415" t="s">
        <v>1618</v>
      </c>
      <c r="H415">
        <v>61</v>
      </c>
      <c r="K415" t="s">
        <v>1622</v>
      </c>
    </row>
    <row r="416" spans="1:11" x14ac:dyDescent="0.25">
      <c r="A416" t="s">
        <v>2163</v>
      </c>
      <c r="B416" t="s">
        <v>798</v>
      </c>
      <c r="C416" t="s">
        <v>43</v>
      </c>
      <c r="D416" t="s">
        <v>142</v>
      </c>
      <c r="E416" t="s">
        <v>120</v>
      </c>
      <c r="F416">
        <v>3</v>
      </c>
      <c r="G416" t="s">
        <v>1618</v>
      </c>
      <c r="H416">
        <v>55</v>
      </c>
      <c r="K416" t="s">
        <v>1622</v>
      </c>
    </row>
    <row r="417" spans="1:11" x14ac:dyDescent="0.25">
      <c r="A417" t="s">
        <v>2164</v>
      </c>
      <c r="B417" t="s">
        <v>799</v>
      </c>
      <c r="C417" t="s">
        <v>112</v>
      </c>
      <c r="D417" t="s">
        <v>150</v>
      </c>
      <c r="E417" t="s">
        <v>1649</v>
      </c>
      <c r="F417">
        <v>3</v>
      </c>
      <c r="G417" t="s">
        <v>1618</v>
      </c>
      <c r="H417">
        <v>60</v>
      </c>
      <c r="K417" t="s">
        <v>1622</v>
      </c>
    </row>
    <row r="418" spans="1:11" x14ac:dyDescent="0.25">
      <c r="A418" t="s">
        <v>2165</v>
      </c>
      <c r="B418" t="s">
        <v>801</v>
      </c>
      <c r="C418" t="s">
        <v>20</v>
      </c>
      <c r="D418" t="s">
        <v>158</v>
      </c>
      <c r="E418" t="s">
        <v>1948</v>
      </c>
      <c r="F418">
        <v>3</v>
      </c>
      <c r="G418" t="s">
        <v>1618</v>
      </c>
      <c r="H418">
        <v>54</v>
      </c>
      <c r="K418" t="s">
        <v>1622</v>
      </c>
    </row>
    <row r="419" spans="1:11" x14ac:dyDescent="0.25">
      <c r="A419" t="s">
        <v>2166</v>
      </c>
      <c r="B419" t="s">
        <v>802</v>
      </c>
      <c r="C419" t="s">
        <v>113</v>
      </c>
      <c r="D419" t="s">
        <v>145</v>
      </c>
      <c r="E419" t="s">
        <v>2042</v>
      </c>
      <c r="F419">
        <v>3</v>
      </c>
      <c r="G419" t="s">
        <v>1618</v>
      </c>
      <c r="H419">
        <v>57</v>
      </c>
      <c r="K419" t="s">
        <v>1622</v>
      </c>
    </row>
    <row r="420" spans="1:11" x14ac:dyDescent="0.25">
      <c r="A420" t="s">
        <v>2167</v>
      </c>
      <c r="B420" t="s">
        <v>804</v>
      </c>
      <c r="C420" t="s">
        <v>105</v>
      </c>
      <c r="D420" t="s">
        <v>158</v>
      </c>
      <c r="E420" t="s">
        <v>1741</v>
      </c>
      <c r="F420">
        <v>3</v>
      </c>
      <c r="G420" t="s">
        <v>1618</v>
      </c>
      <c r="H420">
        <v>82</v>
      </c>
      <c r="K420" t="s">
        <v>1622</v>
      </c>
    </row>
    <row r="421" spans="1:11" x14ac:dyDescent="0.25">
      <c r="A421" t="s">
        <v>2168</v>
      </c>
      <c r="B421" t="s">
        <v>805</v>
      </c>
      <c r="C421" t="s">
        <v>127</v>
      </c>
      <c r="D421" t="s">
        <v>145</v>
      </c>
      <c r="E421" t="s">
        <v>2169</v>
      </c>
      <c r="F421">
        <v>3</v>
      </c>
      <c r="G421" t="s">
        <v>1618</v>
      </c>
      <c r="H421">
        <v>67</v>
      </c>
      <c r="K421" t="s">
        <v>1622</v>
      </c>
    </row>
    <row r="422" spans="1:11" x14ac:dyDescent="0.25">
      <c r="A422" t="s">
        <v>2170</v>
      </c>
      <c r="B422" t="s">
        <v>806</v>
      </c>
      <c r="C422" t="s">
        <v>39</v>
      </c>
      <c r="D422" t="s">
        <v>145</v>
      </c>
      <c r="E422" t="s">
        <v>1699</v>
      </c>
      <c r="F422">
        <v>2</v>
      </c>
      <c r="G422" t="s">
        <v>1618</v>
      </c>
      <c r="K422" t="s">
        <v>1630</v>
      </c>
    </row>
    <row r="423" spans="1:11" x14ac:dyDescent="0.25">
      <c r="A423" t="s">
        <v>2171</v>
      </c>
      <c r="B423" t="s">
        <v>807</v>
      </c>
      <c r="C423" t="s">
        <v>90</v>
      </c>
      <c r="D423" t="s">
        <v>160</v>
      </c>
      <c r="E423" t="s">
        <v>1917</v>
      </c>
      <c r="F423">
        <v>1</v>
      </c>
      <c r="G423" t="s">
        <v>1618</v>
      </c>
      <c r="K423" t="s">
        <v>1630</v>
      </c>
    </row>
    <row r="424" spans="1:11" x14ac:dyDescent="0.25">
      <c r="A424" t="s">
        <v>2172</v>
      </c>
      <c r="B424" t="s">
        <v>808</v>
      </c>
      <c r="C424" t="s">
        <v>83</v>
      </c>
      <c r="D424" t="s">
        <v>158</v>
      </c>
      <c r="E424" t="s">
        <v>38</v>
      </c>
      <c r="F424">
        <v>2</v>
      </c>
      <c r="G424" t="s">
        <v>1618</v>
      </c>
      <c r="K424" t="s">
        <v>1625</v>
      </c>
    </row>
    <row r="425" spans="1:11" x14ac:dyDescent="0.25">
      <c r="A425" t="s">
        <v>2173</v>
      </c>
      <c r="B425" t="s">
        <v>809</v>
      </c>
      <c r="C425" t="s">
        <v>103</v>
      </c>
      <c r="D425" t="s">
        <v>153</v>
      </c>
      <c r="E425" t="s">
        <v>1657</v>
      </c>
      <c r="F425">
        <v>3</v>
      </c>
      <c r="G425" t="s">
        <v>1618</v>
      </c>
      <c r="H425">
        <v>62</v>
      </c>
      <c r="K425" t="s">
        <v>1622</v>
      </c>
    </row>
    <row r="426" spans="1:11" x14ac:dyDescent="0.25">
      <c r="A426" t="s">
        <v>2174</v>
      </c>
      <c r="B426" t="s">
        <v>810</v>
      </c>
      <c r="C426" t="s">
        <v>134</v>
      </c>
      <c r="D426" t="s">
        <v>150</v>
      </c>
      <c r="E426" t="s">
        <v>1685</v>
      </c>
      <c r="F426">
        <v>2</v>
      </c>
      <c r="G426" t="s">
        <v>1618</v>
      </c>
      <c r="K426" t="s">
        <v>1630</v>
      </c>
    </row>
    <row r="427" spans="1:11" x14ac:dyDescent="0.25">
      <c r="A427" t="s">
        <v>2175</v>
      </c>
      <c r="B427" t="s">
        <v>811</v>
      </c>
      <c r="C427" t="s">
        <v>31</v>
      </c>
      <c r="D427" t="s">
        <v>160</v>
      </c>
      <c r="E427" t="s">
        <v>1687</v>
      </c>
      <c r="F427">
        <v>4</v>
      </c>
      <c r="G427" t="s">
        <v>1618</v>
      </c>
      <c r="H427">
        <v>78</v>
      </c>
      <c r="I427">
        <v>78</v>
      </c>
      <c r="K427" t="s">
        <v>1659</v>
      </c>
    </row>
    <row r="428" spans="1:11" x14ac:dyDescent="0.25">
      <c r="A428" t="s">
        <v>2176</v>
      </c>
      <c r="B428" t="s">
        <v>812</v>
      </c>
      <c r="C428" t="s">
        <v>112</v>
      </c>
      <c r="D428" t="s">
        <v>150</v>
      </c>
      <c r="E428" t="s">
        <v>1886</v>
      </c>
      <c r="F428">
        <v>2</v>
      </c>
      <c r="G428" t="s">
        <v>1618</v>
      </c>
      <c r="K428" t="s">
        <v>1630</v>
      </c>
    </row>
    <row r="429" spans="1:11" x14ac:dyDescent="0.25">
      <c r="A429" t="s">
        <v>2177</v>
      </c>
      <c r="B429" t="s">
        <v>813</v>
      </c>
      <c r="C429" t="s">
        <v>132</v>
      </c>
      <c r="D429" t="s">
        <v>153</v>
      </c>
      <c r="E429" t="s">
        <v>1651</v>
      </c>
      <c r="F429">
        <v>7</v>
      </c>
      <c r="G429" t="s">
        <v>1692</v>
      </c>
      <c r="H429">
        <v>90</v>
      </c>
      <c r="I429">
        <v>83</v>
      </c>
      <c r="J429">
        <v>24</v>
      </c>
      <c r="K429" t="s">
        <v>1693</v>
      </c>
    </row>
    <row r="430" spans="1:11" x14ac:dyDescent="0.25">
      <c r="A430" t="s">
        <v>2178</v>
      </c>
      <c r="B430" t="s">
        <v>814</v>
      </c>
      <c r="C430" t="s">
        <v>49</v>
      </c>
      <c r="D430" t="s">
        <v>158</v>
      </c>
      <c r="E430" t="s">
        <v>2003</v>
      </c>
      <c r="F430">
        <v>4</v>
      </c>
      <c r="G430" t="s">
        <v>1618</v>
      </c>
      <c r="H430">
        <v>96</v>
      </c>
      <c r="I430">
        <v>79</v>
      </c>
      <c r="K430" t="s">
        <v>1659</v>
      </c>
    </row>
    <row r="431" spans="1:11" x14ac:dyDescent="0.25">
      <c r="A431" t="s">
        <v>2179</v>
      </c>
      <c r="B431" t="s">
        <v>815</v>
      </c>
      <c r="C431" t="s">
        <v>31</v>
      </c>
      <c r="D431" t="s">
        <v>145</v>
      </c>
      <c r="E431" t="s">
        <v>30</v>
      </c>
      <c r="F431">
        <v>5</v>
      </c>
      <c r="G431" t="s">
        <v>1618</v>
      </c>
      <c r="H431">
        <v>72</v>
      </c>
      <c r="I431">
        <v>77</v>
      </c>
      <c r="K431" t="s">
        <v>1635</v>
      </c>
    </row>
    <row r="432" spans="1:11" x14ac:dyDescent="0.25">
      <c r="A432" t="s">
        <v>2180</v>
      </c>
      <c r="B432" t="s">
        <v>816</v>
      </c>
      <c r="C432" t="s">
        <v>105</v>
      </c>
      <c r="D432" t="s">
        <v>142</v>
      </c>
      <c r="E432" t="s">
        <v>1904</v>
      </c>
      <c r="F432">
        <v>3</v>
      </c>
      <c r="G432" t="s">
        <v>1618</v>
      </c>
      <c r="H432">
        <v>42</v>
      </c>
      <c r="K432" t="s">
        <v>1622</v>
      </c>
    </row>
    <row r="433" spans="1:11" x14ac:dyDescent="0.25">
      <c r="A433" t="s">
        <v>2181</v>
      </c>
      <c r="B433" t="s">
        <v>817</v>
      </c>
      <c r="C433" t="s">
        <v>43</v>
      </c>
      <c r="D433" t="s">
        <v>142</v>
      </c>
      <c r="E433" t="s">
        <v>1704</v>
      </c>
      <c r="F433">
        <v>2</v>
      </c>
      <c r="G433" t="s">
        <v>1618</v>
      </c>
      <c r="K433" t="s">
        <v>1625</v>
      </c>
    </row>
    <row r="434" spans="1:11" x14ac:dyDescent="0.25">
      <c r="A434" t="s">
        <v>2182</v>
      </c>
      <c r="B434" t="s">
        <v>819</v>
      </c>
      <c r="C434" t="s">
        <v>101</v>
      </c>
      <c r="D434" t="s">
        <v>153</v>
      </c>
      <c r="E434" t="s">
        <v>22</v>
      </c>
      <c r="F434">
        <v>2</v>
      </c>
      <c r="G434" t="s">
        <v>1618</v>
      </c>
      <c r="K434" t="s">
        <v>1619</v>
      </c>
    </row>
    <row r="435" spans="1:11" x14ac:dyDescent="0.25">
      <c r="A435" t="s">
        <v>2183</v>
      </c>
      <c r="B435" t="s">
        <v>820</v>
      </c>
      <c r="C435" t="s">
        <v>134</v>
      </c>
      <c r="D435" t="s">
        <v>150</v>
      </c>
      <c r="E435" t="s">
        <v>1807</v>
      </c>
      <c r="F435">
        <v>2</v>
      </c>
      <c r="G435" t="s">
        <v>1618</v>
      </c>
      <c r="K435" t="s">
        <v>1619</v>
      </c>
    </row>
    <row r="436" spans="1:11" x14ac:dyDescent="0.25">
      <c r="A436" t="s">
        <v>2184</v>
      </c>
      <c r="B436" t="s">
        <v>821</v>
      </c>
      <c r="C436" t="s">
        <v>123</v>
      </c>
      <c r="D436" t="s">
        <v>160</v>
      </c>
      <c r="E436" t="s">
        <v>1828</v>
      </c>
      <c r="F436">
        <v>1</v>
      </c>
      <c r="G436" t="s">
        <v>1618</v>
      </c>
      <c r="K436" t="s">
        <v>1619</v>
      </c>
    </row>
    <row r="437" spans="1:11" x14ac:dyDescent="0.25">
      <c r="A437" t="s">
        <v>2185</v>
      </c>
      <c r="B437" t="s">
        <v>822</v>
      </c>
      <c r="C437" t="s">
        <v>112</v>
      </c>
      <c r="D437" t="s">
        <v>150</v>
      </c>
      <c r="E437" t="s">
        <v>1833</v>
      </c>
      <c r="F437">
        <v>1</v>
      </c>
      <c r="G437" t="s">
        <v>1618</v>
      </c>
      <c r="K437" t="s">
        <v>1625</v>
      </c>
    </row>
    <row r="438" spans="1:11" x14ac:dyDescent="0.25">
      <c r="A438" t="s">
        <v>2186</v>
      </c>
      <c r="B438" t="s">
        <v>823</v>
      </c>
      <c r="C438" t="s">
        <v>60</v>
      </c>
      <c r="D438" t="s">
        <v>156</v>
      </c>
      <c r="E438" t="s">
        <v>1775</v>
      </c>
      <c r="F438">
        <v>1</v>
      </c>
      <c r="G438" t="s">
        <v>1618</v>
      </c>
      <c r="K438" t="s">
        <v>1625</v>
      </c>
    </row>
    <row r="439" spans="1:11" x14ac:dyDescent="0.25">
      <c r="A439" t="s">
        <v>2187</v>
      </c>
      <c r="B439" t="s">
        <v>824</v>
      </c>
      <c r="C439" t="s">
        <v>107</v>
      </c>
      <c r="D439" t="s">
        <v>150</v>
      </c>
      <c r="E439" t="s">
        <v>1807</v>
      </c>
      <c r="F439">
        <v>3</v>
      </c>
      <c r="G439" t="s">
        <v>1618</v>
      </c>
      <c r="H439">
        <v>68</v>
      </c>
      <c r="K439" t="s">
        <v>1622</v>
      </c>
    </row>
    <row r="440" spans="1:11" x14ac:dyDescent="0.25">
      <c r="A440" t="s">
        <v>2188</v>
      </c>
      <c r="B440" t="s">
        <v>825</v>
      </c>
      <c r="C440" t="s">
        <v>31</v>
      </c>
      <c r="D440" t="s">
        <v>160</v>
      </c>
      <c r="E440" t="s">
        <v>1685</v>
      </c>
      <c r="F440">
        <v>3</v>
      </c>
      <c r="G440" t="s">
        <v>1618</v>
      </c>
      <c r="H440">
        <v>67</v>
      </c>
      <c r="K440" t="s">
        <v>1622</v>
      </c>
    </row>
    <row r="441" spans="1:11" x14ac:dyDescent="0.25">
      <c r="A441" t="s">
        <v>2189</v>
      </c>
      <c r="B441" t="s">
        <v>826</v>
      </c>
      <c r="C441" t="s">
        <v>116</v>
      </c>
      <c r="D441" t="s">
        <v>142</v>
      </c>
      <c r="E441" t="s">
        <v>126</v>
      </c>
      <c r="F441">
        <v>2</v>
      </c>
      <c r="G441" t="s">
        <v>1618</v>
      </c>
      <c r="K441" t="s">
        <v>1630</v>
      </c>
    </row>
    <row r="442" spans="1:11" x14ac:dyDescent="0.25">
      <c r="A442" t="s">
        <v>2190</v>
      </c>
      <c r="B442" t="s">
        <v>827</v>
      </c>
      <c r="C442" t="s">
        <v>97</v>
      </c>
      <c r="D442" t="s">
        <v>158</v>
      </c>
      <c r="E442" t="s">
        <v>1676</v>
      </c>
      <c r="F442">
        <v>1</v>
      </c>
      <c r="G442" t="s">
        <v>1618</v>
      </c>
      <c r="K442" t="s">
        <v>1619</v>
      </c>
    </row>
    <row r="443" spans="1:11" x14ac:dyDescent="0.25">
      <c r="A443" t="s">
        <v>2191</v>
      </c>
      <c r="B443" t="s">
        <v>828</v>
      </c>
      <c r="C443" t="s">
        <v>92</v>
      </c>
      <c r="D443" t="s">
        <v>156</v>
      </c>
      <c r="E443" t="s">
        <v>1657</v>
      </c>
      <c r="F443">
        <v>7</v>
      </c>
      <c r="G443" t="s">
        <v>1692</v>
      </c>
      <c r="H443">
        <v>79</v>
      </c>
      <c r="I443">
        <v>81</v>
      </c>
      <c r="J443">
        <v>23</v>
      </c>
      <c r="K443" t="s">
        <v>1693</v>
      </c>
    </row>
    <row r="444" spans="1:11" x14ac:dyDescent="0.25">
      <c r="A444" t="s">
        <v>2192</v>
      </c>
      <c r="B444" t="s">
        <v>829</v>
      </c>
      <c r="C444" t="s">
        <v>121</v>
      </c>
      <c r="D444" t="s">
        <v>156</v>
      </c>
      <c r="E444" t="s">
        <v>96</v>
      </c>
      <c r="F444">
        <v>1</v>
      </c>
      <c r="G444" t="s">
        <v>1618</v>
      </c>
      <c r="K444" t="s">
        <v>1630</v>
      </c>
    </row>
    <row r="445" spans="1:11" x14ac:dyDescent="0.25">
      <c r="A445" t="s">
        <v>2193</v>
      </c>
      <c r="B445" t="s">
        <v>830</v>
      </c>
      <c r="C445" t="s">
        <v>92</v>
      </c>
      <c r="D445" t="s">
        <v>156</v>
      </c>
      <c r="E445" t="s">
        <v>75</v>
      </c>
      <c r="F445">
        <v>7</v>
      </c>
      <c r="G445" t="s">
        <v>1692</v>
      </c>
      <c r="H445">
        <v>81</v>
      </c>
      <c r="I445">
        <v>79</v>
      </c>
      <c r="J445">
        <v>22</v>
      </c>
      <c r="K445" t="s">
        <v>1693</v>
      </c>
    </row>
    <row r="446" spans="1:11" x14ac:dyDescent="0.25">
      <c r="A446" t="s">
        <v>2194</v>
      </c>
      <c r="B446" t="s">
        <v>831</v>
      </c>
      <c r="C446" t="s">
        <v>39</v>
      </c>
      <c r="D446" t="s">
        <v>145</v>
      </c>
      <c r="E446" t="s">
        <v>2195</v>
      </c>
      <c r="F446">
        <v>3</v>
      </c>
      <c r="G446" t="s">
        <v>1618</v>
      </c>
      <c r="H446">
        <v>72</v>
      </c>
      <c r="K446" t="s">
        <v>1622</v>
      </c>
    </row>
    <row r="447" spans="1:11" x14ac:dyDescent="0.25">
      <c r="A447" t="s">
        <v>2196</v>
      </c>
      <c r="B447" t="s">
        <v>832</v>
      </c>
      <c r="C447" t="s">
        <v>20</v>
      </c>
      <c r="D447" t="s">
        <v>142</v>
      </c>
      <c r="E447" t="s">
        <v>1689</v>
      </c>
      <c r="F447">
        <v>7</v>
      </c>
      <c r="G447" t="s">
        <v>1692</v>
      </c>
      <c r="H447">
        <v>80</v>
      </c>
      <c r="I447">
        <v>89</v>
      </c>
      <c r="J447">
        <v>16</v>
      </c>
      <c r="K447" t="s">
        <v>1693</v>
      </c>
    </row>
    <row r="448" spans="1:11" x14ac:dyDescent="0.25">
      <c r="A448" t="s">
        <v>2197</v>
      </c>
      <c r="B448" t="s">
        <v>833</v>
      </c>
      <c r="C448" t="s">
        <v>107</v>
      </c>
      <c r="D448" t="s">
        <v>150</v>
      </c>
      <c r="E448" t="s">
        <v>1785</v>
      </c>
      <c r="F448">
        <v>2</v>
      </c>
      <c r="G448" t="s">
        <v>1618</v>
      </c>
      <c r="K448" t="s">
        <v>1625</v>
      </c>
    </row>
    <row r="449" spans="1:11" x14ac:dyDescent="0.25">
      <c r="A449" t="s">
        <v>2198</v>
      </c>
      <c r="B449" t="s">
        <v>834</v>
      </c>
      <c r="C449" t="s">
        <v>87</v>
      </c>
      <c r="D449" t="s">
        <v>160</v>
      </c>
      <c r="E449" t="s">
        <v>1751</v>
      </c>
      <c r="F449">
        <v>2</v>
      </c>
      <c r="G449" t="s">
        <v>1618</v>
      </c>
      <c r="K449" t="s">
        <v>1619</v>
      </c>
    </row>
    <row r="450" spans="1:11" x14ac:dyDescent="0.25">
      <c r="A450" t="s">
        <v>2199</v>
      </c>
      <c r="B450" t="s">
        <v>835</v>
      </c>
      <c r="C450" t="s">
        <v>43</v>
      </c>
      <c r="D450" t="s">
        <v>158</v>
      </c>
      <c r="E450" t="s">
        <v>38</v>
      </c>
      <c r="F450">
        <v>2</v>
      </c>
      <c r="G450" t="s">
        <v>1618</v>
      </c>
      <c r="K450" t="s">
        <v>1619</v>
      </c>
    </row>
    <row r="451" spans="1:11" x14ac:dyDescent="0.25">
      <c r="A451" t="s">
        <v>2200</v>
      </c>
      <c r="B451" t="s">
        <v>836</v>
      </c>
      <c r="C451" t="s">
        <v>8</v>
      </c>
      <c r="D451" t="s">
        <v>160</v>
      </c>
      <c r="E451" t="s">
        <v>1724</v>
      </c>
      <c r="F451">
        <v>3</v>
      </c>
      <c r="G451" t="s">
        <v>1618</v>
      </c>
      <c r="H451">
        <v>52</v>
      </c>
      <c r="K451" t="s">
        <v>1622</v>
      </c>
    </row>
    <row r="452" spans="1:11" x14ac:dyDescent="0.25">
      <c r="A452" t="s">
        <v>2201</v>
      </c>
      <c r="B452" t="s">
        <v>837</v>
      </c>
      <c r="C452" t="s">
        <v>76</v>
      </c>
      <c r="D452" t="s">
        <v>153</v>
      </c>
      <c r="E452" t="s">
        <v>1862</v>
      </c>
      <c r="F452">
        <v>3</v>
      </c>
      <c r="G452" t="s">
        <v>1618</v>
      </c>
      <c r="H452">
        <v>59</v>
      </c>
      <c r="K452" t="s">
        <v>1622</v>
      </c>
    </row>
    <row r="453" spans="1:11" x14ac:dyDescent="0.25">
      <c r="A453" t="s">
        <v>2202</v>
      </c>
      <c r="B453" t="s">
        <v>838</v>
      </c>
      <c r="C453" t="s">
        <v>97</v>
      </c>
      <c r="D453" t="s">
        <v>142</v>
      </c>
      <c r="E453" t="s">
        <v>1657</v>
      </c>
      <c r="F453">
        <v>1</v>
      </c>
      <c r="G453" t="s">
        <v>1618</v>
      </c>
      <c r="K453" t="s">
        <v>1630</v>
      </c>
    </row>
    <row r="454" spans="1:11" x14ac:dyDescent="0.25">
      <c r="A454" t="s">
        <v>2203</v>
      </c>
      <c r="B454" t="s">
        <v>839</v>
      </c>
      <c r="C454" t="s">
        <v>92</v>
      </c>
      <c r="D454" t="s">
        <v>156</v>
      </c>
      <c r="E454" t="s">
        <v>64</v>
      </c>
      <c r="F454">
        <v>4</v>
      </c>
      <c r="G454" t="s">
        <v>1618</v>
      </c>
      <c r="H454">
        <v>80</v>
      </c>
      <c r="I454">
        <v>70</v>
      </c>
      <c r="K454" t="s">
        <v>1635</v>
      </c>
    </row>
    <row r="455" spans="1:11" x14ac:dyDescent="0.25">
      <c r="A455" t="s">
        <v>2204</v>
      </c>
      <c r="B455" t="s">
        <v>840</v>
      </c>
      <c r="C455" t="s">
        <v>83</v>
      </c>
      <c r="D455" t="s">
        <v>142</v>
      </c>
      <c r="E455" t="s">
        <v>1713</v>
      </c>
      <c r="F455">
        <v>3</v>
      </c>
      <c r="G455" t="s">
        <v>1618</v>
      </c>
      <c r="H455">
        <v>66</v>
      </c>
      <c r="K455" t="s">
        <v>1622</v>
      </c>
    </row>
    <row r="456" spans="1:11" x14ac:dyDescent="0.25">
      <c r="A456" t="s">
        <v>2205</v>
      </c>
      <c r="B456" t="s">
        <v>841</v>
      </c>
      <c r="C456" t="s">
        <v>83</v>
      </c>
      <c r="D456" t="s">
        <v>142</v>
      </c>
      <c r="E456" t="s">
        <v>1689</v>
      </c>
      <c r="F456">
        <v>7</v>
      </c>
      <c r="G456" t="s">
        <v>1692</v>
      </c>
      <c r="H456">
        <v>88</v>
      </c>
      <c r="I456">
        <v>96</v>
      </c>
      <c r="J456">
        <v>20</v>
      </c>
      <c r="K456" t="s">
        <v>1693</v>
      </c>
    </row>
    <row r="457" spans="1:11" x14ac:dyDescent="0.25">
      <c r="A457" t="s">
        <v>2206</v>
      </c>
      <c r="B457" t="s">
        <v>843</v>
      </c>
      <c r="C457" t="s">
        <v>130</v>
      </c>
      <c r="D457" t="s">
        <v>158</v>
      </c>
      <c r="E457" t="s">
        <v>1760</v>
      </c>
      <c r="F457">
        <v>1</v>
      </c>
      <c r="G457" t="s">
        <v>1618</v>
      </c>
      <c r="K457" t="s">
        <v>1630</v>
      </c>
    </row>
    <row r="458" spans="1:11" x14ac:dyDescent="0.25">
      <c r="A458" t="s">
        <v>2207</v>
      </c>
      <c r="B458" t="s">
        <v>844</v>
      </c>
      <c r="C458" t="s">
        <v>97</v>
      </c>
      <c r="D458" t="s">
        <v>158</v>
      </c>
      <c r="E458" t="s">
        <v>1637</v>
      </c>
      <c r="F458">
        <v>4</v>
      </c>
      <c r="G458" t="s">
        <v>1618</v>
      </c>
      <c r="H458">
        <v>85</v>
      </c>
      <c r="I458">
        <v>72</v>
      </c>
      <c r="K458" t="s">
        <v>1635</v>
      </c>
    </row>
    <row r="459" spans="1:11" x14ac:dyDescent="0.25">
      <c r="A459" t="s">
        <v>2208</v>
      </c>
      <c r="B459" t="s">
        <v>845</v>
      </c>
      <c r="C459" t="s">
        <v>20</v>
      </c>
      <c r="D459" t="s">
        <v>142</v>
      </c>
      <c r="E459" t="s">
        <v>1724</v>
      </c>
      <c r="F459">
        <v>2</v>
      </c>
      <c r="G459" t="s">
        <v>1618</v>
      </c>
      <c r="K459" t="s">
        <v>1630</v>
      </c>
    </row>
    <row r="460" spans="1:11" x14ac:dyDescent="0.25">
      <c r="A460" t="s">
        <v>2209</v>
      </c>
      <c r="B460" t="s">
        <v>847</v>
      </c>
      <c r="C460" t="s">
        <v>123</v>
      </c>
      <c r="D460" t="s">
        <v>160</v>
      </c>
      <c r="E460" t="s">
        <v>1960</v>
      </c>
      <c r="F460">
        <v>2</v>
      </c>
      <c r="G460" t="s">
        <v>1618</v>
      </c>
      <c r="K460" t="s">
        <v>1630</v>
      </c>
    </row>
    <row r="461" spans="1:11" x14ac:dyDescent="0.25">
      <c r="A461" t="s">
        <v>2210</v>
      </c>
      <c r="B461" t="s">
        <v>848</v>
      </c>
      <c r="C461" t="s">
        <v>92</v>
      </c>
      <c r="D461" t="s">
        <v>156</v>
      </c>
      <c r="E461" t="s">
        <v>1862</v>
      </c>
      <c r="F461">
        <v>4</v>
      </c>
      <c r="G461" t="s">
        <v>1618</v>
      </c>
      <c r="H461">
        <v>75</v>
      </c>
      <c r="I461">
        <v>67</v>
      </c>
      <c r="K461" t="s">
        <v>1635</v>
      </c>
    </row>
    <row r="462" spans="1:11" x14ac:dyDescent="0.25">
      <c r="A462" t="s">
        <v>2211</v>
      </c>
      <c r="B462" t="s">
        <v>849</v>
      </c>
      <c r="C462" t="s">
        <v>52</v>
      </c>
      <c r="D462" t="s">
        <v>147</v>
      </c>
      <c r="E462" t="s">
        <v>1833</v>
      </c>
      <c r="F462">
        <v>1</v>
      </c>
      <c r="G462" t="s">
        <v>1618</v>
      </c>
      <c r="K462" t="s">
        <v>1625</v>
      </c>
    </row>
    <row r="463" spans="1:11" x14ac:dyDescent="0.25">
      <c r="A463" t="s">
        <v>2212</v>
      </c>
      <c r="B463" t="s">
        <v>850</v>
      </c>
      <c r="C463" t="s">
        <v>134</v>
      </c>
      <c r="D463" t="s">
        <v>150</v>
      </c>
      <c r="E463" t="s">
        <v>1704</v>
      </c>
      <c r="F463">
        <v>1</v>
      </c>
      <c r="G463" t="s">
        <v>1618</v>
      </c>
      <c r="K463" t="s">
        <v>1619</v>
      </c>
    </row>
    <row r="464" spans="1:11" x14ac:dyDescent="0.25">
      <c r="A464" t="s">
        <v>2213</v>
      </c>
      <c r="B464" t="s">
        <v>851</v>
      </c>
      <c r="C464" t="s">
        <v>101</v>
      </c>
      <c r="D464" t="s">
        <v>153</v>
      </c>
      <c r="E464" t="s">
        <v>120</v>
      </c>
      <c r="F464">
        <v>2</v>
      </c>
      <c r="G464" t="s">
        <v>1618</v>
      </c>
      <c r="K464" t="s">
        <v>1619</v>
      </c>
    </row>
    <row r="465" spans="1:11" x14ac:dyDescent="0.25">
      <c r="A465" t="s">
        <v>2214</v>
      </c>
      <c r="B465" t="s">
        <v>852</v>
      </c>
      <c r="C465" t="s">
        <v>59</v>
      </c>
      <c r="D465" t="s">
        <v>160</v>
      </c>
      <c r="E465" t="s">
        <v>1862</v>
      </c>
      <c r="F465">
        <v>2</v>
      </c>
      <c r="G465" t="s">
        <v>1618</v>
      </c>
      <c r="K465" t="s">
        <v>1630</v>
      </c>
    </row>
    <row r="466" spans="1:11" x14ac:dyDescent="0.25">
      <c r="A466" t="s">
        <v>2215</v>
      </c>
      <c r="B466" t="s">
        <v>853</v>
      </c>
      <c r="C466" t="s">
        <v>116</v>
      </c>
      <c r="D466" t="s">
        <v>142</v>
      </c>
      <c r="E466" t="s">
        <v>2111</v>
      </c>
      <c r="F466">
        <v>3</v>
      </c>
      <c r="G466" t="s">
        <v>1618</v>
      </c>
      <c r="H466">
        <v>91</v>
      </c>
      <c r="K466" t="s">
        <v>1622</v>
      </c>
    </row>
    <row r="467" spans="1:11" x14ac:dyDescent="0.25">
      <c r="A467" t="s">
        <v>2216</v>
      </c>
      <c r="B467" t="s">
        <v>854</v>
      </c>
      <c r="C467" t="s">
        <v>37</v>
      </c>
      <c r="D467" t="s">
        <v>147</v>
      </c>
      <c r="E467" t="s">
        <v>2217</v>
      </c>
      <c r="F467">
        <v>2</v>
      </c>
      <c r="G467" t="s">
        <v>1618</v>
      </c>
      <c r="K467" t="s">
        <v>1619</v>
      </c>
    </row>
    <row r="468" spans="1:11" x14ac:dyDescent="0.25">
      <c r="A468" t="s">
        <v>2218</v>
      </c>
      <c r="B468" t="s">
        <v>855</v>
      </c>
      <c r="C468" t="s">
        <v>34</v>
      </c>
      <c r="D468" t="s">
        <v>145</v>
      </c>
      <c r="E468" t="s">
        <v>1807</v>
      </c>
      <c r="F468">
        <v>1</v>
      </c>
      <c r="G468" t="s">
        <v>1618</v>
      </c>
      <c r="K468" t="s">
        <v>1619</v>
      </c>
    </row>
    <row r="469" spans="1:11" x14ac:dyDescent="0.25">
      <c r="A469" t="s">
        <v>2219</v>
      </c>
      <c r="B469" t="s">
        <v>856</v>
      </c>
      <c r="C469" t="s">
        <v>52</v>
      </c>
      <c r="D469" t="s">
        <v>147</v>
      </c>
      <c r="E469" t="s">
        <v>1680</v>
      </c>
      <c r="F469">
        <v>3</v>
      </c>
      <c r="G469" t="s">
        <v>1618</v>
      </c>
      <c r="H469">
        <v>83</v>
      </c>
      <c r="K469" t="s">
        <v>1622</v>
      </c>
    </row>
    <row r="470" spans="1:11" x14ac:dyDescent="0.25">
      <c r="A470" t="s">
        <v>2220</v>
      </c>
      <c r="B470" t="s">
        <v>857</v>
      </c>
      <c r="C470" t="s">
        <v>121</v>
      </c>
      <c r="D470" t="s">
        <v>156</v>
      </c>
      <c r="E470" t="s">
        <v>111</v>
      </c>
      <c r="F470">
        <v>1</v>
      </c>
      <c r="G470" t="s">
        <v>1618</v>
      </c>
      <c r="K470" t="s">
        <v>1625</v>
      </c>
    </row>
    <row r="471" spans="1:11" x14ac:dyDescent="0.25">
      <c r="A471" t="s">
        <v>2221</v>
      </c>
      <c r="B471" t="s">
        <v>858</v>
      </c>
      <c r="C471" t="s">
        <v>60</v>
      </c>
      <c r="D471" t="s">
        <v>156</v>
      </c>
      <c r="E471" t="s">
        <v>111</v>
      </c>
      <c r="F471">
        <v>2</v>
      </c>
      <c r="G471" t="s">
        <v>1618</v>
      </c>
      <c r="K471" t="s">
        <v>1619</v>
      </c>
    </row>
    <row r="472" spans="1:11" x14ac:dyDescent="0.25">
      <c r="A472" t="s">
        <v>2222</v>
      </c>
      <c r="B472" t="s">
        <v>859</v>
      </c>
      <c r="C472" t="s">
        <v>69</v>
      </c>
      <c r="D472" t="s">
        <v>142</v>
      </c>
      <c r="E472" t="s">
        <v>104</v>
      </c>
      <c r="F472">
        <v>3</v>
      </c>
      <c r="G472" t="s">
        <v>1618</v>
      </c>
      <c r="H472">
        <v>93</v>
      </c>
      <c r="K472" t="s">
        <v>1622</v>
      </c>
    </row>
    <row r="473" spans="1:11" x14ac:dyDescent="0.25">
      <c r="A473" t="s">
        <v>2223</v>
      </c>
      <c r="B473" t="s">
        <v>860</v>
      </c>
      <c r="C473" t="s">
        <v>105</v>
      </c>
      <c r="D473" t="s">
        <v>158</v>
      </c>
      <c r="E473" t="s">
        <v>1728</v>
      </c>
      <c r="F473">
        <v>3</v>
      </c>
      <c r="G473" t="s">
        <v>1618</v>
      </c>
      <c r="H473">
        <v>58</v>
      </c>
      <c r="K473" t="s">
        <v>1622</v>
      </c>
    </row>
    <row r="474" spans="1:11" x14ac:dyDescent="0.25">
      <c r="A474" t="s">
        <v>2224</v>
      </c>
      <c r="B474" t="s">
        <v>861</v>
      </c>
      <c r="C474" t="s">
        <v>20</v>
      </c>
      <c r="D474" t="s">
        <v>142</v>
      </c>
      <c r="E474" t="s">
        <v>109</v>
      </c>
      <c r="F474">
        <v>3</v>
      </c>
      <c r="G474" t="s">
        <v>1618</v>
      </c>
      <c r="H474">
        <v>83</v>
      </c>
      <c r="K474" t="s">
        <v>1622</v>
      </c>
    </row>
    <row r="475" spans="1:11" x14ac:dyDescent="0.25">
      <c r="A475" t="s">
        <v>2225</v>
      </c>
      <c r="B475" t="s">
        <v>862</v>
      </c>
      <c r="C475" t="s">
        <v>8</v>
      </c>
      <c r="D475" t="s">
        <v>145</v>
      </c>
      <c r="E475" t="s">
        <v>1739</v>
      </c>
      <c r="F475">
        <v>2</v>
      </c>
      <c r="G475" t="s">
        <v>1618</v>
      </c>
      <c r="K475" t="s">
        <v>1619</v>
      </c>
    </row>
    <row r="476" spans="1:11" x14ac:dyDescent="0.25">
      <c r="A476" t="s">
        <v>2226</v>
      </c>
      <c r="B476" t="s">
        <v>863</v>
      </c>
      <c r="C476" t="s">
        <v>123</v>
      </c>
      <c r="D476" t="s">
        <v>160</v>
      </c>
      <c r="E476" t="s">
        <v>64</v>
      </c>
      <c r="F476">
        <v>2</v>
      </c>
      <c r="G476" t="s">
        <v>1618</v>
      </c>
      <c r="K476" t="s">
        <v>1619</v>
      </c>
    </row>
    <row r="477" spans="1:11" x14ac:dyDescent="0.25">
      <c r="A477" t="s">
        <v>2227</v>
      </c>
      <c r="B477" t="s">
        <v>864</v>
      </c>
      <c r="C477" t="s">
        <v>132</v>
      </c>
      <c r="D477" t="s">
        <v>153</v>
      </c>
      <c r="E477" t="s">
        <v>1785</v>
      </c>
      <c r="F477">
        <v>2</v>
      </c>
      <c r="G477" t="s">
        <v>1618</v>
      </c>
      <c r="K477" t="s">
        <v>1625</v>
      </c>
    </row>
    <row r="478" spans="1:11" x14ac:dyDescent="0.25">
      <c r="A478" t="s">
        <v>2228</v>
      </c>
      <c r="B478" t="s">
        <v>865</v>
      </c>
      <c r="C478" t="s">
        <v>127</v>
      </c>
      <c r="D478" t="s">
        <v>160</v>
      </c>
      <c r="E478" t="s">
        <v>68</v>
      </c>
      <c r="F478">
        <v>2</v>
      </c>
      <c r="G478" t="s">
        <v>1618</v>
      </c>
      <c r="K478" t="s">
        <v>1625</v>
      </c>
    </row>
    <row r="479" spans="1:11" x14ac:dyDescent="0.25">
      <c r="A479" t="s">
        <v>2229</v>
      </c>
      <c r="B479" t="s">
        <v>866</v>
      </c>
      <c r="C479" t="s">
        <v>8</v>
      </c>
      <c r="D479" t="s">
        <v>160</v>
      </c>
      <c r="E479" t="s">
        <v>2230</v>
      </c>
      <c r="F479">
        <v>2</v>
      </c>
      <c r="G479" t="s">
        <v>1618</v>
      </c>
      <c r="K479" t="s">
        <v>1625</v>
      </c>
    </row>
    <row r="480" spans="1:11" x14ac:dyDescent="0.25">
      <c r="A480" t="s">
        <v>2231</v>
      </c>
      <c r="B480" t="s">
        <v>867</v>
      </c>
      <c r="C480" t="s">
        <v>73</v>
      </c>
      <c r="D480" t="s">
        <v>153</v>
      </c>
      <c r="E480" t="s">
        <v>1621</v>
      </c>
      <c r="F480">
        <v>3</v>
      </c>
      <c r="G480" t="s">
        <v>1618</v>
      </c>
      <c r="H480">
        <v>53</v>
      </c>
      <c r="K480" t="s">
        <v>1622</v>
      </c>
    </row>
    <row r="481" spans="1:11" x14ac:dyDescent="0.25">
      <c r="A481" t="s">
        <v>2232</v>
      </c>
      <c r="B481" t="s">
        <v>868</v>
      </c>
      <c r="C481" t="s">
        <v>83</v>
      </c>
      <c r="D481" t="s">
        <v>158</v>
      </c>
      <c r="E481" t="s">
        <v>1707</v>
      </c>
      <c r="F481">
        <v>6</v>
      </c>
      <c r="G481" t="s">
        <v>1746</v>
      </c>
      <c r="H481">
        <v>84</v>
      </c>
      <c r="I481">
        <v>83</v>
      </c>
      <c r="K481" t="s">
        <v>1747</v>
      </c>
    </row>
    <row r="482" spans="1:11" x14ac:dyDescent="0.25">
      <c r="A482" t="s">
        <v>2233</v>
      </c>
      <c r="B482" t="s">
        <v>869</v>
      </c>
      <c r="C482" t="s">
        <v>113</v>
      </c>
      <c r="D482" t="s">
        <v>160</v>
      </c>
      <c r="E482" t="s">
        <v>1787</v>
      </c>
      <c r="F482">
        <v>4</v>
      </c>
      <c r="G482" t="s">
        <v>1618</v>
      </c>
      <c r="H482">
        <v>86</v>
      </c>
      <c r="I482">
        <v>84</v>
      </c>
      <c r="K482" t="s">
        <v>1659</v>
      </c>
    </row>
    <row r="483" spans="1:11" x14ac:dyDescent="0.25">
      <c r="A483" t="s">
        <v>2234</v>
      </c>
      <c r="B483" t="s">
        <v>870</v>
      </c>
      <c r="C483" t="s">
        <v>134</v>
      </c>
      <c r="D483" t="s">
        <v>150</v>
      </c>
      <c r="E483" t="s">
        <v>1739</v>
      </c>
      <c r="F483">
        <v>2</v>
      </c>
      <c r="G483" t="s">
        <v>1618</v>
      </c>
      <c r="K483" t="s">
        <v>1625</v>
      </c>
    </row>
    <row r="484" spans="1:11" x14ac:dyDescent="0.25">
      <c r="A484" t="s">
        <v>2235</v>
      </c>
      <c r="B484" t="s">
        <v>871</v>
      </c>
      <c r="C484" t="s">
        <v>46</v>
      </c>
      <c r="D484" t="s">
        <v>147</v>
      </c>
      <c r="E484" t="s">
        <v>1643</v>
      </c>
      <c r="F484">
        <v>2</v>
      </c>
      <c r="G484" t="s">
        <v>1618</v>
      </c>
      <c r="K484" t="s">
        <v>1630</v>
      </c>
    </row>
    <row r="485" spans="1:11" x14ac:dyDescent="0.25">
      <c r="A485" t="s">
        <v>2236</v>
      </c>
      <c r="B485" t="s">
        <v>873</v>
      </c>
      <c r="C485" t="s">
        <v>65</v>
      </c>
      <c r="D485" t="s">
        <v>160</v>
      </c>
      <c r="E485" t="s">
        <v>1815</v>
      </c>
      <c r="F485">
        <v>2</v>
      </c>
      <c r="G485" t="s">
        <v>1618</v>
      </c>
      <c r="K485" t="s">
        <v>1619</v>
      </c>
    </row>
    <row r="486" spans="1:11" x14ac:dyDescent="0.25">
      <c r="A486" t="s">
        <v>2237</v>
      </c>
      <c r="B486" t="s">
        <v>874</v>
      </c>
      <c r="C486" t="s">
        <v>134</v>
      </c>
      <c r="D486" t="s">
        <v>150</v>
      </c>
      <c r="E486" t="s">
        <v>70</v>
      </c>
      <c r="F486">
        <v>4</v>
      </c>
      <c r="G486" t="s">
        <v>1618</v>
      </c>
      <c r="H486">
        <v>69</v>
      </c>
      <c r="I486">
        <v>74</v>
      </c>
      <c r="K486" t="s">
        <v>1635</v>
      </c>
    </row>
    <row r="487" spans="1:11" x14ac:dyDescent="0.25">
      <c r="A487" t="s">
        <v>2238</v>
      </c>
      <c r="B487" t="s">
        <v>875</v>
      </c>
      <c r="C487" t="s">
        <v>76</v>
      </c>
      <c r="D487" t="s">
        <v>153</v>
      </c>
      <c r="E487" t="s">
        <v>1862</v>
      </c>
      <c r="F487">
        <v>3</v>
      </c>
      <c r="G487" t="s">
        <v>1618</v>
      </c>
      <c r="H487">
        <v>83</v>
      </c>
      <c r="K487" t="s">
        <v>1622</v>
      </c>
    </row>
    <row r="488" spans="1:11" x14ac:dyDescent="0.25">
      <c r="A488" t="s">
        <v>2239</v>
      </c>
      <c r="B488" t="s">
        <v>876</v>
      </c>
      <c r="C488" t="s">
        <v>97</v>
      </c>
      <c r="D488" t="s">
        <v>142</v>
      </c>
      <c r="E488" t="s">
        <v>78</v>
      </c>
      <c r="F488">
        <v>1</v>
      </c>
      <c r="G488" t="s">
        <v>1618</v>
      </c>
      <c r="K488" t="s">
        <v>1619</v>
      </c>
    </row>
    <row r="489" spans="1:11" x14ac:dyDescent="0.25">
      <c r="A489" t="s">
        <v>2240</v>
      </c>
      <c r="B489" t="s">
        <v>877</v>
      </c>
      <c r="C489" t="s">
        <v>97</v>
      </c>
      <c r="D489" t="s">
        <v>142</v>
      </c>
      <c r="E489" t="s">
        <v>68</v>
      </c>
      <c r="F489">
        <v>3</v>
      </c>
      <c r="G489" t="s">
        <v>1618</v>
      </c>
      <c r="H489">
        <v>60</v>
      </c>
      <c r="K489" t="s">
        <v>1622</v>
      </c>
    </row>
    <row r="490" spans="1:11" x14ac:dyDescent="0.25">
      <c r="A490" t="s">
        <v>2241</v>
      </c>
      <c r="B490" t="s">
        <v>879</v>
      </c>
      <c r="C490" t="s">
        <v>43</v>
      </c>
      <c r="D490" t="s">
        <v>142</v>
      </c>
      <c r="E490" t="s">
        <v>1689</v>
      </c>
      <c r="F490">
        <v>1</v>
      </c>
      <c r="G490" t="s">
        <v>1618</v>
      </c>
      <c r="K490" t="s">
        <v>1619</v>
      </c>
    </row>
    <row r="491" spans="1:11" x14ac:dyDescent="0.25">
      <c r="A491" t="s">
        <v>2242</v>
      </c>
      <c r="B491" t="s">
        <v>880</v>
      </c>
      <c r="C491" t="s">
        <v>65</v>
      </c>
      <c r="D491" t="s">
        <v>160</v>
      </c>
      <c r="E491" t="s">
        <v>1812</v>
      </c>
      <c r="F491">
        <v>2</v>
      </c>
      <c r="G491" t="s">
        <v>1618</v>
      </c>
      <c r="K491" t="s">
        <v>1630</v>
      </c>
    </row>
    <row r="492" spans="1:11" x14ac:dyDescent="0.25">
      <c r="A492" t="s">
        <v>2243</v>
      </c>
      <c r="B492" t="s">
        <v>881</v>
      </c>
      <c r="C492" t="s">
        <v>87</v>
      </c>
      <c r="D492" t="s">
        <v>145</v>
      </c>
      <c r="E492" t="s">
        <v>1624</v>
      </c>
      <c r="F492">
        <v>7</v>
      </c>
      <c r="G492" t="s">
        <v>1692</v>
      </c>
      <c r="H492">
        <v>80</v>
      </c>
      <c r="I492">
        <v>75</v>
      </c>
      <c r="J492">
        <v>22</v>
      </c>
      <c r="K492" t="s">
        <v>1693</v>
      </c>
    </row>
    <row r="493" spans="1:11" x14ac:dyDescent="0.25">
      <c r="A493" t="s">
        <v>2244</v>
      </c>
      <c r="B493" t="s">
        <v>882</v>
      </c>
      <c r="C493" t="s">
        <v>90</v>
      </c>
      <c r="D493" t="s">
        <v>145</v>
      </c>
      <c r="E493" t="s">
        <v>64</v>
      </c>
      <c r="F493">
        <v>1</v>
      </c>
      <c r="G493" t="s">
        <v>1618</v>
      </c>
      <c r="K493" t="s">
        <v>1619</v>
      </c>
    </row>
    <row r="494" spans="1:11" x14ac:dyDescent="0.25">
      <c r="A494" t="s">
        <v>2245</v>
      </c>
      <c r="B494" t="s">
        <v>883</v>
      </c>
      <c r="C494" t="s">
        <v>49</v>
      </c>
      <c r="D494" t="s">
        <v>158</v>
      </c>
      <c r="E494" t="s">
        <v>1960</v>
      </c>
      <c r="F494">
        <v>3</v>
      </c>
      <c r="G494" t="s">
        <v>1618</v>
      </c>
      <c r="H494">
        <v>59</v>
      </c>
      <c r="K494" t="s">
        <v>1622</v>
      </c>
    </row>
    <row r="495" spans="1:11" x14ac:dyDescent="0.25">
      <c r="A495" t="s">
        <v>2246</v>
      </c>
      <c r="B495" t="s">
        <v>884</v>
      </c>
      <c r="C495" t="s">
        <v>132</v>
      </c>
      <c r="D495" t="s">
        <v>153</v>
      </c>
      <c r="E495" t="s">
        <v>1915</v>
      </c>
      <c r="F495">
        <v>2</v>
      </c>
      <c r="G495" t="s">
        <v>1618</v>
      </c>
      <c r="K495" t="s">
        <v>1625</v>
      </c>
    </row>
    <row r="496" spans="1:11" x14ac:dyDescent="0.25">
      <c r="A496" t="s">
        <v>2247</v>
      </c>
      <c r="B496" t="s">
        <v>885</v>
      </c>
      <c r="C496" t="s">
        <v>46</v>
      </c>
      <c r="D496" t="s">
        <v>147</v>
      </c>
      <c r="E496" t="s">
        <v>124</v>
      </c>
      <c r="F496">
        <v>7</v>
      </c>
      <c r="G496" t="s">
        <v>1692</v>
      </c>
      <c r="H496">
        <v>69</v>
      </c>
      <c r="I496">
        <v>86</v>
      </c>
      <c r="J496">
        <v>18</v>
      </c>
      <c r="K496" t="s">
        <v>1693</v>
      </c>
    </row>
    <row r="497" spans="1:11" x14ac:dyDescent="0.25">
      <c r="A497" t="s">
        <v>2248</v>
      </c>
      <c r="B497" t="s">
        <v>886</v>
      </c>
      <c r="C497" t="s">
        <v>100</v>
      </c>
      <c r="D497" t="s">
        <v>150</v>
      </c>
      <c r="E497" t="s">
        <v>2169</v>
      </c>
      <c r="F497">
        <v>7</v>
      </c>
      <c r="G497" t="s">
        <v>1692</v>
      </c>
      <c r="H497">
        <v>84</v>
      </c>
      <c r="I497">
        <v>90</v>
      </c>
      <c r="J497">
        <v>20</v>
      </c>
      <c r="K497" t="s">
        <v>1693</v>
      </c>
    </row>
    <row r="498" spans="1:11" x14ac:dyDescent="0.25">
      <c r="A498" t="s">
        <v>2249</v>
      </c>
      <c r="B498" t="s">
        <v>887</v>
      </c>
      <c r="C498" t="s">
        <v>49</v>
      </c>
      <c r="D498" t="s">
        <v>142</v>
      </c>
      <c r="E498" t="s">
        <v>1678</v>
      </c>
      <c r="F498">
        <v>2</v>
      </c>
      <c r="G498" t="s">
        <v>1618</v>
      </c>
      <c r="K498" t="s">
        <v>1630</v>
      </c>
    </row>
    <row r="499" spans="1:11" x14ac:dyDescent="0.25">
      <c r="A499" t="s">
        <v>2250</v>
      </c>
      <c r="B499" t="s">
        <v>888</v>
      </c>
      <c r="C499" t="s">
        <v>125</v>
      </c>
      <c r="D499" t="s">
        <v>153</v>
      </c>
      <c r="E499" t="s">
        <v>1704</v>
      </c>
      <c r="F499">
        <v>2</v>
      </c>
      <c r="G499" t="s">
        <v>1618</v>
      </c>
      <c r="K499" t="s">
        <v>1630</v>
      </c>
    </row>
    <row r="500" spans="1:11" x14ac:dyDescent="0.25">
      <c r="A500" t="s">
        <v>2251</v>
      </c>
      <c r="B500" t="s">
        <v>889</v>
      </c>
      <c r="C500" t="s">
        <v>132</v>
      </c>
      <c r="D500" t="s">
        <v>153</v>
      </c>
      <c r="E500" t="s">
        <v>1764</v>
      </c>
      <c r="F500">
        <v>1</v>
      </c>
      <c r="G500" t="s">
        <v>1618</v>
      </c>
      <c r="K500" t="s">
        <v>1630</v>
      </c>
    </row>
    <row r="501" spans="1:11" x14ac:dyDescent="0.25">
      <c r="A501" t="s">
        <v>2252</v>
      </c>
      <c r="B501" t="s">
        <v>890</v>
      </c>
      <c r="C501" t="s">
        <v>101</v>
      </c>
      <c r="D501" t="s">
        <v>153</v>
      </c>
      <c r="E501" t="s">
        <v>1896</v>
      </c>
      <c r="F501">
        <v>1</v>
      </c>
      <c r="G501" t="s">
        <v>1618</v>
      </c>
      <c r="K501" t="s">
        <v>1630</v>
      </c>
    </row>
    <row r="502" spans="1:11" x14ac:dyDescent="0.25">
      <c r="A502" t="s">
        <v>2253</v>
      </c>
      <c r="B502" t="s">
        <v>891</v>
      </c>
      <c r="C502" t="s">
        <v>103</v>
      </c>
      <c r="D502" t="s">
        <v>153</v>
      </c>
      <c r="E502" t="s">
        <v>1812</v>
      </c>
      <c r="F502">
        <v>1</v>
      </c>
      <c r="G502" t="s">
        <v>1618</v>
      </c>
      <c r="K502" t="s">
        <v>1630</v>
      </c>
    </row>
    <row r="503" spans="1:11" x14ac:dyDescent="0.25">
      <c r="A503" t="s">
        <v>2254</v>
      </c>
      <c r="B503" t="s">
        <v>892</v>
      </c>
      <c r="C503" t="s">
        <v>60</v>
      </c>
      <c r="D503" t="s">
        <v>156</v>
      </c>
      <c r="E503" t="s">
        <v>1639</v>
      </c>
      <c r="F503">
        <v>4</v>
      </c>
      <c r="G503" t="s">
        <v>1618</v>
      </c>
      <c r="H503">
        <v>100</v>
      </c>
      <c r="I503">
        <v>67</v>
      </c>
      <c r="K503" t="s">
        <v>1659</v>
      </c>
    </row>
    <row r="504" spans="1:11" x14ac:dyDescent="0.25">
      <c r="A504" t="s">
        <v>2255</v>
      </c>
      <c r="B504" t="s">
        <v>893</v>
      </c>
      <c r="C504" t="s">
        <v>98</v>
      </c>
      <c r="D504" t="s">
        <v>160</v>
      </c>
      <c r="E504" t="s">
        <v>1739</v>
      </c>
      <c r="F504">
        <v>3</v>
      </c>
      <c r="G504" t="s">
        <v>1618</v>
      </c>
      <c r="H504">
        <v>65</v>
      </c>
      <c r="K504" t="s">
        <v>1622</v>
      </c>
    </row>
    <row r="505" spans="1:11" x14ac:dyDescent="0.25">
      <c r="A505" t="s">
        <v>2256</v>
      </c>
      <c r="B505" t="s">
        <v>894</v>
      </c>
      <c r="C505" t="s">
        <v>105</v>
      </c>
      <c r="D505" t="s">
        <v>158</v>
      </c>
      <c r="E505" t="s">
        <v>1711</v>
      </c>
      <c r="F505">
        <v>1</v>
      </c>
      <c r="G505" t="s">
        <v>1618</v>
      </c>
      <c r="K505" t="s">
        <v>1630</v>
      </c>
    </row>
    <row r="506" spans="1:11" x14ac:dyDescent="0.25">
      <c r="A506" t="s">
        <v>2257</v>
      </c>
      <c r="B506" t="s">
        <v>895</v>
      </c>
      <c r="C506" t="s">
        <v>107</v>
      </c>
      <c r="D506" t="s">
        <v>150</v>
      </c>
      <c r="E506" t="s">
        <v>2230</v>
      </c>
      <c r="F506">
        <v>1</v>
      </c>
      <c r="G506" t="s">
        <v>1618</v>
      </c>
      <c r="K506" t="s">
        <v>1630</v>
      </c>
    </row>
    <row r="507" spans="1:11" x14ac:dyDescent="0.25">
      <c r="A507" t="s">
        <v>2258</v>
      </c>
      <c r="B507" t="s">
        <v>896</v>
      </c>
      <c r="C507" t="s">
        <v>123</v>
      </c>
      <c r="D507" t="s">
        <v>160</v>
      </c>
      <c r="E507" t="s">
        <v>2032</v>
      </c>
      <c r="F507">
        <v>3</v>
      </c>
      <c r="G507" t="s">
        <v>1618</v>
      </c>
      <c r="H507">
        <v>74</v>
      </c>
      <c r="K507" t="s">
        <v>1622</v>
      </c>
    </row>
    <row r="508" spans="1:11" x14ac:dyDescent="0.25">
      <c r="A508" t="s">
        <v>2259</v>
      </c>
      <c r="B508" t="s">
        <v>897</v>
      </c>
      <c r="C508" t="s">
        <v>105</v>
      </c>
      <c r="D508" t="s">
        <v>158</v>
      </c>
      <c r="E508" t="s">
        <v>75</v>
      </c>
      <c r="F508">
        <v>1</v>
      </c>
      <c r="G508" t="s">
        <v>1618</v>
      </c>
      <c r="K508" t="s">
        <v>1619</v>
      </c>
    </row>
    <row r="509" spans="1:11" x14ac:dyDescent="0.25">
      <c r="A509" t="s">
        <v>2260</v>
      </c>
      <c r="B509" t="s">
        <v>898</v>
      </c>
      <c r="C509" t="s">
        <v>37</v>
      </c>
      <c r="D509" t="s">
        <v>147</v>
      </c>
      <c r="E509" t="s">
        <v>1948</v>
      </c>
      <c r="F509">
        <v>3</v>
      </c>
      <c r="G509" t="s">
        <v>1618</v>
      </c>
      <c r="H509">
        <v>82</v>
      </c>
      <c r="K509" t="s">
        <v>1622</v>
      </c>
    </row>
    <row r="510" spans="1:11" x14ac:dyDescent="0.25">
      <c r="A510" t="s">
        <v>2261</v>
      </c>
      <c r="B510" t="s">
        <v>899</v>
      </c>
      <c r="C510" t="s">
        <v>127</v>
      </c>
      <c r="D510" t="s">
        <v>145</v>
      </c>
      <c r="E510" t="s">
        <v>78</v>
      </c>
      <c r="F510">
        <v>2</v>
      </c>
      <c r="G510" t="s">
        <v>1618</v>
      </c>
      <c r="K510" t="s">
        <v>1625</v>
      </c>
    </row>
    <row r="511" spans="1:11" x14ac:dyDescent="0.25">
      <c r="A511" t="s">
        <v>2262</v>
      </c>
      <c r="B511" t="s">
        <v>900</v>
      </c>
      <c r="C511" t="s">
        <v>98</v>
      </c>
      <c r="D511" t="s">
        <v>145</v>
      </c>
      <c r="E511" t="s">
        <v>1785</v>
      </c>
      <c r="F511">
        <v>2</v>
      </c>
      <c r="G511" t="s">
        <v>1618</v>
      </c>
      <c r="K511" t="s">
        <v>1630</v>
      </c>
    </row>
    <row r="512" spans="1:11" x14ac:dyDescent="0.25">
      <c r="A512" t="s">
        <v>2263</v>
      </c>
      <c r="B512" t="s">
        <v>901</v>
      </c>
      <c r="C512" t="s">
        <v>97</v>
      </c>
      <c r="D512" t="s">
        <v>142</v>
      </c>
      <c r="E512" t="s">
        <v>51</v>
      </c>
      <c r="F512">
        <v>1</v>
      </c>
      <c r="G512" t="s">
        <v>1618</v>
      </c>
      <c r="K512" t="s">
        <v>1630</v>
      </c>
    </row>
    <row r="513" spans="1:11" x14ac:dyDescent="0.25">
      <c r="A513" t="s">
        <v>2264</v>
      </c>
      <c r="B513" t="s">
        <v>902</v>
      </c>
      <c r="C513" t="s">
        <v>121</v>
      </c>
      <c r="D513" t="s">
        <v>156</v>
      </c>
      <c r="E513" t="s">
        <v>1719</v>
      </c>
      <c r="F513">
        <v>1</v>
      </c>
      <c r="G513" t="s">
        <v>1618</v>
      </c>
      <c r="K513" t="s">
        <v>1625</v>
      </c>
    </row>
    <row r="514" spans="1:11" x14ac:dyDescent="0.25">
      <c r="A514" t="s">
        <v>2265</v>
      </c>
      <c r="B514" t="s">
        <v>903</v>
      </c>
      <c r="C514" t="s">
        <v>100</v>
      </c>
      <c r="D514" t="s">
        <v>150</v>
      </c>
      <c r="E514" t="s">
        <v>89</v>
      </c>
      <c r="F514">
        <v>2</v>
      </c>
      <c r="G514" t="s">
        <v>1618</v>
      </c>
      <c r="K514" t="s">
        <v>1630</v>
      </c>
    </row>
    <row r="515" spans="1:11" x14ac:dyDescent="0.25">
      <c r="A515" t="s">
        <v>2266</v>
      </c>
      <c r="B515" t="s">
        <v>904</v>
      </c>
      <c r="C515" t="s">
        <v>39</v>
      </c>
      <c r="D515" t="s">
        <v>160</v>
      </c>
      <c r="E515" t="s">
        <v>2195</v>
      </c>
      <c r="F515">
        <v>4</v>
      </c>
      <c r="G515" t="s">
        <v>1618</v>
      </c>
      <c r="H515">
        <v>85</v>
      </c>
      <c r="I515">
        <v>93</v>
      </c>
      <c r="K515" t="s">
        <v>1635</v>
      </c>
    </row>
    <row r="516" spans="1:11" x14ac:dyDescent="0.25">
      <c r="A516" t="s">
        <v>2267</v>
      </c>
      <c r="B516" t="s">
        <v>905</v>
      </c>
      <c r="C516" t="s">
        <v>71</v>
      </c>
      <c r="D516" t="s">
        <v>158</v>
      </c>
      <c r="E516" t="s">
        <v>1651</v>
      </c>
      <c r="F516">
        <v>3</v>
      </c>
      <c r="G516" t="s">
        <v>1618</v>
      </c>
      <c r="H516">
        <v>73</v>
      </c>
      <c r="K516" t="s">
        <v>1622</v>
      </c>
    </row>
    <row r="517" spans="1:11" x14ac:dyDescent="0.25">
      <c r="A517" t="s">
        <v>2268</v>
      </c>
      <c r="B517" t="s">
        <v>906</v>
      </c>
      <c r="C517" t="s">
        <v>132</v>
      </c>
      <c r="D517" t="s">
        <v>153</v>
      </c>
      <c r="E517" t="s">
        <v>1724</v>
      </c>
      <c r="F517">
        <v>6</v>
      </c>
      <c r="G517" t="s">
        <v>1746</v>
      </c>
      <c r="H517">
        <v>98</v>
      </c>
      <c r="I517">
        <v>80</v>
      </c>
      <c r="K517" t="s">
        <v>1747</v>
      </c>
    </row>
    <row r="518" spans="1:11" x14ac:dyDescent="0.25">
      <c r="A518" t="s">
        <v>2269</v>
      </c>
      <c r="B518" t="s">
        <v>907</v>
      </c>
      <c r="C518" t="s">
        <v>79</v>
      </c>
      <c r="D518" t="s">
        <v>150</v>
      </c>
      <c r="E518" t="s">
        <v>1719</v>
      </c>
      <c r="F518">
        <v>7</v>
      </c>
      <c r="G518" t="s">
        <v>1692</v>
      </c>
      <c r="H518">
        <v>78</v>
      </c>
      <c r="I518">
        <v>82</v>
      </c>
      <c r="J518">
        <v>26</v>
      </c>
      <c r="K518" t="s">
        <v>1693</v>
      </c>
    </row>
    <row r="519" spans="1:11" x14ac:dyDescent="0.25">
      <c r="A519" t="s">
        <v>2270</v>
      </c>
      <c r="B519" t="s">
        <v>908</v>
      </c>
      <c r="C519" t="s">
        <v>136</v>
      </c>
      <c r="D519" t="s">
        <v>142</v>
      </c>
      <c r="E519" t="s">
        <v>1879</v>
      </c>
      <c r="F519">
        <v>1</v>
      </c>
      <c r="G519" t="s">
        <v>1618</v>
      </c>
      <c r="K519" t="s">
        <v>1619</v>
      </c>
    </row>
    <row r="520" spans="1:11" x14ac:dyDescent="0.25">
      <c r="A520" t="s">
        <v>2271</v>
      </c>
      <c r="B520" t="s">
        <v>909</v>
      </c>
      <c r="C520" t="s">
        <v>69</v>
      </c>
      <c r="D520" t="s">
        <v>158</v>
      </c>
      <c r="E520" t="s">
        <v>2017</v>
      </c>
      <c r="F520">
        <v>1</v>
      </c>
      <c r="G520" t="s">
        <v>1618</v>
      </c>
      <c r="K520" t="s">
        <v>1625</v>
      </c>
    </row>
    <row r="521" spans="1:11" x14ac:dyDescent="0.25">
      <c r="A521" t="s">
        <v>2272</v>
      </c>
      <c r="B521" t="s">
        <v>910</v>
      </c>
      <c r="C521" t="s">
        <v>60</v>
      </c>
      <c r="D521" t="s">
        <v>156</v>
      </c>
      <c r="E521" t="s">
        <v>2273</v>
      </c>
      <c r="F521">
        <v>4</v>
      </c>
      <c r="G521" t="s">
        <v>1618</v>
      </c>
      <c r="H521">
        <v>80</v>
      </c>
      <c r="I521">
        <v>77</v>
      </c>
      <c r="K521" t="s">
        <v>1659</v>
      </c>
    </row>
    <row r="522" spans="1:11" x14ac:dyDescent="0.25">
      <c r="A522" t="s">
        <v>2274</v>
      </c>
      <c r="B522" t="s">
        <v>912</v>
      </c>
      <c r="C522" t="s">
        <v>136</v>
      </c>
      <c r="D522" t="s">
        <v>142</v>
      </c>
      <c r="E522" t="s">
        <v>1721</v>
      </c>
      <c r="F522">
        <v>4</v>
      </c>
      <c r="G522" t="s">
        <v>1618</v>
      </c>
      <c r="H522">
        <v>77</v>
      </c>
      <c r="I522">
        <v>78</v>
      </c>
      <c r="K522" t="s">
        <v>1635</v>
      </c>
    </row>
    <row r="523" spans="1:11" x14ac:dyDescent="0.25">
      <c r="A523" t="s">
        <v>2275</v>
      </c>
      <c r="B523" t="s">
        <v>913</v>
      </c>
      <c r="C523" t="s">
        <v>20</v>
      </c>
      <c r="D523" t="s">
        <v>158</v>
      </c>
      <c r="E523" t="s">
        <v>2081</v>
      </c>
      <c r="F523">
        <v>4</v>
      </c>
      <c r="G523" t="s">
        <v>1618</v>
      </c>
      <c r="H523">
        <v>76</v>
      </c>
      <c r="I523">
        <v>91</v>
      </c>
      <c r="K523" t="s">
        <v>1659</v>
      </c>
    </row>
    <row r="524" spans="1:11" x14ac:dyDescent="0.25">
      <c r="A524" t="s">
        <v>2276</v>
      </c>
      <c r="B524" t="s">
        <v>914</v>
      </c>
      <c r="C524" t="s">
        <v>23</v>
      </c>
      <c r="D524" t="s">
        <v>145</v>
      </c>
      <c r="E524" t="s">
        <v>126</v>
      </c>
      <c r="F524">
        <v>7</v>
      </c>
      <c r="G524" t="s">
        <v>1692</v>
      </c>
      <c r="H524">
        <v>70</v>
      </c>
      <c r="I524">
        <v>84</v>
      </c>
      <c r="J524">
        <v>19</v>
      </c>
      <c r="K524" t="s">
        <v>1693</v>
      </c>
    </row>
    <row r="525" spans="1:11" x14ac:dyDescent="0.25">
      <c r="A525" t="s">
        <v>2277</v>
      </c>
      <c r="B525" t="s">
        <v>915</v>
      </c>
      <c r="C525" t="s">
        <v>123</v>
      </c>
      <c r="D525" t="s">
        <v>145</v>
      </c>
      <c r="E525" t="s">
        <v>1657</v>
      </c>
      <c r="F525">
        <v>4</v>
      </c>
      <c r="G525" t="s">
        <v>1618</v>
      </c>
      <c r="H525">
        <v>69</v>
      </c>
      <c r="I525">
        <v>84</v>
      </c>
      <c r="K525" t="s">
        <v>1635</v>
      </c>
    </row>
    <row r="526" spans="1:11" x14ac:dyDescent="0.25">
      <c r="A526" t="s">
        <v>2278</v>
      </c>
      <c r="B526" t="s">
        <v>916</v>
      </c>
      <c r="C526" t="s">
        <v>113</v>
      </c>
      <c r="D526" t="s">
        <v>160</v>
      </c>
      <c r="E526" t="s">
        <v>1931</v>
      </c>
      <c r="F526">
        <v>4</v>
      </c>
      <c r="G526" t="s">
        <v>1618</v>
      </c>
      <c r="H526">
        <v>74</v>
      </c>
      <c r="I526">
        <v>63</v>
      </c>
      <c r="K526" t="s">
        <v>1635</v>
      </c>
    </row>
    <row r="527" spans="1:11" x14ac:dyDescent="0.25">
      <c r="A527" t="s">
        <v>2279</v>
      </c>
      <c r="B527" t="s">
        <v>917</v>
      </c>
      <c r="C527" t="s">
        <v>100</v>
      </c>
      <c r="D527" t="s">
        <v>150</v>
      </c>
      <c r="E527" t="s">
        <v>1728</v>
      </c>
      <c r="F527">
        <v>4</v>
      </c>
      <c r="G527" t="s">
        <v>1618</v>
      </c>
      <c r="H527">
        <v>75</v>
      </c>
      <c r="I527">
        <v>69</v>
      </c>
      <c r="K527" t="s">
        <v>1659</v>
      </c>
    </row>
    <row r="528" spans="1:11" x14ac:dyDescent="0.25">
      <c r="A528" t="s">
        <v>2280</v>
      </c>
      <c r="B528" t="s">
        <v>918</v>
      </c>
      <c r="C528" t="s">
        <v>113</v>
      </c>
      <c r="D528" t="s">
        <v>160</v>
      </c>
      <c r="E528" t="s">
        <v>126</v>
      </c>
      <c r="F528">
        <v>1</v>
      </c>
      <c r="G528" t="s">
        <v>1618</v>
      </c>
      <c r="K528" t="s">
        <v>1625</v>
      </c>
    </row>
    <row r="529" spans="1:11" x14ac:dyDescent="0.25">
      <c r="A529" t="s">
        <v>2281</v>
      </c>
      <c r="B529" t="s">
        <v>919</v>
      </c>
      <c r="C529" t="s">
        <v>110</v>
      </c>
      <c r="D529" t="s">
        <v>145</v>
      </c>
      <c r="E529" t="s">
        <v>1960</v>
      </c>
      <c r="F529">
        <v>2</v>
      </c>
      <c r="G529" t="s">
        <v>1618</v>
      </c>
      <c r="K529" t="s">
        <v>1619</v>
      </c>
    </row>
    <row r="530" spans="1:11" x14ac:dyDescent="0.25">
      <c r="A530" t="s">
        <v>2282</v>
      </c>
      <c r="B530" t="s">
        <v>920</v>
      </c>
      <c r="C530" t="s">
        <v>128</v>
      </c>
      <c r="D530" t="s">
        <v>158</v>
      </c>
      <c r="E530" t="s">
        <v>1670</v>
      </c>
      <c r="F530">
        <v>3</v>
      </c>
      <c r="G530" t="s">
        <v>1618</v>
      </c>
      <c r="H530">
        <v>53</v>
      </c>
      <c r="K530" t="s">
        <v>1622</v>
      </c>
    </row>
    <row r="531" spans="1:11" x14ac:dyDescent="0.25">
      <c r="A531" t="s">
        <v>2283</v>
      </c>
      <c r="B531" t="s">
        <v>921</v>
      </c>
      <c r="C531" t="s">
        <v>59</v>
      </c>
      <c r="D531" t="s">
        <v>160</v>
      </c>
      <c r="E531" t="s">
        <v>1726</v>
      </c>
      <c r="F531">
        <v>2</v>
      </c>
      <c r="G531" t="s">
        <v>1618</v>
      </c>
      <c r="K531" t="s">
        <v>1625</v>
      </c>
    </row>
    <row r="532" spans="1:11" x14ac:dyDescent="0.25">
      <c r="A532" t="s">
        <v>2284</v>
      </c>
      <c r="B532" t="s">
        <v>922</v>
      </c>
      <c r="C532" t="s">
        <v>110</v>
      </c>
      <c r="D532" t="s">
        <v>160</v>
      </c>
      <c r="E532" t="s">
        <v>1781</v>
      </c>
      <c r="F532">
        <v>4</v>
      </c>
      <c r="G532" t="s">
        <v>1618</v>
      </c>
      <c r="H532">
        <v>76</v>
      </c>
      <c r="I532">
        <v>74</v>
      </c>
      <c r="K532" t="s">
        <v>1659</v>
      </c>
    </row>
    <row r="533" spans="1:11" x14ac:dyDescent="0.25">
      <c r="A533" t="s">
        <v>2285</v>
      </c>
      <c r="B533" t="s">
        <v>923</v>
      </c>
      <c r="C533" t="s">
        <v>113</v>
      </c>
      <c r="D533" t="s">
        <v>145</v>
      </c>
      <c r="E533" t="s">
        <v>1713</v>
      </c>
      <c r="F533">
        <v>3</v>
      </c>
      <c r="G533" t="s">
        <v>1618</v>
      </c>
      <c r="H533">
        <v>57</v>
      </c>
      <c r="K533" t="s">
        <v>1622</v>
      </c>
    </row>
    <row r="534" spans="1:11" x14ac:dyDescent="0.25">
      <c r="A534" t="s">
        <v>2286</v>
      </c>
      <c r="B534" t="s">
        <v>924</v>
      </c>
      <c r="C534" t="s">
        <v>52</v>
      </c>
      <c r="D534" t="s">
        <v>147</v>
      </c>
      <c r="E534" t="s">
        <v>99</v>
      </c>
      <c r="F534">
        <v>1</v>
      </c>
      <c r="G534" t="s">
        <v>1618</v>
      </c>
      <c r="K534" t="s">
        <v>1625</v>
      </c>
    </row>
    <row r="535" spans="1:11" x14ac:dyDescent="0.25">
      <c r="A535" t="s">
        <v>2287</v>
      </c>
      <c r="B535" t="s">
        <v>925</v>
      </c>
      <c r="C535" t="s">
        <v>65</v>
      </c>
      <c r="D535" t="s">
        <v>145</v>
      </c>
      <c r="E535" t="s">
        <v>78</v>
      </c>
      <c r="F535">
        <v>2</v>
      </c>
      <c r="G535" t="s">
        <v>1618</v>
      </c>
      <c r="K535" t="s">
        <v>1619</v>
      </c>
    </row>
    <row r="536" spans="1:11" x14ac:dyDescent="0.25">
      <c r="A536" t="s">
        <v>2288</v>
      </c>
      <c r="B536" t="s">
        <v>926</v>
      </c>
      <c r="C536" t="s">
        <v>14</v>
      </c>
      <c r="D536" t="s">
        <v>142</v>
      </c>
      <c r="E536" t="s">
        <v>86</v>
      </c>
      <c r="F536">
        <v>1</v>
      </c>
      <c r="G536" t="s">
        <v>1618</v>
      </c>
      <c r="K536" t="s">
        <v>1619</v>
      </c>
    </row>
    <row r="537" spans="1:11" x14ac:dyDescent="0.25">
      <c r="A537" t="s">
        <v>2289</v>
      </c>
      <c r="B537" t="s">
        <v>927</v>
      </c>
      <c r="C537" t="s">
        <v>73</v>
      </c>
      <c r="D537" t="s">
        <v>153</v>
      </c>
      <c r="E537" t="s">
        <v>2169</v>
      </c>
      <c r="F537">
        <v>3</v>
      </c>
      <c r="G537" t="s">
        <v>1618</v>
      </c>
      <c r="H537">
        <v>62</v>
      </c>
      <c r="K537" t="s">
        <v>1622</v>
      </c>
    </row>
    <row r="538" spans="1:11" x14ac:dyDescent="0.25">
      <c r="A538" t="s">
        <v>2290</v>
      </c>
      <c r="B538" t="s">
        <v>928</v>
      </c>
      <c r="C538" t="s">
        <v>56</v>
      </c>
      <c r="D538" t="s">
        <v>153</v>
      </c>
      <c r="E538" t="s">
        <v>22</v>
      </c>
      <c r="F538">
        <v>2</v>
      </c>
      <c r="G538" t="s">
        <v>1618</v>
      </c>
      <c r="K538" t="s">
        <v>1630</v>
      </c>
    </row>
    <row r="539" spans="1:11" x14ac:dyDescent="0.25">
      <c r="A539" t="s">
        <v>2291</v>
      </c>
      <c r="B539" t="s">
        <v>929</v>
      </c>
      <c r="C539" t="s">
        <v>97</v>
      </c>
      <c r="D539" t="s">
        <v>158</v>
      </c>
      <c r="E539" t="s">
        <v>1741</v>
      </c>
      <c r="F539">
        <v>3</v>
      </c>
      <c r="G539" t="s">
        <v>1618</v>
      </c>
      <c r="H539">
        <v>55</v>
      </c>
      <c r="K539" t="s">
        <v>1622</v>
      </c>
    </row>
    <row r="540" spans="1:11" x14ac:dyDescent="0.25">
      <c r="A540" t="s">
        <v>2292</v>
      </c>
      <c r="B540" t="s">
        <v>930</v>
      </c>
      <c r="C540" t="s">
        <v>123</v>
      </c>
      <c r="D540" t="s">
        <v>145</v>
      </c>
      <c r="E540" t="s">
        <v>111</v>
      </c>
      <c r="F540">
        <v>1</v>
      </c>
      <c r="G540" t="s">
        <v>1618</v>
      </c>
      <c r="K540" t="s">
        <v>1630</v>
      </c>
    </row>
    <row r="541" spans="1:11" x14ac:dyDescent="0.25">
      <c r="A541" t="s">
        <v>2293</v>
      </c>
      <c r="B541" t="s">
        <v>931</v>
      </c>
      <c r="C541" t="s">
        <v>110</v>
      </c>
      <c r="D541" t="s">
        <v>160</v>
      </c>
      <c r="E541" t="s">
        <v>2128</v>
      </c>
      <c r="F541">
        <v>3</v>
      </c>
      <c r="G541" t="s">
        <v>1618</v>
      </c>
      <c r="H541">
        <v>62</v>
      </c>
      <c r="K541" t="s">
        <v>1622</v>
      </c>
    </row>
    <row r="542" spans="1:11" x14ac:dyDescent="0.25">
      <c r="A542" t="s">
        <v>2294</v>
      </c>
      <c r="B542" t="s">
        <v>932</v>
      </c>
      <c r="C542" t="s">
        <v>39</v>
      </c>
      <c r="D542" t="s">
        <v>145</v>
      </c>
      <c r="E542" t="s">
        <v>1995</v>
      </c>
      <c r="F542">
        <v>3</v>
      </c>
      <c r="G542" t="s">
        <v>1618</v>
      </c>
      <c r="H542">
        <v>79</v>
      </c>
      <c r="K542" t="s">
        <v>1622</v>
      </c>
    </row>
    <row r="543" spans="1:11" x14ac:dyDescent="0.25">
      <c r="A543" t="s">
        <v>2295</v>
      </c>
      <c r="B543" t="s">
        <v>933</v>
      </c>
      <c r="C543" t="s">
        <v>130</v>
      </c>
      <c r="D543" t="s">
        <v>142</v>
      </c>
      <c r="E543" t="s">
        <v>1673</v>
      </c>
      <c r="F543">
        <v>1</v>
      </c>
      <c r="G543" t="s">
        <v>1618</v>
      </c>
      <c r="K543" t="s">
        <v>1619</v>
      </c>
    </row>
    <row r="544" spans="1:11" x14ac:dyDescent="0.25">
      <c r="A544" t="s">
        <v>2296</v>
      </c>
      <c r="B544" t="s">
        <v>934</v>
      </c>
      <c r="C544" t="s">
        <v>103</v>
      </c>
      <c r="D544" t="s">
        <v>153</v>
      </c>
      <c r="E544" t="s">
        <v>1862</v>
      </c>
      <c r="F544">
        <v>1</v>
      </c>
      <c r="G544" t="s">
        <v>1618</v>
      </c>
      <c r="K544" t="s">
        <v>1630</v>
      </c>
    </row>
    <row r="545" spans="1:11" x14ac:dyDescent="0.25">
      <c r="A545" t="s">
        <v>2297</v>
      </c>
      <c r="B545" t="s">
        <v>935</v>
      </c>
      <c r="C545" t="s">
        <v>116</v>
      </c>
      <c r="D545" t="s">
        <v>142</v>
      </c>
      <c r="E545" t="s">
        <v>2195</v>
      </c>
      <c r="F545">
        <v>1</v>
      </c>
      <c r="G545" t="s">
        <v>1618</v>
      </c>
      <c r="K545" t="s">
        <v>1619</v>
      </c>
    </row>
    <row r="546" spans="1:11" x14ac:dyDescent="0.25">
      <c r="A546" t="s">
        <v>2298</v>
      </c>
      <c r="B546" t="s">
        <v>936</v>
      </c>
      <c r="C546" t="s">
        <v>56</v>
      </c>
      <c r="D546" t="s">
        <v>153</v>
      </c>
      <c r="E546" t="s">
        <v>1697</v>
      </c>
      <c r="F546">
        <v>3</v>
      </c>
      <c r="G546" t="s">
        <v>1618</v>
      </c>
      <c r="H546">
        <v>44</v>
      </c>
      <c r="K546" t="s">
        <v>1622</v>
      </c>
    </row>
    <row r="547" spans="1:11" x14ac:dyDescent="0.25">
      <c r="A547" t="s">
        <v>2299</v>
      </c>
      <c r="B547" t="s">
        <v>937</v>
      </c>
      <c r="C547" t="s">
        <v>113</v>
      </c>
      <c r="D547" t="s">
        <v>145</v>
      </c>
      <c r="E547" t="s">
        <v>38</v>
      </c>
      <c r="F547">
        <v>4</v>
      </c>
      <c r="G547" t="s">
        <v>1618</v>
      </c>
      <c r="H547">
        <v>78</v>
      </c>
      <c r="I547">
        <v>73</v>
      </c>
      <c r="K547" t="s">
        <v>1635</v>
      </c>
    </row>
    <row r="548" spans="1:11" x14ac:dyDescent="0.25">
      <c r="A548" t="s">
        <v>2300</v>
      </c>
      <c r="B548" t="s">
        <v>939</v>
      </c>
      <c r="C548" t="s">
        <v>66</v>
      </c>
      <c r="D548" t="s">
        <v>160</v>
      </c>
      <c r="E548" t="s">
        <v>2029</v>
      </c>
      <c r="F548">
        <v>2</v>
      </c>
      <c r="G548" t="s">
        <v>1618</v>
      </c>
      <c r="K548" t="s">
        <v>1630</v>
      </c>
    </row>
    <row r="549" spans="1:11" x14ac:dyDescent="0.25">
      <c r="A549" t="s">
        <v>2301</v>
      </c>
      <c r="B549" t="s">
        <v>940</v>
      </c>
      <c r="C549" t="s">
        <v>79</v>
      </c>
      <c r="D549" t="s">
        <v>150</v>
      </c>
      <c r="E549" t="s">
        <v>68</v>
      </c>
      <c r="F549">
        <v>1</v>
      </c>
      <c r="G549" t="s">
        <v>1618</v>
      </c>
      <c r="K549" t="s">
        <v>1630</v>
      </c>
    </row>
    <row r="550" spans="1:11" x14ac:dyDescent="0.25">
      <c r="A550" t="s">
        <v>2302</v>
      </c>
      <c r="B550" t="s">
        <v>941</v>
      </c>
      <c r="C550" t="s">
        <v>103</v>
      </c>
      <c r="D550" t="s">
        <v>153</v>
      </c>
      <c r="E550" t="s">
        <v>1862</v>
      </c>
      <c r="F550">
        <v>2</v>
      </c>
      <c r="G550" t="s">
        <v>1618</v>
      </c>
      <c r="K550" t="s">
        <v>1625</v>
      </c>
    </row>
    <row r="551" spans="1:11" x14ac:dyDescent="0.25">
      <c r="A551" t="s">
        <v>2303</v>
      </c>
      <c r="B551" t="s">
        <v>942</v>
      </c>
      <c r="C551" t="s">
        <v>98</v>
      </c>
      <c r="D551" t="s">
        <v>160</v>
      </c>
      <c r="E551" t="s">
        <v>1809</v>
      </c>
      <c r="F551">
        <v>4</v>
      </c>
      <c r="G551" t="s">
        <v>1618</v>
      </c>
      <c r="H551">
        <v>85</v>
      </c>
      <c r="I551">
        <v>77</v>
      </c>
      <c r="K551" t="s">
        <v>1635</v>
      </c>
    </row>
    <row r="552" spans="1:11" x14ac:dyDescent="0.25">
      <c r="A552" t="s">
        <v>2304</v>
      </c>
      <c r="B552" t="s">
        <v>943</v>
      </c>
      <c r="C552" t="s">
        <v>23</v>
      </c>
      <c r="D552" t="s">
        <v>160</v>
      </c>
      <c r="E552" t="s">
        <v>1833</v>
      </c>
      <c r="F552">
        <v>4</v>
      </c>
      <c r="G552" t="s">
        <v>1618</v>
      </c>
      <c r="H552">
        <v>71</v>
      </c>
      <c r="I552">
        <v>87</v>
      </c>
      <c r="K552" t="s">
        <v>1659</v>
      </c>
    </row>
    <row r="553" spans="1:11" x14ac:dyDescent="0.25">
      <c r="A553" t="s">
        <v>2305</v>
      </c>
      <c r="B553" t="s">
        <v>944</v>
      </c>
      <c r="C553" t="s">
        <v>43</v>
      </c>
      <c r="D553" t="s">
        <v>142</v>
      </c>
      <c r="E553" t="s">
        <v>72</v>
      </c>
      <c r="F553">
        <v>3</v>
      </c>
      <c r="G553" t="s">
        <v>1618</v>
      </c>
      <c r="H553">
        <v>75</v>
      </c>
      <c r="K553" t="s">
        <v>1622</v>
      </c>
    </row>
    <row r="554" spans="1:11" x14ac:dyDescent="0.25">
      <c r="A554" t="s">
        <v>2306</v>
      </c>
      <c r="B554" t="s">
        <v>945</v>
      </c>
      <c r="C554" t="s">
        <v>59</v>
      </c>
      <c r="D554" t="s">
        <v>145</v>
      </c>
      <c r="E554" t="s">
        <v>64</v>
      </c>
      <c r="F554">
        <v>3</v>
      </c>
      <c r="G554" t="s">
        <v>1618</v>
      </c>
      <c r="H554">
        <v>70</v>
      </c>
      <c r="K554" t="s">
        <v>1622</v>
      </c>
    </row>
    <row r="555" spans="1:11" x14ac:dyDescent="0.25">
      <c r="A555" t="s">
        <v>2307</v>
      </c>
      <c r="B555" t="s">
        <v>946</v>
      </c>
      <c r="C555" t="s">
        <v>97</v>
      </c>
      <c r="D555" t="s">
        <v>142</v>
      </c>
      <c r="E555" t="s">
        <v>2021</v>
      </c>
      <c r="F555">
        <v>1</v>
      </c>
      <c r="G555" t="s">
        <v>1618</v>
      </c>
      <c r="K555" t="s">
        <v>1625</v>
      </c>
    </row>
    <row r="556" spans="1:11" x14ac:dyDescent="0.25">
      <c r="A556" t="s">
        <v>2308</v>
      </c>
      <c r="B556" t="s">
        <v>947</v>
      </c>
      <c r="C556" t="s">
        <v>20</v>
      </c>
      <c r="D556" t="s">
        <v>158</v>
      </c>
      <c r="E556" t="s">
        <v>1651</v>
      </c>
      <c r="F556">
        <v>7</v>
      </c>
      <c r="G556" t="s">
        <v>1692</v>
      </c>
      <c r="H556">
        <v>100</v>
      </c>
      <c r="I556">
        <v>86</v>
      </c>
      <c r="J556">
        <v>26</v>
      </c>
      <c r="K556" t="s">
        <v>1693</v>
      </c>
    </row>
    <row r="557" spans="1:11" x14ac:dyDescent="0.25">
      <c r="A557" t="s">
        <v>2309</v>
      </c>
      <c r="B557" t="s">
        <v>948</v>
      </c>
      <c r="C557" t="s">
        <v>125</v>
      </c>
      <c r="D557" t="s">
        <v>153</v>
      </c>
      <c r="E557" t="s">
        <v>133</v>
      </c>
      <c r="F557">
        <v>1</v>
      </c>
      <c r="G557" t="s">
        <v>1618</v>
      </c>
      <c r="K557" t="s">
        <v>1625</v>
      </c>
    </row>
    <row r="558" spans="1:11" x14ac:dyDescent="0.25">
      <c r="A558" t="s">
        <v>2310</v>
      </c>
      <c r="B558" t="s">
        <v>949</v>
      </c>
      <c r="C558" t="s">
        <v>43</v>
      </c>
      <c r="D558" t="s">
        <v>142</v>
      </c>
      <c r="E558" t="s">
        <v>13</v>
      </c>
      <c r="F558">
        <v>2</v>
      </c>
      <c r="G558" t="s">
        <v>1618</v>
      </c>
      <c r="K558" t="s">
        <v>1625</v>
      </c>
    </row>
    <row r="559" spans="1:11" x14ac:dyDescent="0.25">
      <c r="A559" t="s">
        <v>2311</v>
      </c>
      <c r="B559" t="s">
        <v>950</v>
      </c>
      <c r="C559" t="s">
        <v>65</v>
      </c>
      <c r="D559" t="s">
        <v>160</v>
      </c>
      <c r="E559" t="s">
        <v>1781</v>
      </c>
      <c r="F559">
        <v>1</v>
      </c>
      <c r="G559" t="s">
        <v>1618</v>
      </c>
      <c r="K559" t="s">
        <v>1619</v>
      </c>
    </row>
    <row r="560" spans="1:11" x14ac:dyDescent="0.25">
      <c r="A560" t="s">
        <v>2312</v>
      </c>
      <c r="B560" t="s">
        <v>952</v>
      </c>
      <c r="C560" t="s">
        <v>73</v>
      </c>
      <c r="D560" t="s">
        <v>153</v>
      </c>
      <c r="E560" t="s">
        <v>1657</v>
      </c>
      <c r="F560">
        <v>2</v>
      </c>
      <c r="G560" t="s">
        <v>1618</v>
      </c>
      <c r="K560" t="s">
        <v>1625</v>
      </c>
    </row>
    <row r="561" spans="1:11" x14ac:dyDescent="0.25">
      <c r="A561" t="s">
        <v>2313</v>
      </c>
      <c r="B561" t="s">
        <v>954</v>
      </c>
      <c r="C561" t="s">
        <v>49</v>
      </c>
      <c r="D561" t="s">
        <v>142</v>
      </c>
      <c r="E561" t="s">
        <v>1801</v>
      </c>
      <c r="F561">
        <v>4</v>
      </c>
      <c r="G561" t="s">
        <v>1618</v>
      </c>
      <c r="H561">
        <v>79</v>
      </c>
      <c r="I561">
        <v>94</v>
      </c>
      <c r="K561" t="s">
        <v>1635</v>
      </c>
    </row>
    <row r="562" spans="1:11" x14ac:dyDescent="0.25">
      <c r="A562" t="s">
        <v>2314</v>
      </c>
      <c r="B562" t="s">
        <v>956</v>
      </c>
      <c r="C562" t="s">
        <v>92</v>
      </c>
      <c r="D562" t="s">
        <v>156</v>
      </c>
      <c r="E562" t="s">
        <v>1634</v>
      </c>
      <c r="F562">
        <v>3</v>
      </c>
      <c r="G562" t="s">
        <v>1618</v>
      </c>
      <c r="H562">
        <v>49</v>
      </c>
      <c r="K562" t="s">
        <v>1622</v>
      </c>
    </row>
    <row r="563" spans="1:11" x14ac:dyDescent="0.25">
      <c r="A563" t="s">
        <v>2315</v>
      </c>
      <c r="B563" t="s">
        <v>957</v>
      </c>
      <c r="C563" t="s">
        <v>123</v>
      </c>
      <c r="D563" t="s">
        <v>145</v>
      </c>
      <c r="E563" t="s">
        <v>1629</v>
      </c>
      <c r="F563">
        <v>1</v>
      </c>
      <c r="G563" t="s">
        <v>1618</v>
      </c>
      <c r="K563" t="s">
        <v>1619</v>
      </c>
    </row>
    <row r="564" spans="1:11" x14ac:dyDescent="0.25">
      <c r="A564" t="s">
        <v>2316</v>
      </c>
      <c r="B564" t="s">
        <v>958</v>
      </c>
      <c r="C564" t="s">
        <v>101</v>
      </c>
      <c r="D564" t="s">
        <v>153</v>
      </c>
      <c r="E564" t="s">
        <v>1731</v>
      </c>
      <c r="F564">
        <v>2</v>
      </c>
      <c r="G564" t="s">
        <v>1618</v>
      </c>
      <c r="K564" t="s">
        <v>1625</v>
      </c>
    </row>
    <row r="565" spans="1:11" x14ac:dyDescent="0.25">
      <c r="A565" t="s">
        <v>2317</v>
      </c>
      <c r="B565" t="s">
        <v>959</v>
      </c>
      <c r="C565" t="s">
        <v>83</v>
      </c>
      <c r="D565" t="s">
        <v>142</v>
      </c>
      <c r="E565" t="s">
        <v>1731</v>
      </c>
      <c r="F565">
        <v>2</v>
      </c>
      <c r="G565" t="s">
        <v>1618</v>
      </c>
      <c r="K565" t="s">
        <v>1625</v>
      </c>
    </row>
    <row r="566" spans="1:11" x14ac:dyDescent="0.25">
      <c r="A566" t="s">
        <v>2318</v>
      </c>
      <c r="B566" t="s">
        <v>960</v>
      </c>
      <c r="C566" t="s">
        <v>56</v>
      </c>
      <c r="D566" t="s">
        <v>153</v>
      </c>
      <c r="E566" t="s">
        <v>1995</v>
      </c>
      <c r="F566">
        <v>3</v>
      </c>
      <c r="G566" t="s">
        <v>1618</v>
      </c>
      <c r="H566">
        <v>59</v>
      </c>
      <c r="K566" t="s">
        <v>1622</v>
      </c>
    </row>
    <row r="567" spans="1:11" x14ac:dyDescent="0.25">
      <c r="A567" t="s">
        <v>2319</v>
      </c>
      <c r="B567" t="s">
        <v>961</v>
      </c>
      <c r="C567" t="s">
        <v>136</v>
      </c>
      <c r="D567" t="s">
        <v>142</v>
      </c>
      <c r="E567" t="s">
        <v>1789</v>
      </c>
      <c r="F567">
        <v>1</v>
      </c>
      <c r="G567" t="s">
        <v>1618</v>
      </c>
      <c r="K567" t="s">
        <v>1625</v>
      </c>
    </row>
    <row r="568" spans="1:11" x14ac:dyDescent="0.25">
      <c r="A568" t="s">
        <v>2320</v>
      </c>
      <c r="B568" t="s">
        <v>962</v>
      </c>
      <c r="C568" t="s">
        <v>14</v>
      </c>
      <c r="D568" t="s">
        <v>142</v>
      </c>
      <c r="E568" t="s">
        <v>1721</v>
      </c>
      <c r="F568">
        <v>1</v>
      </c>
      <c r="G568" t="s">
        <v>1618</v>
      </c>
      <c r="K568" t="s">
        <v>1630</v>
      </c>
    </row>
    <row r="569" spans="1:11" x14ac:dyDescent="0.25">
      <c r="A569" t="s">
        <v>2321</v>
      </c>
      <c r="B569" t="s">
        <v>963</v>
      </c>
      <c r="C569" t="s">
        <v>31</v>
      </c>
      <c r="D569" t="s">
        <v>160</v>
      </c>
      <c r="E569" t="s">
        <v>1760</v>
      </c>
      <c r="F569">
        <v>5</v>
      </c>
      <c r="G569" t="s">
        <v>1618</v>
      </c>
      <c r="H569">
        <v>89</v>
      </c>
      <c r="I569">
        <v>84</v>
      </c>
      <c r="K569" t="s">
        <v>1635</v>
      </c>
    </row>
    <row r="570" spans="1:11" x14ac:dyDescent="0.25">
      <c r="A570" t="s">
        <v>2322</v>
      </c>
      <c r="B570" t="s">
        <v>964</v>
      </c>
      <c r="C570" t="s">
        <v>123</v>
      </c>
      <c r="D570" t="s">
        <v>160</v>
      </c>
      <c r="E570" t="s">
        <v>1667</v>
      </c>
      <c r="F570">
        <v>2</v>
      </c>
      <c r="G570" t="s">
        <v>1618</v>
      </c>
      <c r="K570" t="s">
        <v>1619</v>
      </c>
    </row>
    <row r="571" spans="1:11" x14ac:dyDescent="0.25">
      <c r="A571" t="s">
        <v>2323</v>
      </c>
      <c r="B571" t="s">
        <v>965</v>
      </c>
      <c r="C571" t="s">
        <v>130</v>
      </c>
      <c r="D571" t="s">
        <v>158</v>
      </c>
      <c r="E571" t="s">
        <v>1807</v>
      </c>
      <c r="F571">
        <v>2</v>
      </c>
      <c r="G571" t="s">
        <v>1618</v>
      </c>
      <c r="K571" t="s">
        <v>1619</v>
      </c>
    </row>
    <row r="572" spans="1:11" x14ac:dyDescent="0.25">
      <c r="A572" t="s">
        <v>2324</v>
      </c>
      <c r="B572" t="s">
        <v>966</v>
      </c>
      <c r="C572" t="s">
        <v>71</v>
      </c>
      <c r="D572" t="s">
        <v>158</v>
      </c>
      <c r="E572" t="s">
        <v>1824</v>
      </c>
      <c r="F572">
        <v>4</v>
      </c>
      <c r="G572" t="s">
        <v>1618</v>
      </c>
      <c r="H572">
        <v>98</v>
      </c>
      <c r="I572">
        <v>75</v>
      </c>
      <c r="K572" t="s">
        <v>1635</v>
      </c>
    </row>
    <row r="573" spans="1:11" x14ac:dyDescent="0.25">
      <c r="A573" t="s">
        <v>2325</v>
      </c>
      <c r="B573" t="s">
        <v>967</v>
      </c>
      <c r="C573" t="s">
        <v>71</v>
      </c>
      <c r="D573" t="s">
        <v>142</v>
      </c>
      <c r="E573" t="s">
        <v>1689</v>
      </c>
      <c r="F573">
        <v>2</v>
      </c>
      <c r="G573" t="s">
        <v>1618</v>
      </c>
      <c r="K573" t="s">
        <v>1619</v>
      </c>
    </row>
    <row r="574" spans="1:11" x14ac:dyDescent="0.25">
      <c r="A574" t="s">
        <v>2326</v>
      </c>
      <c r="B574" t="s">
        <v>968</v>
      </c>
      <c r="C574" t="s">
        <v>90</v>
      </c>
      <c r="D574" t="s">
        <v>145</v>
      </c>
      <c r="E574" t="s">
        <v>1815</v>
      </c>
      <c r="F574">
        <v>4</v>
      </c>
      <c r="G574" t="s">
        <v>1618</v>
      </c>
      <c r="H574">
        <v>78</v>
      </c>
      <c r="I574">
        <v>70</v>
      </c>
      <c r="K574" t="s">
        <v>1659</v>
      </c>
    </row>
    <row r="575" spans="1:11" x14ac:dyDescent="0.25">
      <c r="A575" t="s">
        <v>2327</v>
      </c>
      <c r="B575" t="s">
        <v>969</v>
      </c>
      <c r="C575" t="s">
        <v>123</v>
      </c>
      <c r="D575" t="s">
        <v>160</v>
      </c>
      <c r="E575" t="s">
        <v>1621</v>
      </c>
      <c r="F575">
        <v>3</v>
      </c>
      <c r="G575" t="s">
        <v>1618</v>
      </c>
      <c r="H575">
        <v>75</v>
      </c>
      <c r="K575" t="s">
        <v>1622</v>
      </c>
    </row>
    <row r="576" spans="1:11" x14ac:dyDescent="0.25">
      <c r="A576" t="s">
        <v>2328</v>
      </c>
      <c r="B576" t="s">
        <v>970</v>
      </c>
      <c r="C576" t="s">
        <v>98</v>
      </c>
      <c r="D576" t="s">
        <v>145</v>
      </c>
      <c r="E576" t="s">
        <v>1809</v>
      </c>
      <c r="F576">
        <v>4</v>
      </c>
      <c r="G576" t="s">
        <v>1618</v>
      </c>
      <c r="H576">
        <v>69</v>
      </c>
      <c r="I576">
        <v>67</v>
      </c>
      <c r="K576" t="s">
        <v>1659</v>
      </c>
    </row>
    <row r="577" spans="1:11" x14ac:dyDescent="0.25">
      <c r="A577" t="s">
        <v>2329</v>
      </c>
      <c r="B577" t="s">
        <v>971</v>
      </c>
      <c r="C577" t="s">
        <v>87</v>
      </c>
      <c r="D577" t="s">
        <v>145</v>
      </c>
      <c r="E577" t="s">
        <v>1657</v>
      </c>
      <c r="F577">
        <v>1</v>
      </c>
      <c r="G577" t="s">
        <v>1618</v>
      </c>
      <c r="K577" t="s">
        <v>1630</v>
      </c>
    </row>
    <row r="578" spans="1:11" x14ac:dyDescent="0.25">
      <c r="A578" t="s">
        <v>2330</v>
      </c>
      <c r="B578" t="s">
        <v>972</v>
      </c>
      <c r="C578" t="s">
        <v>49</v>
      </c>
      <c r="D578" t="s">
        <v>158</v>
      </c>
      <c r="E578" t="s">
        <v>2088</v>
      </c>
      <c r="F578">
        <v>1</v>
      </c>
      <c r="G578" t="s">
        <v>1618</v>
      </c>
      <c r="K578" t="s">
        <v>1630</v>
      </c>
    </row>
    <row r="579" spans="1:11" x14ac:dyDescent="0.25">
      <c r="A579" t="s">
        <v>2331</v>
      </c>
      <c r="B579" t="s">
        <v>973</v>
      </c>
      <c r="C579" t="s">
        <v>103</v>
      </c>
      <c r="D579" t="s">
        <v>153</v>
      </c>
      <c r="E579" t="s">
        <v>1645</v>
      </c>
      <c r="F579">
        <v>4</v>
      </c>
      <c r="G579" t="s">
        <v>1618</v>
      </c>
      <c r="H579">
        <v>75</v>
      </c>
      <c r="I579">
        <v>72</v>
      </c>
      <c r="K579" t="s">
        <v>1635</v>
      </c>
    </row>
    <row r="580" spans="1:11" x14ac:dyDescent="0.25">
      <c r="A580" t="s">
        <v>2332</v>
      </c>
      <c r="B580" t="s">
        <v>974</v>
      </c>
      <c r="C580" t="s">
        <v>101</v>
      </c>
      <c r="D580" t="s">
        <v>153</v>
      </c>
      <c r="E580" t="s">
        <v>22</v>
      </c>
      <c r="F580">
        <v>2</v>
      </c>
      <c r="G580" t="s">
        <v>1618</v>
      </c>
      <c r="K580" t="s">
        <v>1619</v>
      </c>
    </row>
    <row r="581" spans="1:11" x14ac:dyDescent="0.25">
      <c r="A581" t="s">
        <v>2333</v>
      </c>
      <c r="B581" t="s">
        <v>975</v>
      </c>
      <c r="C581" t="s">
        <v>79</v>
      </c>
      <c r="D581" t="s">
        <v>150</v>
      </c>
      <c r="E581" t="s">
        <v>51</v>
      </c>
      <c r="F581">
        <v>7</v>
      </c>
      <c r="G581" t="s">
        <v>1692</v>
      </c>
      <c r="H581">
        <v>68</v>
      </c>
      <c r="I581">
        <v>75</v>
      </c>
      <c r="J581">
        <v>20</v>
      </c>
      <c r="K581" t="s">
        <v>1693</v>
      </c>
    </row>
    <row r="582" spans="1:11" x14ac:dyDescent="0.25">
      <c r="A582" t="s">
        <v>2334</v>
      </c>
      <c r="B582" t="s">
        <v>976</v>
      </c>
      <c r="C582" t="s">
        <v>20</v>
      </c>
      <c r="D582" t="s">
        <v>158</v>
      </c>
      <c r="E582" t="s">
        <v>1651</v>
      </c>
      <c r="F582">
        <v>3</v>
      </c>
      <c r="G582" t="s">
        <v>1618</v>
      </c>
      <c r="H582">
        <v>64</v>
      </c>
      <c r="K582" t="s">
        <v>1622</v>
      </c>
    </row>
    <row r="583" spans="1:11" x14ac:dyDescent="0.25">
      <c r="A583" t="s">
        <v>2335</v>
      </c>
      <c r="B583" t="s">
        <v>977</v>
      </c>
      <c r="C583" t="s">
        <v>118</v>
      </c>
      <c r="D583" t="s">
        <v>150</v>
      </c>
      <c r="E583" t="s">
        <v>2336</v>
      </c>
      <c r="F583">
        <v>7</v>
      </c>
      <c r="G583" t="s">
        <v>1692</v>
      </c>
      <c r="H583">
        <v>89</v>
      </c>
      <c r="I583">
        <v>75</v>
      </c>
      <c r="J583">
        <v>26</v>
      </c>
      <c r="K583" t="s">
        <v>1693</v>
      </c>
    </row>
    <row r="584" spans="1:11" x14ac:dyDescent="0.25">
      <c r="A584" t="s">
        <v>2337</v>
      </c>
      <c r="B584" t="s">
        <v>978</v>
      </c>
      <c r="C584" t="s">
        <v>14</v>
      </c>
      <c r="D584" t="s">
        <v>158</v>
      </c>
      <c r="E584" t="s">
        <v>124</v>
      </c>
      <c r="F584">
        <v>4</v>
      </c>
      <c r="G584" t="s">
        <v>1618</v>
      </c>
      <c r="H584">
        <v>79</v>
      </c>
      <c r="I584">
        <v>90</v>
      </c>
      <c r="K584" t="s">
        <v>1659</v>
      </c>
    </row>
    <row r="585" spans="1:11" x14ac:dyDescent="0.25">
      <c r="A585" t="s">
        <v>2338</v>
      </c>
      <c r="B585" t="s">
        <v>979</v>
      </c>
      <c r="C585" t="s">
        <v>101</v>
      </c>
      <c r="D585" t="s">
        <v>153</v>
      </c>
      <c r="E585" t="s">
        <v>1908</v>
      </c>
      <c r="F585">
        <v>1</v>
      </c>
      <c r="G585" t="s">
        <v>1618</v>
      </c>
      <c r="K585" t="s">
        <v>1630</v>
      </c>
    </row>
    <row r="586" spans="1:11" x14ac:dyDescent="0.25">
      <c r="A586" t="s">
        <v>2339</v>
      </c>
      <c r="B586" t="s">
        <v>980</v>
      </c>
      <c r="C586" t="s">
        <v>112</v>
      </c>
      <c r="D586" t="s">
        <v>150</v>
      </c>
      <c r="E586" t="s">
        <v>1739</v>
      </c>
      <c r="F586">
        <v>1</v>
      </c>
      <c r="G586" t="s">
        <v>1618</v>
      </c>
      <c r="K586" t="s">
        <v>1619</v>
      </c>
    </row>
    <row r="587" spans="1:11" x14ac:dyDescent="0.25">
      <c r="A587" t="s">
        <v>2340</v>
      </c>
      <c r="B587" t="s">
        <v>981</v>
      </c>
      <c r="C587" t="s">
        <v>128</v>
      </c>
      <c r="D587" t="s">
        <v>158</v>
      </c>
      <c r="E587" t="s">
        <v>1632</v>
      </c>
      <c r="F587">
        <v>2</v>
      </c>
      <c r="G587" t="s">
        <v>1618</v>
      </c>
      <c r="K587" t="s">
        <v>1625</v>
      </c>
    </row>
    <row r="588" spans="1:11" x14ac:dyDescent="0.25">
      <c r="A588" t="s">
        <v>2341</v>
      </c>
      <c r="B588" t="s">
        <v>982</v>
      </c>
      <c r="C588" t="s">
        <v>73</v>
      </c>
      <c r="D588" t="s">
        <v>153</v>
      </c>
      <c r="E588" t="s">
        <v>96</v>
      </c>
      <c r="F588">
        <v>1</v>
      </c>
      <c r="G588" t="s">
        <v>1618</v>
      </c>
      <c r="K588" t="s">
        <v>1625</v>
      </c>
    </row>
    <row r="589" spans="1:11" x14ac:dyDescent="0.25">
      <c r="A589" t="s">
        <v>2342</v>
      </c>
      <c r="B589" t="s">
        <v>983</v>
      </c>
      <c r="C589" t="s">
        <v>52</v>
      </c>
      <c r="D589" t="s">
        <v>147</v>
      </c>
      <c r="E589" t="s">
        <v>2071</v>
      </c>
      <c r="F589">
        <v>2</v>
      </c>
      <c r="G589" t="s">
        <v>1618</v>
      </c>
      <c r="K589" t="s">
        <v>1619</v>
      </c>
    </row>
    <row r="590" spans="1:11" x14ac:dyDescent="0.25">
      <c r="A590" t="s">
        <v>2343</v>
      </c>
      <c r="B590" t="s">
        <v>984</v>
      </c>
      <c r="C590" t="s">
        <v>39</v>
      </c>
      <c r="D590" t="s">
        <v>160</v>
      </c>
      <c r="E590" t="s">
        <v>2344</v>
      </c>
      <c r="F590">
        <v>2</v>
      </c>
      <c r="G590" t="s">
        <v>1618</v>
      </c>
      <c r="K590" t="s">
        <v>1630</v>
      </c>
    </row>
    <row r="591" spans="1:11" x14ac:dyDescent="0.25">
      <c r="A591" t="s">
        <v>2345</v>
      </c>
      <c r="B591" t="s">
        <v>985</v>
      </c>
      <c r="C591" t="s">
        <v>27</v>
      </c>
      <c r="D591" t="s">
        <v>147</v>
      </c>
      <c r="E591" t="s">
        <v>1891</v>
      </c>
      <c r="F591">
        <v>2</v>
      </c>
      <c r="G591" t="s">
        <v>1618</v>
      </c>
      <c r="K591" t="s">
        <v>1630</v>
      </c>
    </row>
    <row r="592" spans="1:11" x14ac:dyDescent="0.25">
      <c r="A592" t="s">
        <v>2346</v>
      </c>
      <c r="B592" t="s">
        <v>986</v>
      </c>
      <c r="C592" t="s">
        <v>113</v>
      </c>
      <c r="D592" t="s">
        <v>145</v>
      </c>
      <c r="E592" t="s">
        <v>1699</v>
      </c>
      <c r="F592">
        <v>4</v>
      </c>
      <c r="G592" t="s">
        <v>1618</v>
      </c>
      <c r="H592">
        <v>78</v>
      </c>
      <c r="I592">
        <v>84</v>
      </c>
      <c r="K592" t="s">
        <v>1635</v>
      </c>
    </row>
    <row r="593" spans="1:11" x14ac:dyDescent="0.25">
      <c r="A593" t="s">
        <v>2347</v>
      </c>
      <c r="B593" t="s">
        <v>987</v>
      </c>
      <c r="C593" t="s">
        <v>79</v>
      </c>
      <c r="D593" t="s">
        <v>150</v>
      </c>
      <c r="E593" t="s">
        <v>1758</v>
      </c>
      <c r="F593">
        <v>2</v>
      </c>
      <c r="G593" t="s">
        <v>1618</v>
      </c>
      <c r="K593" t="s">
        <v>1625</v>
      </c>
    </row>
    <row r="594" spans="1:11" x14ac:dyDescent="0.25">
      <c r="A594" t="s">
        <v>2348</v>
      </c>
      <c r="B594" t="s">
        <v>988</v>
      </c>
      <c r="C594" t="s">
        <v>112</v>
      </c>
      <c r="D594" t="s">
        <v>150</v>
      </c>
      <c r="E594" t="s">
        <v>1649</v>
      </c>
      <c r="F594">
        <v>3</v>
      </c>
      <c r="G594" t="s">
        <v>1618</v>
      </c>
      <c r="H594">
        <v>55</v>
      </c>
      <c r="K594" t="s">
        <v>1622</v>
      </c>
    </row>
    <row r="595" spans="1:11" x14ac:dyDescent="0.25">
      <c r="A595" t="s">
        <v>2349</v>
      </c>
      <c r="B595" t="s">
        <v>989</v>
      </c>
      <c r="C595" t="s">
        <v>94</v>
      </c>
      <c r="D595" t="s">
        <v>150</v>
      </c>
      <c r="E595" t="s">
        <v>1781</v>
      </c>
      <c r="F595">
        <v>2</v>
      </c>
      <c r="G595" t="s">
        <v>1618</v>
      </c>
      <c r="K595" t="s">
        <v>1619</v>
      </c>
    </row>
    <row r="596" spans="1:11" x14ac:dyDescent="0.25">
      <c r="A596" t="s">
        <v>2350</v>
      </c>
      <c r="B596" t="s">
        <v>990</v>
      </c>
      <c r="C596" t="s">
        <v>97</v>
      </c>
      <c r="D596" t="s">
        <v>142</v>
      </c>
      <c r="E596" t="s">
        <v>1801</v>
      </c>
      <c r="F596">
        <v>2</v>
      </c>
      <c r="G596" t="s">
        <v>1618</v>
      </c>
      <c r="K596" t="s">
        <v>1630</v>
      </c>
    </row>
    <row r="597" spans="1:11" x14ac:dyDescent="0.25">
      <c r="A597" t="s">
        <v>2351</v>
      </c>
      <c r="B597" t="s">
        <v>991</v>
      </c>
      <c r="C597" t="s">
        <v>39</v>
      </c>
      <c r="D597" t="s">
        <v>160</v>
      </c>
      <c r="E597" t="s">
        <v>26</v>
      </c>
      <c r="F597">
        <v>1</v>
      </c>
      <c r="G597" t="s">
        <v>1618</v>
      </c>
      <c r="K597" t="s">
        <v>1619</v>
      </c>
    </row>
    <row r="598" spans="1:11" x14ac:dyDescent="0.25">
      <c r="A598" t="s">
        <v>2352</v>
      </c>
      <c r="B598" t="s">
        <v>992</v>
      </c>
      <c r="C598" t="s">
        <v>65</v>
      </c>
      <c r="D598" t="s">
        <v>160</v>
      </c>
      <c r="E598" t="s">
        <v>1624</v>
      </c>
      <c r="F598">
        <v>1</v>
      </c>
      <c r="G598" t="s">
        <v>1618</v>
      </c>
      <c r="K598" t="s">
        <v>1619</v>
      </c>
    </row>
    <row r="599" spans="1:11" x14ac:dyDescent="0.25">
      <c r="A599" t="s">
        <v>2353</v>
      </c>
      <c r="B599" t="s">
        <v>993</v>
      </c>
      <c r="C599" t="s">
        <v>79</v>
      </c>
      <c r="D599" t="s">
        <v>150</v>
      </c>
      <c r="E599" t="s">
        <v>1801</v>
      </c>
      <c r="F599">
        <v>2</v>
      </c>
      <c r="G599" t="s">
        <v>1618</v>
      </c>
      <c r="K599" t="s">
        <v>1625</v>
      </c>
    </row>
    <row r="600" spans="1:11" x14ac:dyDescent="0.25">
      <c r="A600" t="s">
        <v>2354</v>
      </c>
      <c r="B600" t="s">
        <v>994</v>
      </c>
      <c r="C600" t="s">
        <v>23</v>
      </c>
      <c r="D600" t="s">
        <v>160</v>
      </c>
      <c r="E600" t="s">
        <v>99</v>
      </c>
      <c r="F600">
        <v>2</v>
      </c>
      <c r="G600" t="s">
        <v>1618</v>
      </c>
      <c r="K600" t="s">
        <v>1625</v>
      </c>
    </row>
    <row r="601" spans="1:11" x14ac:dyDescent="0.25">
      <c r="A601" t="s">
        <v>2355</v>
      </c>
      <c r="B601" t="s">
        <v>995</v>
      </c>
      <c r="C601" t="s">
        <v>110</v>
      </c>
      <c r="D601" t="s">
        <v>160</v>
      </c>
      <c r="E601" t="s">
        <v>1643</v>
      </c>
      <c r="F601">
        <v>2</v>
      </c>
      <c r="G601" t="s">
        <v>1618</v>
      </c>
      <c r="K601" t="s">
        <v>1625</v>
      </c>
    </row>
    <row r="602" spans="1:11" x14ac:dyDescent="0.25">
      <c r="A602" t="s">
        <v>2356</v>
      </c>
      <c r="B602" t="s">
        <v>996</v>
      </c>
      <c r="C602" t="s">
        <v>34</v>
      </c>
      <c r="D602" t="s">
        <v>160</v>
      </c>
      <c r="E602" t="s">
        <v>1760</v>
      </c>
      <c r="F602">
        <v>5</v>
      </c>
      <c r="G602" t="s">
        <v>1618</v>
      </c>
      <c r="H602">
        <v>84</v>
      </c>
      <c r="I602">
        <v>82</v>
      </c>
      <c r="K602" t="s">
        <v>1635</v>
      </c>
    </row>
    <row r="603" spans="1:11" x14ac:dyDescent="0.25">
      <c r="A603" t="s">
        <v>2357</v>
      </c>
      <c r="B603" t="s">
        <v>997</v>
      </c>
      <c r="C603" t="s">
        <v>101</v>
      </c>
      <c r="D603" t="s">
        <v>153</v>
      </c>
      <c r="E603" t="s">
        <v>99</v>
      </c>
      <c r="F603">
        <v>3</v>
      </c>
      <c r="G603" t="s">
        <v>1618</v>
      </c>
      <c r="H603">
        <v>85</v>
      </c>
      <c r="K603" t="s">
        <v>1622</v>
      </c>
    </row>
    <row r="604" spans="1:11" x14ac:dyDescent="0.25">
      <c r="A604" t="s">
        <v>2358</v>
      </c>
      <c r="B604" t="s">
        <v>998</v>
      </c>
      <c r="C604" t="s">
        <v>107</v>
      </c>
      <c r="D604" t="s">
        <v>150</v>
      </c>
      <c r="E604" t="s">
        <v>2038</v>
      </c>
      <c r="F604">
        <v>2</v>
      </c>
      <c r="G604" t="s">
        <v>1618</v>
      </c>
      <c r="K604" t="s">
        <v>1625</v>
      </c>
    </row>
    <row r="605" spans="1:11" x14ac:dyDescent="0.25">
      <c r="A605" t="s">
        <v>2359</v>
      </c>
      <c r="B605" t="s">
        <v>999</v>
      </c>
      <c r="C605" t="s">
        <v>34</v>
      </c>
      <c r="D605" t="s">
        <v>145</v>
      </c>
      <c r="E605" t="s">
        <v>2094</v>
      </c>
      <c r="F605">
        <v>3</v>
      </c>
      <c r="G605" t="s">
        <v>1618</v>
      </c>
      <c r="H605">
        <v>62</v>
      </c>
      <c r="K605" t="s">
        <v>1622</v>
      </c>
    </row>
    <row r="606" spans="1:11" x14ac:dyDescent="0.25">
      <c r="A606" t="s">
        <v>2360</v>
      </c>
      <c r="B606" t="s">
        <v>1000</v>
      </c>
      <c r="C606" t="s">
        <v>14</v>
      </c>
      <c r="D606" t="s">
        <v>158</v>
      </c>
      <c r="E606" t="s">
        <v>1637</v>
      </c>
      <c r="F606">
        <v>2</v>
      </c>
      <c r="G606" t="s">
        <v>1618</v>
      </c>
      <c r="K606" t="s">
        <v>1619</v>
      </c>
    </row>
    <row r="607" spans="1:11" x14ac:dyDescent="0.25">
      <c r="A607" t="s">
        <v>2361</v>
      </c>
      <c r="B607" t="s">
        <v>1001</v>
      </c>
      <c r="C607" t="s">
        <v>101</v>
      </c>
      <c r="D607" t="s">
        <v>153</v>
      </c>
      <c r="E607" t="s">
        <v>1647</v>
      </c>
      <c r="F607">
        <v>5</v>
      </c>
      <c r="G607" t="s">
        <v>1618</v>
      </c>
      <c r="H607">
        <v>80</v>
      </c>
      <c r="I607">
        <v>78</v>
      </c>
      <c r="K607" t="s">
        <v>1659</v>
      </c>
    </row>
    <row r="608" spans="1:11" x14ac:dyDescent="0.25">
      <c r="A608" t="s">
        <v>2362</v>
      </c>
      <c r="B608" t="s">
        <v>1002</v>
      </c>
      <c r="C608" t="s">
        <v>73</v>
      </c>
      <c r="D608" t="s">
        <v>153</v>
      </c>
      <c r="E608" t="s">
        <v>1678</v>
      </c>
      <c r="F608">
        <v>2</v>
      </c>
      <c r="G608" t="s">
        <v>1618</v>
      </c>
      <c r="K608" t="s">
        <v>1619</v>
      </c>
    </row>
    <row r="609" spans="1:11" x14ac:dyDescent="0.25">
      <c r="A609" t="s">
        <v>2363</v>
      </c>
      <c r="B609" t="s">
        <v>1003</v>
      </c>
      <c r="C609" t="s">
        <v>14</v>
      </c>
      <c r="D609" t="s">
        <v>158</v>
      </c>
      <c r="E609" t="s">
        <v>2130</v>
      </c>
      <c r="F609">
        <v>2</v>
      </c>
      <c r="G609" t="s">
        <v>1618</v>
      </c>
      <c r="K609" t="s">
        <v>1619</v>
      </c>
    </row>
    <row r="610" spans="1:11" x14ac:dyDescent="0.25">
      <c r="A610" t="s">
        <v>2364</v>
      </c>
      <c r="B610" t="s">
        <v>1004</v>
      </c>
      <c r="C610" t="s">
        <v>105</v>
      </c>
      <c r="D610" t="s">
        <v>142</v>
      </c>
      <c r="E610" t="s">
        <v>1719</v>
      </c>
      <c r="F610">
        <v>1</v>
      </c>
      <c r="G610" t="s">
        <v>1618</v>
      </c>
      <c r="K610" t="s">
        <v>1619</v>
      </c>
    </row>
    <row r="611" spans="1:11" x14ac:dyDescent="0.25">
      <c r="A611" t="s">
        <v>2365</v>
      </c>
      <c r="B611" t="s">
        <v>1005</v>
      </c>
      <c r="C611" t="s">
        <v>83</v>
      </c>
      <c r="D611" t="s">
        <v>158</v>
      </c>
      <c r="E611" t="s">
        <v>1704</v>
      </c>
      <c r="F611">
        <v>2</v>
      </c>
      <c r="G611" t="s">
        <v>1618</v>
      </c>
      <c r="K611" t="s">
        <v>1630</v>
      </c>
    </row>
    <row r="612" spans="1:11" x14ac:dyDescent="0.25">
      <c r="A612" t="s">
        <v>2366</v>
      </c>
      <c r="B612" t="s">
        <v>1006</v>
      </c>
      <c r="C612" t="s">
        <v>73</v>
      </c>
      <c r="D612" t="s">
        <v>153</v>
      </c>
      <c r="E612" t="s">
        <v>1643</v>
      </c>
      <c r="F612">
        <v>3</v>
      </c>
      <c r="G612" t="s">
        <v>1618</v>
      </c>
      <c r="H612">
        <v>79</v>
      </c>
      <c r="K612" t="s">
        <v>1622</v>
      </c>
    </row>
    <row r="613" spans="1:11" x14ac:dyDescent="0.25">
      <c r="A613" t="s">
        <v>2367</v>
      </c>
      <c r="B613" t="s">
        <v>1007</v>
      </c>
      <c r="C613" t="s">
        <v>79</v>
      </c>
      <c r="D613" t="s">
        <v>150</v>
      </c>
      <c r="E613" t="s">
        <v>1857</v>
      </c>
      <c r="F613">
        <v>1</v>
      </c>
      <c r="G613" t="s">
        <v>1618</v>
      </c>
      <c r="K613" t="s">
        <v>1625</v>
      </c>
    </row>
    <row r="614" spans="1:11" x14ac:dyDescent="0.25">
      <c r="A614" t="s">
        <v>2368</v>
      </c>
      <c r="B614" t="s">
        <v>1008</v>
      </c>
      <c r="C614" t="s">
        <v>132</v>
      </c>
      <c r="D614" t="s">
        <v>153</v>
      </c>
      <c r="E614" t="s">
        <v>1754</v>
      </c>
      <c r="F614">
        <v>3</v>
      </c>
      <c r="G614" t="s">
        <v>1618</v>
      </c>
      <c r="H614">
        <v>80</v>
      </c>
      <c r="K614" t="s">
        <v>1622</v>
      </c>
    </row>
    <row r="615" spans="1:11" x14ac:dyDescent="0.25">
      <c r="A615" t="s">
        <v>2369</v>
      </c>
      <c r="B615" t="s">
        <v>1009</v>
      </c>
      <c r="C615" t="s">
        <v>113</v>
      </c>
      <c r="D615" t="s">
        <v>145</v>
      </c>
      <c r="E615" t="s">
        <v>1699</v>
      </c>
      <c r="F615">
        <v>2</v>
      </c>
      <c r="G615" t="s">
        <v>1618</v>
      </c>
      <c r="K615" t="s">
        <v>1625</v>
      </c>
    </row>
    <row r="616" spans="1:11" x14ac:dyDescent="0.25">
      <c r="A616" t="s">
        <v>2370</v>
      </c>
      <c r="B616" t="s">
        <v>1010</v>
      </c>
      <c r="C616" t="s">
        <v>107</v>
      </c>
      <c r="D616" t="s">
        <v>150</v>
      </c>
      <c r="E616" t="s">
        <v>1651</v>
      </c>
      <c r="F616">
        <v>1</v>
      </c>
      <c r="G616" t="s">
        <v>1618</v>
      </c>
      <c r="K616" t="s">
        <v>1619</v>
      </c>
    </row>
    <row r="617" spans="1:11" x14ac:dyDescent="0.25">
      <c r="A617" t="s">
        <v>2371</v>
      </c>
      <c r="B617" t="s">
        <v>1011</v>
      </c>
      <c r="C617" t="s">
        <v>105</v>
      </c>
      <c r="D617" t="s">
        <v>142</v>
      </c>
      <c r="E617" t="s">
        <v>82</v>
      </c>
      <c r="F617">
        <v>2</v>
      </c>
      <c r="G617" t="s">
        <v>1618</v>
      </c>
      <c r="K617" t="s">
        <v>1630</v>
      </c>
    </row>
    <row r="618" spans="1:11" x14ac:dyDescent="0.25">
      <c r="A618" t="s">
        <v>2372</v>
      </c>
      <c r="B618" t="s">
        <v>1012</v>
      </c>
      <c r="C618" t="s">
        <v>76</v>
      </c>
      <c r="D618" t="s">
        <v>153</v>
      </c>
      <c r="E618" t="s">
        <v>2115</v>
      </c>
      <c r="F618">
        <v>3</v>
      </c>
      <c r="G618" t="s">
        <v>1618</v>
      </c>
      <c r="H618">
        <v>64</v>
      </c>
      <c r="K618" t="s">
        <v>1622</v>
      </c>
    </row>
    <row r="619" spans="1:11" x14ac:dyDescent="0.25">
      <c r="A619" t="s">
        <v>2373</v>
      </c>
      <c r="B619" t="s">
        <v>1013</v>
      </c>
      <c r="C619" t="s">
        <v>34</v>
      </c>
      <c r="D619" t="s">
        <v>145</v>
      </c>
      <c r="E619" t="s">
        <v>1754</v>
      </c>
      <c r="F619">
        <v>2</v>
      </c>
      <c r="G619" t="s">
        <v>1618</v>
      </c>
      <c r="K619" t="s">
        <v>1625</v>
      </c>
    </row>
    <row r="620" spans="1:11" x14ac:dyDescent="0.25">
      <c r="A620" t="s">
        <v>2374</v>
      </c>
      <c r="B620" t="s">
        <v>1014</v>
      </c>
      <c r="C620" t="s">
        <v>56</v>
      </c>
      <c r="D620" t="s">
        <v>153</v>
      </c>
      <c r="E620" t="s">
        <v>45</v>
      </c>
      <c r="F620">
        <v>2</v>
      </c>
      <c r="G620" t="s">
        <v>1618</v>
      </c>
      <c r="K620" t="s">
        <v>1619</v>
      </c>
    </row>
    <row r="621" spans="1:11" x14ac:dyDescent="0.25">
      <c r="A621" t="s">
        <v>2375</v>
      </c>
      <c r="B621" t="s">
        <v>1016</v>
      </c>
      <c r="C621" t="s">
        <v>87</v>
      </c>
      <c r="D621" t="s">
        <v>145</v>
      </c>
      <c r="E621" t="s">
        <v>1645</v>
      </c>
      <c r="F621">
        <v>4</v>
      </c>
      <c r="G621" t="s">
        <v>1618</v>
      </c>
      <c r="H621">
        <v>73</v>
      </c>
      <c r="I621">
        <v>68</v>
      </c>
      <c r="K621" t="s">
        <v>1635</v>
      </c>
    </row>
    <row r="622" spans="1:11" x14ac:dyDescent="0.25">
      <c r="A622" t="s">
        <v>2376</v>
      </c>
      <c r="B622" t="s">
        <v>1017</v>
      </c>
      <c r="C622" t="s">
        <v>87</v>
      </c>
      <c r="D622" t="s">
        <v>160</v>
      </c>
      <c r="E622" t="s">
        <v>1862</v>
      </c>
      <c r="F622">
        <v>2</v>
      </c>
      <c r="G622" t="s">
        <v>1618</v>
      </c>
      <c r="K622" t="s">
        <v>1630</v>
      </c>
    </row>
    <row r="623" spans="1:11" x14ac:dyDescent="0.25">
      <c r="A623" t="s">
        <v>2377</v>
      </c>
      <c r="B623" t="s">
        <v>1019</v>
      </c>
      <c r="C623" t="s">
        <v>105</v>
      </c>
      <c r="D623" t="s">
        <v>158</v>
      </c>
      <c r="E623" t="s">
        <v>78</v>
      </c>
      <c r="F623">
        <v>1</v>
      </c>
      <c r="G623" t="s">
        <v>1618</v>
      </c>
      <c r="K623" t="s">
        <v>1630</v>
      </c>
    </row>
    <row r="624" spans="1:11" x14ac:dyDescent="0.25">
      <c r="A624" t="s">
        <v>2378</v>
      </c>
      <c r="B624" t="s">
        <v>1020</v>
      </c>
      <c r="C624" t="s">
        <v>121</v>
      </c>
      <c r="D624" t="s">
        <v>156</v>
      </c>
      <c r="E624" t="s">
        <v>89</v>
      </c>
      <c r="F624">
        <v>1</v>
      </c>
      <c r="G624" t="s">
        <v>1618</v>
      </c>
      <c r="K624" t="s">
        <v>1630</v>
      </c>
    </row>
    <row r="625" spans="1:11" x14ac:dyDescent="0.25">
      <c r="A625" t="s">
        <v>2379</v>
      </c>
      <c r="B625" t="s">
        <v>1021</v>
      </c>
      <c r="C625" t="s">
        <v>60</v>
      </c>
      <c r="D625" t="s">
        <v>156</v>
      </c>
      <c r="E625" t="s">
        <v>2380</v>
      </c>
      <c r="F625">
        <v>4</v>
      </c>
      <c r="G625" t="s">
        <v>1618</v>
      </c>
      <c r="H625">
        <v>70</v>
      </c>
      <c r="I625">
        <v>71</v>
      </c>
      <c r="K625" t="s">
        <v>1635</v>
      </c>
    </row>
    <row r="626" spans="1:11" x14ac:dyDescent="0.25">
      <c r="A626" t="s">
        <v>2381</v>
      </c>
      <c r="B626" t="s">
        <v>1022</v>
      </c>
      <c r="C626" t="s">
        <v>132</v>
      </c>
      <c r="D626" t="s">
        <v>153</v>
      </c>
      <c r="E626" t="s">
        <v>1680</v>
      </c>
      <c r="F626">
        <v>2</v>
      </c>
      <c r="G626" t="s">
        <v>1618</v>
      </c>
      <c r="K626" t="s">
        <v>1625</v>
      </c>
    </row>
    <row r="627" spans="1:11" x14ac:dyDescent="0.25">
      <c r="A627" t="s">
        <v>2382</v>
      </c>
      <c r="B627" t="s">
        <v>1024</v>
      </c>
      <c r="C627" t="s">
        <v>128</v>
      </c>
      <c r="D627" t="s">
        <v>158</v>
      </c>
      <c r="E627" t="s">
        <v>1797</v>
      </c>
      <c r="F627">
        <v>1</v>
      </c>
      <c r="G627" t="s">
        <v>1618</v>
      </c>
      <c r="K627" t="s">
        <v>1619</v>
      </c>
    </row>
    <row r="628" spans="1:11" x14ac:dyDescent="0.25">
      <c r="A628" t="s">
        <v>2383</v>
      </c>
      <c r="B628" t="s">
        <v>1025</v>
      </c>
      <c r="C628" t="s">
        <v>90</v>
      </c>
      <c r="D628" t="s">
        <v>160</v>
      </c>
      <c r="E628" t="s">
        <v>1629</v>
      </c>
      <c r="F628">
        <v>3</v>
      </c>
      <c r="G628" t="s">
        <v>1618</v>
      </c>
      <c r="H628">
        <v>62</v>
      </c>
      <c r="K628" t="s">
        <v>1622</v>
      </c>
    </row>
    <row r="629" spans="1:11" x14ac:dyDescent="0.25">
      <c r="A629" t="s">
        <v>2384</v>
      </c>
      <c r="B629" t="s">
        <v>1026</v>
      </c>
      <c r="C629" t="s">
        <v>113</v>
      </c>
      <c r="D629" t="s">
        <v>145</v>
      </c>
      <c r="E629" t="s">
        <v>2042</v>
      </c>
      <c r="F629">
        <v>3</v>
      </c>
      <c r="G629" t="s">
        <v>1618</v>
      </c>
      <c r="H629">
        <v>67</v>
      </c>
      <c r="K629" t="s">
        <v>1622</v>
      </c>
    </row>
    <row r="630" spans="1:11" x14ac:dyDescent="0.25">
      <c r="A630" t="s">
        <v>2385</v>
      </c>
      <c r="B630" t="s">
        <v>1027</v>
      </c>
      <c r="C630" t="s">
        <v>113</v>
      </c>
      <c r="D630" t="s">
        <v>145</v>
      </c>
      <c r="E630" t="s">
        <v>38</v>
      </c>
      <c r="F630">
        <v>3</v>
      </c>
      <c r="G630" t="s">
        <v>1618</v>
      </c>
      <c r="H630">
        <v>65</v>
      </c>
      <c r="K630" t="s">
        <v>1622</v>
      </c>
    </row>
    <row r="631" spans="1:11" x14ac:dyDescent="0.25">
      <c r="A631" t="s">
        <v>2386</v>
      </c>
      <c r="B631" t="s">
        <v>1028</v>
      </c>
      <c r="C631" t="s">
        <v>46</v>
      </c>
      <c r="D631" t="s">
        <v>147</v>
      </c>
      <c r="E631" t="s">
        <v>1719</v>
      </c>
      <c r="F631">
        <v>3</v>
      </c>
      <c r="G631" t="s">
        <v>1618</v>
      </c>
      <c r="H631">
        <v>60</v>
      </c>
      <c r="K631" t="s">
        <v>1622</v>
      </c>
    </row>
    <row r="632" spans="1:11" x14ac:dyDescent="0.25">
      <c r="A632" t="s">
        <v>2387</v>
      </c>
      <c r="B632" t="s">
        <v>1029</v>
      </c>
      <c r="C632" t="s">
        <v>132</v>
      </c>
      <c r="D632" t="s">
        <v>153</v>
      </c>
      <c r="E632" t="s">
        <v>1760</v>
      </c>
      <c r="F632">
        <v>4</v>
      </c>
      <c r="G632" t="s">
        <v>1618</v>
      </c>
      <c r="H632">
        <v>72</v>
      </c>
      <c r="I632">
        <v>90</v>
      </c>
      <c r="K632" t="s">
        <v>1659</v>
      </c>
    </row>
    <row r="633" spans="1:11" x14ac:dyDescent="0.25">
      <c r="A633" t="s">
        <v>2388</v>
      </c>
      <c r="B633" t="s">
        <v>1030</v>
      </c>
      <c r="C633" t="s">
        <v>43</v>
      </c>
      <c r="D633" t="s">
        <v>158</v>
      </c>
      <c r="E633" t="s">
        <v>1663</v>
      </c>
      <c r="F633">
        <v>7</v>
      </c>
      <c r="G633" t="s">
        <v>1692</v>
      </c>
      <c r="H633">
        <v>93</v>
      </c>
      <c r="I633">
        <v>77</v>
      </c>
      <c r="J633">
        <v>21</v>
      </c>
      <c r="K633" t="s">
        <v>1693</v>
      </c>
    </row>
    <row r="634" spans="1:11" x14ac:dyDescent="0.25">
      <c r="A634" t="s">
        <v>2389</v>
      </c>
      <c r="B634" t="s">
        <v>1031</v>
      </c>
      <c r="C634" t="s">
        <v>134</v>
      </c>
      <c r="D634" t="s">
        <v>150</v>
      </c>
      <c r="E634" t="s">
        <v>2038</v>
      </c>
      <c r="F634">
        <v>1</v>
      </c>
      <c r="G634" t="s">
        <v>1618</v>
      </c>
      <c r="K634" t="s">
        <v>1619</v>
      </c>
    </row>
    <row r="635" spans="1:11" x14ac:dyDescent="0.25">
      <c r="A635" t="s">
        <v>2390</v>
      </c>
      <c r="B635" t="s">
        <v>1033</v>
      </c>
      <c r="C635" t="s">
        <v>31</v>
      </c>
      <c r="D635" t="s">
        <v>145</v>
      </c>
      <c r="E635" t="s">
        <v>2081</v>
      </c>
      <c r="F635">
        <v>2</v>
      </c>
      <c r="G635" t="s">
        <v>1618</v>
      </c>
      <c r="K635" t="s">
        <v>1630</v>
      </c>
    </row>
    <row r="636" spans="1:11" x14ac:dyDescent="0.25">
      <c r="A636" t="s">
        <v>2391</v>
      </c>
      <c r="B636" t="s">
        <v>1034</v>
      </c>
      <c r="C636" t="s">
        <v>69</v>
      </c>
      <c r="D636" t="s">
        <v>142</v>
      </c>
      <c r="E636" t="s">
        <v>1711</v>
      </c>
      <c r="F636">
        <v>1</v>
      </c>
      <c r="G636" t="s">
        <v>1618</v>
      </c>
      <c r="K636" t="s">
        <v>1625</v>
      </c>
    </row>
    <row r="637" spans="1:11" x14ac:dyDescent="0.25">
      <c r="A637" t="s">
        <v>2392</v>
      </c>
      <c r="B637" t="s">
        <v>1035</v>
      </c>
      <c r="C637" t="s">
        <v>123</v>
      </c>
      <c r="D637" t="s">
        <v>145</v>
      </c>
      <c r="E637" t="s">
        <v>96</v>
      </c>
      <c r="F637">
        <v>3</v>
      </c>
      <c r="G637" t="s">
        <v>1618</v>
      </c>
      <c r="H637">
        <v>58</v>
      </c>
      <c r="K637" t="s">
        <v>1622</v>
      </c>
    </row>
    <row r="638" spans="1:11" x14ac:dyDescent="0.25">
      <c r="A638" t="s">
        <v>2393</v>
      </c>
      <c r="B638" t="s">
        <v>1036</v>
      </c>
      <c r="C638" t="s">
        <v>37</v>
      </c>
      <c r="D638" t="s">
        <v>147</v>
      </c>
      <c r="E638" t="s">
        <v>1687</v>
      </c>
      <c r="F638">
        <v>1</v>
      </c>
      <c r="G638" t="s">
        <v>1618</v>
      </c>
      <c r="K638" t="s">
        <v>1630</v>
      </c>
    </row>
    <row r="639" spans="1:11" x14ac:dyDescent="0.25">
      <c r="A639" t="s">
        <v>2394</v>
      </c>
      <c r="B639" t="s">
        <v>1037</v>
      </c>
      <c r="C639" t="s">
        <v>65</v>
      </c>
      <c r="D639" t="s">
        <v>160</v>
      </c>
      <c r="E639" t="s">
        <v>124</v>
      </c>
      <c r="F639">
        <v>1</v>
      </c>
      <c r="G639" t="s">
        <v>1618</v>
      </c>
      <c r="K639" t="s">
        <v>1619</v>
      </c>
    </row>
    <row r="640" spans="1:11" x14ac:dyDescent="0.25">
      <c r="A640" t="s">
        <v>2395</v>
      </c>
      <c r="B640" t="s">
        <v>1038</v>
      </c>
      <c r="C640" t="s">
        <v>116</v>
      </c>
      <c r="D640" t="s">
        <v>142</v>
      </c>
      <c r="E640" t="s">
        <v>1699</v>
      </c>
      <c r="F640">
        <v>3</v>
      </c>
      <c r="G640" t="s">
        <v>1618</v>
      </c>
      <c r="H640">
        <v>57</v>
      </c>
      <c r="K640" t="s">
        <v>1622</v>
      </c>
    </row>
    <row r="641" spans="1:11" x14ac:dyDescent="0.25">
      <c r="A641" t="s">
        <v>2396</v>
      </c>
      <c r="B641" t="s">
        <v>1039</v>
      </c>
      <c r="C641" t="s">
        <v>90</v>
      </c>
      <c r="D641" t="s">
        <v>160</v>
      </c>
      <c r="E641" t="s">
        <v>1758</v>
      </c>
      <c r="F641">
        <v>1</v>
      </c>
      <c r="G641" t="s">
        <v>1618</v>
      </c>
      <c r="K641" t="s">
        <v>1625</v>
      </c>
    </row>
    <row r="642" spans="1:11" x14ac:dyDescent="0.25">
      <c r="A642" t="s">
        <v>2397</v>
      </c>
      <c r="B642" t="s">
        <v>1040</v>
      </c>
      <c r="C642" t="s">
        <v>118</v>
      </c>
      <c r="D642" t="s">
        <v>150</v>
      </c>
      <c r="E642" t="s">
        <v>1787</v>
      </c>
      <c r="F642">
        <v>1</v>
      </c>
      <c r="G642" t="s">
        <v>1618</v>
      </c>
      <c r="K642" t="s">
        <v>1625</v>
      </c>
    </row>
    <row r="643" spans="1:11" x14ac:dyDescent="0.25">
      <c r="A643" t="s">
        <v>2398</v>
      </c>
      <c r="B643" t="s">
        <v>1041</v>
      </c>
      <c r="C643" t="s">
        <v>27</v>
      </c>
      <c r="D643" t="s">
        <v>147</v>
      </c>
      <c r="E643" t="s">
        <v>1809</v>
      </c>
      <c r="F643">
        <v>3</v>
      </c>
      <c r="G643" t="s">
        <v>1618</v>
      </c>
      <c r="H643">
        <v>56</v>
      </c>
      <c r="K643" t="s">
        <v>1622</v>
      </c>
    </row>
    <row r="644" spans="1:11" x14ac:dyDescent="0.25">
      <c r="A644" t="s">
        <v>2399</v>
      </c>
      <c r="B644" t="s">
        <v>1042</v>
      </c>
      <c r="C644" t="s">
        <v>132</v>
      </c>
      <c r="D644" t="s">
        <v>153</v>
      </c>
      <c r="E644" t="s">
        <v>36</v>
      </c>
      <c r="F644">
        <v>3</v>
      </c>
      <c r="G644" t="s">
        <v>1618</v>
      </c>
      <c r="H644">
        <v>88</v>
      </c>
      <c r="K644" t="s">
        <v>1622</v>
      </c>
    </row>
    <row r="645" spans="1:11" x14ac:dyDescent="0.25">
      <c r="A645" t="s">
        <v>2400</v>
      </c>
      <c r="B645" t="s">
        <v>1043</v>
      </c>
      <c r="C645" t="s">
        <v>76</v>
      </c>
      <c r="D645" t="s">
        <v>153</v>
      </c>
      <c r="E645" t="s">
        <v>1815</v>
      </c>
      <c r="F645">
        <v>3</v>
      </c>
      <c r="G645" t="s">
        <v>1618</v>
      </c>
      <c r="H645">
        <v>85</v>
      </c>
      <c r="K645" t="s">
        <v>1622</v>
      </c>
    </row>
    <row r="646" spans="1:11" x14ac:dyDescent="0.25">
      <c r="A646" t="s">
        <v>2401</v>
      </c>
      <c r="B646" t="s">
        <v>1044</v>
      </c>
      <c r="C646" t="s">
        <v>85</v>
      </c>
      <c r="D646" t="s">
        <v>145</v>
      </c>
      <c r="E646" t="s">
        <v>124</v>
      </c>
      <c r="F646">
        <v>2</v>
      </c>
      <c r="G646" t="s">
        <v>1618</v>
      </c>
      <c r="K646" t="s">
        <v>1630</v>
      </c>
    </row>
    <row r="647" spans="1:11" x14ac:dyDescent="0.25">
      <c r="A647" t="s">
        <v>2402</v>
      </c>
      <c r="B647" t="s">
        <v>1045</v>
      </c>
      <c r="C647" t="s">
        <v>31</v>
      </c>
      <c r="D647" t="s">
        <v>160</v>
      </c>
      <c r="E647" t="s">
        <v>109</v>
      </c>
      <c r="F647">
        <v>1</v>
      </c>
      <c r="G647" t="s">
        <v>1618</v>
      </c>
      <c r="K647" t="s">
        <v>1619</v>
      </c>
    </row>
    <row r="648" spans="1:11" x14ac:dyDescent="0.25">
      <c r="A648" t="s">
        <v>2403</v>
      </c>
      <c r="B648" t="s">
        <v>1046</v>
      </c>
      <c r="C648" t="s">
        <v>136</v>
      </c>
      <c r="D648" t="s">
        <v>158</v>
      </c>
      <c r="E648" t="s">
        <v>82</v>
      </c>
      <c r="F648">
        <v>1</v>
      </c>
      <c r="G648" t="s">
        <v>1618</v>
      </c>
      <c r="K648" t="s">
        <v>1619</v>
      </c>
    </row>
    <row r="649" spans="1:11" x14ac:dyDescent="0.25">
      <c r="A649" t="s">
        <v>2404</v>
      </c>
      <c r="B649" t="s">
        <v>1047</v>
      </c>
      <c r="C649" t="s">
        <v>34</v>
      </c>
      <c r="D649" t="s">
        <v>145</v>
      </c>
      <c r="E649" t="s">
        <v>1655</v>
      </c>
      <c r="F649">
        <v>4</v>
      </c>
      <c r="G649" t="s">
        <v>1618</v>
      </c>
      <c r="H649">
        <v>73</v>
      </c>
      <c r="I649">
        <v>65</v>
      </c>
      <c r="K649" t="s">
        <v>1659</v>
      </c>
    </row>
    <row r="650" spans="1:11" x14ac:dyDescent="0.25">
      <c r="A650" t="s">
        <v>2405</v>
      </c>
      <c r="B650" t="s">
        <v>1048</v>
      </c>
      <c r="C650" t="s">
        <v>87</v>
      </c>
      <c r="D650" t="s">
        <v>145</v>
      </c>
      <c r="E650" t="s">
        <v>1857</v>
      </c>
      <c r="F650">
        <v>2</v>
      </c>
      <c r="G650" t="s">
        <v>1618</v>
      </c>
      <c r="K650" t="s">
        <v>1619</v>
      </c>
    </row>
    <row r="651" spans="1:11" x14ac:dyDescent="0.25">
      <c r="A651" t="s">
        <v>2406</v>
      </c>
      <c r="B651" t="s">
        <v>1049</v>
      </c>
      <c r="C651" t="s">
        <v>43</v>
      </c>
      <c r="D651" t="s">
        <v>142</v>
      </c>
      <c r="E651" t="s">
        <v>1724</v>
      </c>
      <c r="F651">
        <v>3</v>
      </c>
      <c r="G651" t="s">
        <v>1618</v>
      </c>
      <c r="H651">
        <v>64</v>
      </c>
      <c r="K651" t="s">
        <v>1622</v>
      </c>
    </row>
    <row r="652" spans="1:11" x14ac:dyDescent="0.25">
      <c r="A652" t="s">
        <v>2407</v>
      </c>
      <c r="B652" t="s">
        <v>1050</v>
      </c>
      <c r="C652" t="s">
        <v>118</v>
      </c>
      <c r="D652" t="s">
        <v>150</v>
      </c>
      <c r="E652" t="s">
        <v>1707</v>
      </c>
      <c r="F652">
        <v>2</v>
      </c>
      <c r="G652" t="s">
        <v>1618</v>
      </c>
      <c r="K652" t="s">
        <v>1619</v>
      </c>
    </row>
    <row r="653" spans="1:11" x14ac:dyDescent="0.25">
      <c r="A653" t="s">
        <v>2408</v>
      </c>
      <c r="B653" t="s">
        <v>1051</v>
      </c>
      <c r="C653" t="s">
        <v>8</v>
      </c>
      <c r="D653" t="s">
        <v>145</v>
      </c>
      <c r="E653" t="s">
        <v>2130</v>
      </c>
      <c r="F653">
        <v>2</v>
      </c>
      <c r="G653" t="s">
        <v>1618</v>
      </c>
      <c r="K653" t="s">
        <v>1619</v>
      </c>
    </row>
    <row r="654" spans="1:11" x14ac:dyDescent="0.25">
      <c r="A654" t="s">
        <v>2409</v>
      </c>
      <c r="B654" t="s">
        <v>1052</v>
      </c>
      <c r="C654" t="s">
        <v>112</v>
      </c>
      <c r="D654" t="s">
        <v>150</v>
      </c>
      <c r="E654" t="s">
        <v>1809</v>
      </c>
      <c r="F654">
        <v>3</v>
      </c>
      <c r="G654" t="s">
        <v>1618</v>
      </c>
      <c r="H654">
        <v>82</v>
      </c>
      <c r="K654" t="s">
        <v>1622</v>
      </c>
    </row>
    <row r="655" spans="1:11" x14ac:dyDescent="0.25">
      <c r="A655" t="s">
        <v>2410</v>
      </c>
      <c r="B655" t="s">
        <v>1053</v>
      </c>
      <c r="C655" t="s">
        <v>103</v>
      </c>
      <c r="D655" t="s">
        <v>153</v>
      </c>
      <c r="E655" t="s">
        <v>78</v>
      </c>
      <c r="F655">
        <v>1</v>
      </c>
      <c r="G655" t="s">
        <v>1618</v>
      </c>
      <c r="K655" t="s">
        <v>1619</v>
      </c>
    </row>
    <row r="656" spans="1:11" x14ac:dyDescent="0.25">
      <c r="A656" t="s">
        <v>2411</v>
      </c>
      <c r="B656" t="s">
        <v>1054</v>
      </c>
      <c r="C656" t="s">
        <v>123</v>
      </c>
      <c r="D656" t="s">
        <v>160</v>
      </c>
      <c r="E656" t="s">
        <v>1639</v>
      </c>
      <c r="F656">
        <v>1</v>
      </c>
      <c r="G656" t="s">
        <v>1618</v>
      </c>
      <c r="K656" t="s">
        <v>1625</v>
      </c>
    </row>
    <row r="657" spans="1:11" x14ac:dyDescent="0.25">
      <c r="A657" t="s">
        <v>2412</v>
      </c>
      <c r="B657" t="s">
        <v>1055</v>
      </c>
      <c r="C657" t="s">
        <v>132</v>
      </c>
      <c r="D657" t="s">
        <v>153</v>
      </c>
      <c r="E657" t="s">
        <v>1687</v>
      </c>
      <c r="F657">
        <v>1</v>
      </c>
      <c r="G657" t="s">
        <v>1618</v>
      </c>
      <c r="K657" t="s">
        <v>1630</v>
      </c>
    </row>
    <row r="658" spans="1:11" x14ac:dyDescent="0.25">
      <c r="A658" t="s">
        <v>2413</v>
      </c>
      <c r="B658" t="s">
        <v>1056</v>
      </c>
      <c r="C658" t="s">
        <v>87</v>
      </c>
      <c r="D658" t="s">
        <v>145</v>
      </c>
      <c r="E658" t="s">
        <v>1624</v>
      </c>
      <c r="F658">
        <v>3</v>
      </c>
      <c r="G658" t="s">
        <v>1618</v>
      </c>
      <c r="H658">
        <v>65</v>
      </c>
      <c r="K658" t="s">
        <v>1622</v>
      </c>
    </row>
    <row r="659" spans="1:11" x14ac:dyDescent="0.25">
      <c r="A659" t="s">
        <v>2414</v>
      </c>
      <c r="B659" t="s">
        <v>1057</v>
      </c>
      <c r="C659" t="s">
        <v>90</v>
      </c>
      <c r="D659" t="s">
        <v>160</v>
      </c>
      <c r="E659" t="s">
        <v>1857</v>
      </c>
      <c r="F659">
        <v>2</v>
      </c>
      <c r="G659" t="s">
        <v>1618</v>
      </c>
      <c r="K659" t="s">
        <v>1625</v>
      </c>
    </row>
    <row r="660" spans="1:11" x14ac:dyDescent="0.25">
      <c r="A660" t="s">
        <v>2415</v>
      </c>
      <c r="B660" t="s">
        <v>1058</v>
      </c>
      <c r="C660" t="s">
        <v>34</v>
      </c>
      <c r="D660" t="s">
        <v>160</v>
      </c>
      <c r="E660" t="s">
        <v>2046</v>
      </c>
      <c r="F660">
        <v>1</v>
      </c>
      <c r="G660" t="s">
        <v>1618</v>
      </c>
      <c r="K660" t="s">
        <v>1625</v>
      </c>
    </row>
    <row r="661" spans="1:11" x14ac:dyDescent="0.25">
      <c r="A661" t="s">
        <v>2416</v>
      </c>
      <c r="B661" t="s">
        <v>1060</v>
      </c>
      <c r="C661" t="s">
        <v>46</v>
      </c>
      <c r="D661" t="s">
        <v>147</v>
      </c>
      <c r="E661" t="s">
        <v>2169</v>
      </c>
      <c r="F661">
        <v>2</v>
      </c>
      <c r="G661" t="s">
        <v>1618</v>
      </c>
      <c r="K661" t="s">
        <v>1630</v>
      </c>
    </row>
    <row r="662" spans="1:11" x14ac:dyDescent="0.25">
      <c r="A662" t="s">
        <v>2417</v>
      </c>
      <c r="B662" t="s">
        <v>1061</v>
      </c>
      <c r="C662" t="s">
        <v>34</v>
      </c>
      <c r="D662" t="s">
        <v>160</v>
      </c>
      <c r="E662" t="s">
        <v>106</v>
      </c>
      <c r="F662">
        <v>2</v>
      </c>
      <c r="G662" t="s">
        <v>1618</v>
      </c>
      <c r="K662" t="s">
        <v>1625</v>
      </c>
    </row>
    <row r="663" spans="1:11" x14ac:dyDescent="0.25">
      <c r="A663" t="s">
        <v>2418</v>
      </c>
      <c r="B663" t="s">
        <v>1062</v>
      </c>
      <c r="C663" t="s">
        <v>103</v>
      </c>
      <c r="D663" t="s">
        <v>153</v>
      </c>
      <c r="E663" t="s">
        <v>1645</v>
      </c>
      <c r="F663">
        <v>3</v>
      </c>
      <c r="G663" t="s">
        <v>1618</v>
      </c>
      <c r="H663">
        <v>60</v>
      </c>
      <c r="K663" t="s">
        <v>1622</v>
      </c>
    </row>
    <row r="664" spans="1:11" x14ac:dyDescent="0.25">
      <c r="A664" t="s">
        <v>2419</v>
      </c>
      <c r="B664" t="s">
        <v>1063</v>
      </c>
      <c r="C664" t="s">
        <v>27</v>
      </c>
      <c r="D664" t="s">
        <v>147</v>
      </c>
      <c r="E664" t="s">
        <v>2046</v>
      </c>
      <c r="F664">
        <v>3</v>
      </c>
      <c r="G664" t="s">
        <v>1618</v>
      </c>
      <c r="H664">
        <v>79</v>
      </c>
      <c r="K664" t="s">
        <v>1622</v>
      </c>
    </row>
    <row r="665" spans="1:11" x14ac:dyDescent="0.25">
      <c r="A665" t="s">
        <v>2420</v>
      </c>
      <c r="B665" t="s">
        <v>1065</v>
      </c>
      <c r="C665" t="s">
        <v>127</v>
      </c>
      <c r="D665" t="s">
        <v>160</v>
      </c>
      <c r="E665" t="s">
        <v>1728</v>
      </c>
      <c r="F665">
        <v>3</v>
      </c>
      <c r="G665" t="s">
        <v>1618</v>
      </c>
      <c r="H665">
        <v>73</v>
      </c>
      <c r="K665" t="s">
        <v>1622</v>
      </c>
    </row>
    <row r="666" spans="1:11" x14ac:dyDescent="0.25">
      <c r="A666" t="s">
        <v>2421</v>
      </c>
      <c r="B666" t="s">
        <v>1066</v>
      </c>
      <c r="C666" t="s">
        <v>127</v>
      </c>
      <c r="D666" t="s">
        <v>160</v>
      </c>
      <c r="E666" t="s">
        <v>1678</v>
      </c>
      <c r="F666">
        <v>3</v>
      </c>
      <c r="G666" t="s">
        <v>1618</v>
      </c>
      <c r="H666">
        <v>80</v>
      </c>
      <c r="K666" t="s">
        <v>1622</v>
      </c>
    </row>
    <row r="667" spans="1:11" x14ac:dyDescent="0.25">
      <c r="A667" t="s">
        <v>2422</v>
      </c>
      <c r="B667" t="s">
        <v>1067</v>
      </c>
      <c r="C667" t="s">
        <v>69</v>
      </c>
      <c r="D667" t="s">
        <v>142</v>
      </c>
      <c r="E667" t="s">
        <v>86</v>
      </c>
      <c r="F667">
        <v>3</v>
      </c>
      <c r="G667" t="s">
        <v>1618</v>
      </c>
      <c r="H667">
        <v>60</v>
      </c>
      <c r="K667" t="s">
        <v>1622</v>
      </c>
    </row>
    <row r="668" spans="1:11" x14ac:dyDescent="0.25">
      <c r="A668" t="s">
        <v>2423</v>
      </c>
      <c r="B668" t="s">
        <v>1068</v>
      </c>
      <c r="C668" t="s">
        <v>79</v>
      </c>
      <c r="D668" t="s">
        <v>150</v>
      </c>
      <c r="E668" t="s">
        <v>1634</v>
      </c>
      <c r="F668">
        <v>4</v>
      </c>
      <c r="G668" t="s">
        <v>1618</v>
      </c>
      <c r="H668">
        <v>78</v>
      </c>
      <c r="I668">
        <v>66</v>
      </c>
      <c r="K668" t="s">
        <v>1635</v>
      </c>
    </row>
    <row r="669" spans="1:11" x14ac:dyDescent="0.25">
      <c r="A669" t="s">
        <v>2424</v>
      </c>
      <c r="B669" t="s">
        <v>1069</v>
      </c>
      <c r="C669" t="s">
        <v>105</v>
      </c>
      <c r="D669" t="s">
        <v>142</v>
      </c>
      <c r="E669" t="s">
        <v>86</v>
      </c>
      <c r="F669">
        <v>1</v>
      </c>
      <c r="G669" t="s">
        <v>1618</v>
      </c>
      <c r="K669" t="s">
        <v>1619</v>
      </c>
    </row>
    <row r="670" spans="1:11" x14ac:dyDescent="0.25">
      <c r="A670" t="s">
        <v>2425</v>
      </c>
      <c r="B670" t="s">
        <v>1070</v>
      </c>
      <c r="C670" t="s">
        <v>134</v>
      </c>
      <c r="D670" t="s">
        <v>150</v>
      </c>
      <c r="E670" t="s">
        <v>1651</v>
      </c>
      <c r="F670">
        <v>1</v>
      </c>
      <c r="G670" t="s">
        <v>1618</v>
      </c>
      <c r="K670" t="s">
        <v>1630</v>
      </c>
    </row>
    <row r="671" spans="1:11" x14ac:dyDescent="0.25">
      <c r="A671" t="s">
        <v>2426</v>
      </c>
      <c r="B671" t="s">
        <v>1071</v>
      </c>
      <c r="C671" t="s">
        <v>69</v>
      </c>
      <c r="D671" t="s">
        <v>158</v>
      </c>
      <c r="E671" t="s">
        <v>86</v>
      </c>
      <c r="F671">
        <v>2</v>
      </c>
      <c r="G671" t="s">
        <v>1618</v>
      </c>
      <c r="K671" t="s">
        <v>1619</v>
      </c>
    </row>
    <row r="672" spans="1:11" x14ac:dyDescent="0.25">
      <c r="A672" t="s">
        <v>2427</v>
      </c>
      <c r="B672" t="s">
        <v>1072</v>
      </c>
      <c r="C672" t="s">
        <v>103</v>
      </c>
      <c r="D672" t="s">
        <v>153</v>
      </c>
      <c r="E672" t="s">
        <v>1676</v>
      </c>
      <c r="F672">
        <v>1</v>
      </c>
      <c r="G672" t="s">
        <v>1618</v>
      </c>
      <c r="K672" t="s">
        <v>1619</v>
      </c>
    </row>
    <row r="673" spans="1:11" x14ac:dyDescent="0.25">
      <c r="A673" t="s">
        <v>2428</v>
      </c>
      <c r="B673" t="s">
        <v>1073</v>
      </c>
      <c r="C673" t="s">
        <v>52</v>
      </c>
      <c r="D673" t="s">
        <v>147</v>
      </c>
      <c r="E673" t="s">
        <v>1680</v>
      </c>
      <c r="F673">
        <v>2</v>
      </c>
      <c r="G673" t="s">
        <v>1618</v>
      </c>
      <c r="K673" t="s">
        <v>1619</v>
      </c>
    </row>
    <row r="674" spans="1:11" x14ac:dyDescent="0.25">
      <c r="A674" t="s">
        <v>2429</v>
      </c>
      <c r="B674" t="s">
        <v>1074</v>
      </c>
      <c r="C674" t="s">
        <v>136</v>
      </c>
      <c r="D674" t="s">
        <v>142</v>
      </c>
      <c r="E674" t="s">
        <v>78</v>
      </c>
      <c r="F674">
        <v>3</v>
      </c>
      <c r="G674" t="s">
        <v>1618</v>
      </c>
      <c r="H674">
        <v>75</v>
      </c>
      <c r="K674" t="s">
        <v>1622</v>
      </c>
    </row>
    <row r="675" spans="1:11" x14ac:dyDescent="0.25">
      <c r="A675" t="s">
        <v>2430</v>
      </c>
      <c r="B675" t="s">
        <v>1075</v>
      </c>
      <c r="C675" t="s">
        <v>125</v>
      </c>
      <c r="D675" t="s">
        <v>153</v>
      </c>
      <c r="E675" t="s">
        <v>1713</v>
      </c>
      <c r="F675">
        <v>2</v>
      </c>
      <c r="G675" t="s">
        <v>1618</v>
      </c>
      <c r="K675" t="s">
        <v>1625</v>
      </c>
    </row>
    <row r="676" spans="1:11" x14ac:dyDescent="0.25">
      <c r="A676" t="s">
        <v>2431</v>
      </c>
      <c r="B676" t="s">
        <v>1076</v>
      </c>
      <c r="C676" t="s">
        <v>23</v>
      </c>
      <c r="D676" t="s">
        <v>160</v>
      </c>
      <c r="E676" t="s">
        <v>1627</v>
      </c>
      <c r="F676">
        <v>2</v>
      </c>
      <c r="G676" t="s">
        <v>1618</v>
      </c>
      <c r="K676" t="s">
        <v>1619</v>
      </c>
    </row>
    <row r="677" spans="1:11" x14ac:dyDescent="0.25">
      <c r="A677" t="s">
        <v>2432</v>
      </c>
      <c r="B677" t="s">
        <v>1077</v>
      </c>
      <c r="C677" t="s">
        <v>123</v>
      </c>
      <c r="D677" t="s">
        <v>160</v>
      </c>
      <c r="E677" t="s">
        <v>1960</v>
      </c>
      <c r="F677">
        <v>1</v>
      </c>
      <c r="G677" t="s">
        <v>1618</v>
      </c>
      <c r="K677" t="s">
        <v>1619</v>
      </c>
    </row>
    <row r="678" spans="1:11" x14ac:dyDescent="0.25">
      <c r="A678" t="s">
        <v>2433</v>
      </c>
      <c r="B678" t="s">
        <v>1078</v>
      </c>
      <c r="C678" t="s">
        <v>103</v>
      </c>
      <c r="D678" t="s">
        <v>153</v>
      </c>
      <c r="E678" t="s">
        <v>51</v>
      </c>
      <c r="F678">
        <v>4</v>
      </c>
      <c r="G678" t="s">
        <v>1618</v>
      </c>
      <c r="H678">
        <v>68</v>
      </c>
      <c r="I678">
        <v>78</v>
      </c>
      <c r="K678" t="s">
        <v>1659</v>
      </c>
    </row>
    <row r="679" spans="1:11" x14ac:dyDescent="0.25">
      <c r="A679" t="s">
        <v>2434</v>
      </c>
      <c r="B679" t="s">
        <v>1079</v>
      </c>
      <c r="C679" t="s">
        <v>14</v>
      </c>
      <c r="D679" t="s">
        <v>158</v>
      </c>
      <c r="E679" t="s">
        <v>1741</v>
      </c>
      <c r="F679">
        <v>5</v>
      </c>
      <c r="G679" t="s">
        <v>1618</v>
      </c>
      <c r="H679">
        <v>74</v>
      </c>
      <c r="I679">
        <v>78</v>
      </c>
      <c r="K679" t="s">
        <v>1635</v>
      </c>
    </row>
    <row r="680" spans="1:11" x14ac:dyDescent="0.25">
      <c r="A680" t="s">
        <v>2435</v>
      </c>
      <c r="B680" t="s">
        <v>1080</v>
      </c>
      <c r="C680" t="s">
        <v>107</v>
      </c>
      <c r="D680" t="s">
        <v>150</v>
      </c>
      <c r="E680" t="s">
        <v>1685</v>
      </c>
      <c r="F680">
        <v>2</v>
      </c>
      <c r="G680" t="s">
        <v>1618</v>
      </c>
      <c r="K680" t="s">
        <v>1630</v>
      </c>
    </row>
    <row r="681" spans="1:11" x14ac:dyDescent="0.25">
      <c r="A681" t="s">
        <v>2436</v>
      </c>
      <c r="B681" t="s">
        <v>1081</v>
      </c>
      <c r="C681" t="s">
        <v>49</v>
      </c>
      <c r="D681" t="s">
        <v>158</v>
      </c>
      <c r="E681" t="s">
        <v>1719</v>
      </c>
      <c r="F681">
        <v>3</v>
      </c>
      <c r="G681" t="s">
        <v>1618</v>
      </c>
      <c r="H681">
        <v>65</v>
      </c>
      <c r="K681" t="s">
        <v>1622</v>
      </c>
    </row>
    <row r="682" spans="1:11" x14ac:dyDescent="0.25">
      <c r="A682" t="s">
        <v>2437</v>
      </c>
      <c r="B682" t="s">
        <v>1082</v>
      </c>
      <c r="C682" t="s">
        <v>71</v>
      </c>
      <c r="D682" t="s">
        <v>142</v>
      </c>
      <c r="E682" t="s">
        <v>1824</v>
      </c>
      <c r="F682">
        <v>1</v>
      </c>
      <c r="G682" t="s">
        <v>1618</v>
      </c>
      <c r="K682" t="s">
        <v>1625</v>
      </c>
    </row>
    <row r="683" spans="1:11" x14ac:dyDescent="0.25">
      <c r="A683" t="s">
        <v>2438</v>
      </c>
      <c r="B683" t="s">
        <v>1083</v>
      </c>
      <c r="C683" t="s">
        <v>37</v>
      </c>
      <c r="D683" t="s">
        <v>147</v>
      </c>
      <c r="E683" t="s">
        <v>1661</v>
      </c>
      <c r="F683">
        <v>4</v>
      </c>
      <c r="G683" t="s">
        <v>1618</v>
      </c>
      <c r="H683">
        <v>73</v>
      </c>
      <c r="I683">
        <v>79</v>
      </c>
      <c r="K683" t="s">
        <v>1635</v>
      </c>
    </row>
    <row r="684" spans="1:11" x14ac:dyDescent="0.25">
      <c r="A684" t="s">
        <v>2439</v>
      </c>
      <c r="B684" t="s">
        <v>1084</v>
      </c>
      <c r="C684" t="s">
        <v>73</v>
      </c>
      <c r="D684" t="s">
        <v>153</v>
      </c>
      <c r="E684" t="s">
        <v>68</v>
      </c>
      <c r="F684">
        <v>1</v>
      </c>
      <c r="G684" t="s">
        <v>1618</v>
      </c>
      <c r="K684" t="s">
        <v>1630</v>
      </c>
    </row>
    <row r="685" spans="1:11" x14ac:dyDescent="0.25">
      <c r="A685" t="s">
        <v>2440</v>
      </c>
      <c r="B685" t="s">
        <v>1085</v>
      </c>
      <c r="C685" t="s">
        <v>76</v>
      </c>
      <c r="D685" t="s">
        <v>153</v>
      </c>
      <c r="E685" t="s">
        <v>1634</v>
      </c>
      <c r="F685">
        <v>3</v>
      </c>
      <c r="G685" t="s">
        <v>1618</v>
      </c>
      <c r="H685">
        <v>61</v>
      </c>
      <c r="K685" t="s">
        <v>1622</v>
      </c>
    </row>
    <row r="686" spans="1:11" x14ac:dyDescent="0.25">
      <c r="A686" t="s">
        <v>2441</v>
      </c>
      <c r="B686" t="s">
        <v>1086</v>
      </c>
      <c r="C686" t="s">
        <v>65</v>
      </c>
      <c r="D686" t="s">
        <v>145</v>
      </c>
      <c r="E686" t="s">
        <v>1726</v>
      </c>
      <c r="F686">
        <v>3</v>
      </c>
      <c r="G686" t="s">
        <v>1618</v>
      </c>
      <c r="H686">
        <v>69</v>
      </c>
      <c r="K686" t="s">
        <v>1622</v>
      </c>
    </row>
    <row r="687" spans="1:11" x14ac:dyDescent="0.25">
      <c r="A687" t="s">
        <v>2442</v>
      </c>
      <c r="B687" t="s">
        <v>1087</v>
      </c>
      <c r="C687" t="s">
        <v>43</v>
      </c>
      <c r="D687" t="s">
        <v>142</v>
      </c>
      <c r="E687" t="s">
        <v>1948</v>
      </c>
      <c r="F687">
        <v>2</v>
      </c>
      <c r="G687" t="s">
        <v>1618</v>
      </c>
      <c r="K687" t="s">
        <v>1630</v>
      </c>
    </row>
    <row r="688" spans="1:11" x14ac:dyDescent="0.25">
      <c r="A688" t="s">
        <v>2443</v>
      </c>
      <c r="B688" t="s">
        <v>1088</v>
      </c>
      <c r="C688" t="s">
        <v>100</v>
      </c>
      <c r="D688" t="s">
        <v>150</v>
      </c>
      <c r="E688" t="s">
        <v>1624</v>
      </c>
      <c r="F688">
        <v>3</v>
      </c>
      <c r="G688" t="s">
        <v>1618</v>
      </c>
      <c r="H688">
        <v>70</v>
      </c>
      <c r="K688" t="s">
        <v>1622</v>
      </c>
    </row>
    <row r="689" spans="1:11" x14ac:dyDescent="0.25">
      <c r="A689" t="s">
        <v>2444</v>
      </c>
      <c r="B689" t="s">
        <v>1089</v>
      </c>
      <c r="C689" t="s">
        <v>59</v>
      </c>
      <c r="D689" t="s">
        <v>145</v>
      </c>
      <c r="E689" t="s">
        <v>2094</v>
      </c>
      <c r="F689">
        <v>4</v>
      </c>
      <c r="G689" t="s">
        <v>1618</v>
      </c>
      <c r="H689">
        <v>76</v>
      </c>
      <c r="I689">
        <v>72</v>
      </c>
      <c r="K689" t="s">
        <v>1635</v>
      </c>
    </row>
    <row r="690" spans="1:11" x14ac:dyDescent="0.25">
      <c r="A690" t="s">
        <v>2445</v>
      </c>
      <c r="B690" t="s">
        <v>1090</v>
      </c>
      <c r="C690" t="s">
        <v>94</v>
      </c>
      <c r="D690" t="s">
        <v>150</v>
      </c>
      <c r="E690" t="s">
        <v>1624</v>
      </c>
      <c r="F690">
        <v>1</v>
      </c>
      <c r="G690" t="s">
        <v>1618</v>
      </c>
      <c r="K690" t="s">
        <v>1619</v>
      </c>
    </row>
    <row r="691" spans="1:11" x14ac:dyDescent="0.25">
      <c r="A691" t="s">
        <v>2446</v>
      </c>
      <c r="B691" t="s">
        <v>1091</v>
      </c>
      <c r="C691" t="s">
        <v>134</v>
      </c>
      <c r="D691" t="s">
        <v>150</v>
      </c>
      <c r="E691" t="s">
        <v>1724</v>
      </c>
      <c r="F691">
        <v>3</v>
      </c>
      <c r="G691" t="s">
        <v>1618</v>
      </c>
      <c r="H691">
        <v>77</v>
      </c>
      <c r="K691" t="s">
        <v>1622</v>
      </c>
    </row>
    <row r="692" spans="1:11" x14ac:dyDescent="0.25">
      <c r="A692" t="s">
        <v>2447</v>
      </c>
      <c r="B692" t="s">
        <v>1092</v>
      </c>
      <c r="C692" t="s">
        <v>79</v>
      </c>
      <c r="D692" t="s">
        <v>150</v>
      </c>
      <c r="E692" t="s">
        <v>1758</v>
      </c>
      <c r="F692">
        <v>2</v>
      </c>
      <c r="G692" t="s">
        <v>1618</v>
      </c>
      <c r="K692" t="s">
        <v>1619</v>
      </c>
    </row>
    <row r="693" spans="1:11" x14ac:dyDescent="0.25">
      <c r="A693" t="s">
        <v>2448</v>
      </c>
      <c r="B693" t="s">
        <v>1093</v>
      </c>
      <c r="C693" t="s">
        <v>52</v>
      </c>
      <c r="D693" t="s">
        <v>147</v>
      </c>
      <c r="E693" t="s">
        <v>1785</v>
      </c>
      <c r="F693">
        <v>3</v>
      </c>
      <c r="G693" t="s">
        <v>1618</v>
      </c>
      <c r="H693">
        <v>80</v>
      </c>
      <c r="K693" t="s">
        <v>1622</v>
      </c>
    </row>
    <row r="694" spans="1:11" x14ac:dyDescent="0.25">
      <c r="A694" t="s">
        <v>2449</v>
      </c>
      <c r="B694" t="s">
        <v>1094</v>
      </c>
      <c r="C694" t="s">
        <v>52</v>
      </c>
      <c r="D694" t="s">
        <v>147</v>
      </c>
      <c r="E694" t="s">
        <v>1948</v>
      </c>
      <c r="F694">
        <v>7</v>
      </c>
      <c r="G694" t="s">
        <v>1692</v>
      </c>
      <c r="H694">
        <v>72</v>
      </c>
      <c r="I694">
        <v>87</v>
      </c>
      <c r="J694">
        <v>21</v>
      </c>
      <c r="K694" t="s">
        <v>1693</v>
      </c>
    </row>
    <row r="695" spans="1:11" x14ac:dyDescent="0.25">
      <c r="A695" t="s">
        <v>2450</v>
      </c>
      <c r="B695" t="s">
        <v>1095</v>
      </c>
      <c r="C695" t="s">
        <v>8</v>
      </c>
      <c r="D695" t="s">
        <v>160</v>
      </c>
      <c r="E695" t="s">
        <v>137</v>
      </c>
      <c r="F695">
        <v>3</v>
      </c>
      <c r="G695" t="s">
        <v>1618</v>
      </c>
      <c r="H695">
        <v>54</v>
      </c>
      <c r="K695" t="s">
        <v>1622</v>
      </c>
    </row>
    <row r="696" spans="1:11" x14ac:dyDescent="0.25">
      <c r="A696" t="s">
        <v>2451</v>
      </c>
      <c r="B696" t="s">
        <v>1096</v>
      </c>
      <c r="C696" t="s">
        <v>31</v>
      </c>
      <c r="D696" t="s">
        <v>160</v>
      </c>
      <c r="E696" t="s">
        <v>1673</v>
      </c>
      <c r="F696">
        <v>3</v>
      </c>
      <c r="G696" t="s">
        <v>1618</v>
      </c>
      <c r="H696">
        <v>61</v>
      </c>
      <c r="K696" t="s">
        <v>1622</v>
      </c>
    </row>
    <row r="697" spans="1:11" x14ac:dyDescent="0.25">
      <c r="A697" t="s">
        <v>2452</v>
      </c>
      <c r="B697" t="s">
        <v>1097</v>
      </c>
      <c r="C697" t="s">
        <v>97</v>
      </c>
      <c r="D697" t="s">
        <v>158</v>
      </c>
      <c r="E697" t="s">
        <v>2094</v>
      </c>
      <c r="F697">
        <v>3</v>
      </c>
      <c r="G697" t="s">
        <v>1618</v>
      </c>
      <c r="H697">
        <v>71</v>
      </c>
      <c r="K697" t="s">
        <v>1622</v>
      </c>
    </row>
    <row r="698" spans="1:11" x14ac:dyDescent="0.25">
      <c r="A698" t="s">
        <v>2453</v>
      </c>
      <c r="B698" t="s">
        <v>1099</v>
      </c>
      <c r="C698" t="s">
        <v>107</v>
      </c>
      <c r="D698" t="s">
        <v>150</v>
      </c>
      <c r="E698" t="s">
        <v>1785</v>
      </c>
      <c r="F698">
        <v>1</v>
      </c>
      <c r="G698" t="s">
        <v>1618</v>
      </c>
      <c r="K698" t="s">
        <v>1625</v>
      </c>
    </row>
    <row r="699" spans="1:11" x14ac:dyDescent="0.25">
      <c r="A699" t="s">
        <v>2454</v>
      </c>
      <c r="B699" t="s">
        <v>1100</v>
      </c>
      <c r="C699" t="s">
        <v>136</v>
      </c>
      <c r="D699" t="s">
        <v>142</v>
      </c>
      <c r="E699" t="s">
        <v>82</v>
      </c>
      <c r="F699">
        <v>1</v>
      </c>
      <c r="G699" t="s">
        <v>1618</v>
      </c>
      <c r="K699" t="s">
        <v>1619</v>
      </c>
    </row>
    <row r="700" spans="1:11" x14ac:dyDescent="0.25">
      <c r="A700" t="s">
        <v>2455</v>
      </c>
      <c r="B700" t="s">
        <v>1101</v>
      </c>
      <c r="C700" t="s">
        <v>94</v>
      </c>
      <c r="D700" t="s">
        <v>150</v>
      </c>
      <c r="E700" t="s">
        <v>2456</v>
      </c>
      <c r="F700">
        <v>7</v>
      </c>
      <c r="G700" t="s">
        <v>1692</v>
      </c>
      <c r="H700">
        <v>70</v>
      </c>
      <c r="I700">
        <v>84</v>
      </c>
      <c r="J700">
        <v>27</v>
      </c>
      <c r="K700" t="s">
        <v>1693</v>
      </c>
    </row>
    <row r="701" spans="1:11" x14ac:dyDescent="0.25">
      <c r="A701" t="s">
        <v>2457</v>
      </c>
      <c r="B701" t="s">
        <v>1103</v>
      </c>
      <c r="C701" t="s">
        <v>83</v>
      </c>
      <c r="D701" t="s">
        <v>158</v>
      </c>
      <c r="E701" t="s">
        <v>1787</v>
      </c>
      <c r="F701">
        <v>3</v>
      </c>
      <c r="G701" t="s">
        <v>1618</v>
      </c>
      <c r="H701">
        <v>48</v>
      </c>
      <c r="K701" t="s">
        <v>1622</v>
      </c>
    </row>
    <row r="702" spans="1:11" x14ac:dyDescent="0.25">
      <c r="A702" t="s">
        <v>2458</v>
      </c>
      <c r="B702" t="s">
        <v>1105</v>
      </c>
      <c r="C702" t="s">
        <v>71</v>
      </c>
      <c r="D702" t="s">
        <v>158</v>
      </c>
      <c r="E702" t="s">
        <v>1627</v>
      </c>
      <c r="F702">
        <v>7</v>
      </c>
      <c r="G702" t="s">
        <v>1692</v>
      </c>
      <c r="H702">
        <v>79</v>
      </c>
      <c r="I702">
        <v>94</v>
      </c>
      <c r="J702">
        <v>27</v>
      </c>
      <c r="K702" t="s">
        <v>1693</v>
      </c>
    </row>
    <row r="703" spans="1:11" x14ac:dyDescent="0.25">
      <c r="A703" t="s">
        <v>2459</v>
      </c>
      <c r="B703" t="s">
        <v>1106</v>
      </c>
      <c r="C703" t="s">
        <v>110</v>
      </c>
      <c r="D703" t="s">
        <v>145</v>
      </c>
      <c r="E703" t="s">
        <v>2460</v>
      </c>
      <c r="F703">
        <v>2</v>
      </c>
      <c r="G703" t="s">
        <v>1618</v>
      </c>
      <c r="K703" t="s">
        <v>1619</v>
      </c>
    </row>
    <row r="704" spans="1:11" x14ac:dyDescent="0.25">
      <c r="A704" t="s">
        <v>2461</v>
      </c>
      <c r="B704" t="s">
        <v>1107</v>
      </c>
      <c r="C704" t="s">
        <v>69</v>
      </c>
      <c r="D704" t="s">
        <v>158</v>
      </c>
      <c r="E704" t="s">
        <v>86</v>
      </c>
      <c r="F704">
        <v>3</v>
      </c>
      <c r="G704" t="s">
        <v>1618</v>
      </c>
      <c r="H704">
        <v>66</v>
      </c>
      <c r="K704" t="s">
        <v>1622</v>
      </c>
    </row>
    <row r="705" spans="1:11" x14ac:dyDescent="0.25">
      <c r="A705" t="s">
        <v>2462</v>
      </c>
      <c r="B705" t="s">
        <v>1108</v>
      </c>
      <c r="C705" t="s">
        <v>66</v>
      </c>
      <c r="D705" t="s">
        <v>160</v>
      </c>
      <c r="E705" t="s">
        <v>1917</v>
      </c>
      <c r="F705">
        <v>1</v>
      </c>
      <c r="G705" t="s">
        <v>1618</v>
      </c>
      <c r="K705" t="s">
        <v>1625</v>
      </c>
    </row>
    <row r="706" spans="1:11" x14ac:dyDescent="0.25">
      <c r="A706" t="s">
        <v>2463</v>
      </c>
      <c r="B706" t="s">
        <v>1109</v>
      </c>
      <c r="C706" t="s">
        <v>39</v>
      </c>
      <c r="D706" t="s">
        <v>145</v>
      </c>
      <c r="E706" t="s">
        <v>26</v>
      </c>
      <c r="F706">
        <v>4</v>
      </c>
      <c r="G706" t="s">
        <v>1618</v>
      </c>
      <c r="H706">
        <v>78</v>
      </c>
      <c r="I706">
        <v>89</v>
      </c>
      <c r="K706" t="s">
        <v>1635</v>
      </c>
    </row>
    <row r="707" spans="1:11" x14ac:dyDescent="0.25">
      <c r="A707" t="s">
        <v>2464</v>
      </c>
      <c r="B707" t="s">
        <v>1110</v>
      </c>
      <c r="C707" t="s">
        <v>98</v>
      </c>
      <c r="D707" t="s">
        <v>145</v>
      </c>
      <c r="E707" t="s">
        <v>2071</v>
      </c>
      <c r="F707">
        <v>2</v>
      </c>
      <c r="G707" t="s">
        <v>1618</v>
      </c>
      <c r="K707" t="s">
        <v>1630</v>
      </c>
    </row>
    <row r="708" spans="1:11" x14ac:dyDescent="0.25">
      <c r="A708" t="s">
        <v>2465</v>
      </c>
      <c r="B708" t="s">
        <v>1111</v>
      </c>
      <c r="C708" t="s">
        <v>90</v>
      </c>
      <c r="D708" t="s">
        <v>145</v>
      </c>
      <c r="E708" t="s">
        <v>78</v>
      </c>
      <c r="F708">
        <v>2</v>
      </c>
      <c r="G708" t="s">
        <v>1618</v>
      </c>
      <c r="K708" t="s">
        <v>1619</v>
      </c>
    </row>
    <row r="709" spans="1:11" x14ac:dyDescent="0.25">
      <c r="A709" t="s">
        <v>2466</v>
      </c>
      <c r="B709" t="s">
        <v>1112</v>
      </c>
      <c r="C709" t="s">
        <v>37</v>
      </c>
      <c r="D709" t="s">
        <v>147</v>
      </c>
      <c r="E709" t="s">
        <v>13</v>
      </c>
      <c r="F709">
        <v>3</v>
      </c>
      <c r="G709" t="s">
        <v>1618</v>
      </c>
      <c r="H709">
        <v>80</v>
      </c>
      <c r="K709" t="s">
        <v>1622</v>
      </c>
    </row>
    <row r="710" spans="1:11" x14ac:dyDescent="0.25">
      <c r="A710" t="s">
        <v>2467</v>
      </c>
      <c r="B710" t="s">
        <v>1113</v>
      </c>
      <c r="C710" t="s">
        <v>103</v>
      </c>
      <c r="D710" t="s">
        <v>153</v>
      </c>
      <c r="E710" t="s">
        <v>1812</v>
      </c>
      <c r="F710">
        <v>7</v>
      </c>
      <c r="G710" t="s">
        <v>1692</v>
      </c>
      <c r="H710">
        <v>75</v>
      </c>
      <c r="I710">
        <v>85</v>
      </c>
      <c r="J710">
        <v>18</v>
      </c>
      <c r="K710" t="s">
        <v>1693</v>
      </c>
    </row>
    <row r="711" spans="1:11" x14ac:dyDescent="0.25">
      <c r="A711" t="s">
        <v>2468</v>
      </c>
      <c r="B711" t="s">
        <v>1114</v>
      </c>
      <c r="C711" t="s">
        <v>8</v>
      </c>
      <c r="D711" t="s">
        <v>145</v>
      </c>
      <c r="E711" t="s">
        <v>1739</v>
      </c>
      <c r="F711">
        <v>2</v>
      </c>
      <c r="G711" t="s">
        <v>1618</v>
      </c>
      <c r="K711" t="s">
        <v>1630</v>
      </c>
    </row>
    <row r="712" spans="1:11" x14ac:dyDescent="0.25">
      <c r="A712" t="s">
        <v>2469</v>
      </c>
      <c r="B712" t="s">
        <v>1115</v>
      </c>
      <c r="C712" t="s">
        <v>83</v>
      </c>
      <c r="D712" t="s">
        <v>158</v>
      </c>
      <c r="E712" t="s">
        <v>2470</v>
      </c>
      <c r="F712">
        <v>1</v>
      </c>
      <c r="G712" t="s">
        <v>1618</v>
      </c>
      <c r="K712" t="s">
        <v>1619</v>
      </c>
    </row>
    <row r="713" spans="1:11" x14ac:dyDescent="0.25">
      <c r="A713" t="s">
        <v>2471</v>
      </c>
      <c r="B713" t="s">
        <v>1116</v>
      </c>
      <c r="C713" t="s">
        <v>69</v>
      </c>
      <c r="D713" t="s">
        <v>158</v>
      </c>
      <c r="E713" t="s">
        <v>2472</v>
      </c>
      <c r="F713">
        <v>2</v>
      </c>
      <c r="G713" t="s">
        <v>1618</v>
      </c>
      <c r="K713" t="s">
        <v>1619</v>
      </c>
    </row>
    <row r="714" spans="1:11" x14ac:dyDescent="0.25">
      <c r="A714" t="s">
        <v>2473</v>
      </c>
      <c r="B714" t="s">
        <v>1117</v>
      </c>
      <c r="C714" t="s">
        <v>59</v>
      </c>
      <c r="D714" t="s">
        <v>145</v>
      </c>
      <c r="E714" t="s">
        <v>1789</v>
      </c>
      <c r="F714">
        <v>1</v>
      </c>
      <c r="G714" t="s">
        <v>1618</v>
      </c>
      <c r="K714" t="s">
        <v>1630</v>
      </c>
    </row>
    <row r="715" spans="1:11" x14ac:dyDescent="0.25">
      <c r="A715" t="s">
        <v>2474</v>
      </c>
      <c r="B715" t="s">
        <v>1118</v>
      </c>
      <c r="C715" t="s">
        <v>87</v>
      </c>
      <c r="D715" t="s">
        <v>145</v>
      </c>
      <c r="E715" t="s">
        <v>1751</v>
      </c>
      <c r="F715">
        <v>4</v>
      </c>
      <c r="G715" t="s">
        <v>1618</v>
      </c>
      <c r="H715">
        <v>87</v>
      </c>
      <c r="I715">
        <v>90</v>
      </c>
      <c r="K715" t="s">
        <v>1635</v>
      </c>
    </row>
    <row r="716" spans="1:11" x14ac:dyDescent="0.25">
      <c r="A716" t="s">
        <v>2475</v>
      </c>
      <c r="B716" t="s">
        <v>1119</v>
      </c>
      <c r="C716" t="s">
        <v>31</v>
      </c>
      <c r="D716" t="s">
        <v>145</v>
      </c>
      <c r="E716" t="s">
        <v>1807</v>
      </c>
      <c r="F716">
        <v>4</v>
      </c>
      <c r="G716" t="s">
        <v>1618</v>
      </c>
      <c r="H716">
        <v>85</v>
      </c>
      <c r="I716">
        <v>79</v>
      </c>
      <c r="K716" t="s">
        <v>1635</v>
      </c>
    </row>
    <row r="717" spans="1:11" x14ac:dyDescent="0.25">
      <c r="A717" t="s">
        <v>2476</v>
      </c>
      <c r="B717" t="s">
        <v>1120</v>
      </c>
      <c r="C717" t="s">
        <v>52</v>
      </c>
      <c r="D717" t="s">
        <v>147</v>
      </c>
      <c r="E717" t="s">
        <v>1707</v>
      </c>
      <c r="F717">
        <v>4</v>
      </c>
      <c r="G717" t="s">
        <v>1618</v>
      </c>
      <c r="H717">
        <v>71</v>
      </c>
      <c r="I717">
        <v>80</v>
      </c>
      <c r="K717" t="s">
        <v>1659</v>
      </c>
    </row>
    <row r="718" spans="1:11" x14ac:dyDescent="0.25">
      <c r="A718" t="s">
        <v>2477</v>
      </c>
      <c r="B718" t="s">
        <v>1121</v>
      </c>
      <c r="C718" t="s">
        <v>101</v>
      </c>
      <c r="D718" t="s">
        <v>153</v>
      </c>
      <c r="E718" t="s">
        <v>2478</v>
      </c>
      <c r="F718">
        <v>2</v>
      </c>
      <c r="G718" t="s">
        <v>1618</v>
      </c>
      <c r="K718" t="s">
        <v>1619</v>
      </c>
    </row>
    <row r="719" spans="1:11" x14ac:dyDescent="0.25">
      <c r="A719" t="s">
        <v>2479</v>
      </c>
      <c r="B719" t="s">
        <v>1122</v>
      </c>
      <c r="C719" t="s">
        <v>65</v>
      </c>
      <c r="D719" t="s">
        <v>160</v>
      </c>
      <c r="E719" t="s">
        <v>1751</v>
      </c>
      <c r="F719">
        <v>3</v>
      </c>
      <c r="G719" t="s">
        <v>1618</v>
      </c>
      <c r="H719">
        <v>66</v>
      </c>
      <c r="K719" t="s">
        <v>1622</v>
      </c>
    </row>
    <row r="720" spans="1:11" x14ac:dyDescent="0.25">
      <c r="A720" t="s">
        <v>2480</v>
      </c>
      <c r="B720" t="s">
        <v>1123</v>
      </c>
      <c r="C720" t="s">
        <v>100</v>
      </c>
      <c r="D720" t="s">
        <v>150</v>
      </c>
      <c r="E720" t="s">
        <v>1621</v>
      </c>
      <c r="F720">
        <v>3</v>
      </c>
      <c r="G720" t="s">
        <v>1618</v>
      </c>
      <c r="H720">
        <v>78</v>
      </c>
      <c r="K720" t="s">
        <v>1622</v>
      </c>
    </row>
    <row r="721" spans="1:11" x14ac:dyDescent="0.25">
      <c r="A721" t="s">
        <v>2481</v>
      </c>
      <c r="B721" t="s">
        <v>1124</v>
      </c>
      <c r="C721" t="s">
        <v>98</v>
      </c>
      <c r="D721" t="s">
        <v>145</v>
      </c>
      <c r="E721" t="s">
        <v>2071</v>
      </c>
      <c r="F721">
        <v>2</v>
      </c>
      <c r="G721" t="s">
        <v>1618</v>
      </c>
      <c r="K721" t="s">
        <v>1630</v>
      </c>
    </row>
    <row r="722" spans="1:11" x14ac:dyDescent="0.25">
      <c r="A722" t="s">
        <v>2482</v>
      </c>
      <c r="B722" t="s">
        <v>1125</v>
      </c>
      <c r="C722" t="s">
        <v>59</v>
      </c>
      <c r="D722" t="s">
        <v>160</v>
      </c>
      <c r="E722" t="s">
        <v>68</v>
      </c>
      <c r="F722">
        <v>3</v>
      </c>
      <c r="G722" t="s">
        <v>1618</v>
      </c>
      <c r="H722">
        <v>64</v>
      </c>
      <c r="K722" t="s">
        <v>1622</v>
      </c>
    </row>
    <row r="723" spans="1:11" x14ac:dyDescent="0.25">
      <c r="A723" t="s">
        <v>2483</v>
      </c>
      <c r="B723" t="s">
        <v>1126</v>
      </c>
      <c r="C723" t="s">
        <v>107</v>
      </c>
      <c r="D723" t="s">
        <v>150</v>
      </c>
      <c r="E723" t="s">
        <v>1769</v>
      </c>
      <c r="F723">
        <v>2</v>
      </c>
      <c r="G723" t="s">
        <v>1618</v>
      </c>
      <c r="K723" t="s">
        <v>1619</v>
      </c>
    </row>
    <row r="724" spans="1:11" x14ac:dyDescent="0.25">
      <c r="A724" t="s">
        <v>2484</v>
      </c>
      <c r="B724" t="s">
        <v>1127</v>
      </c>
      <c r="C724" t="s">
        <v>52</v>
      </c>
      <c r="D724" t="s">
        <v>147</v>
      </c>
      <c r="E724" t="s">
        <v>1787</v>
      </c>
      <c r="F724">
        <v>1</v>
      </c>
      <c r="G724" t="s">
        <v>1618</v>
      </c>
      <c r="K724" t="s">
        <v>1630</v>
      </c>
    </row>
    <row r="725" spans="1:11" x14ac:dyDescent="0.25">
      <c r="A725" t="s">
        <v>2485</v>
      </c>
      <c r="B725" t="s">
        <v>1128</v>
      </c>
      <c r="C725" t="s">
        <v>83</v>
      </c>
      <c r="D725" t="s">
        <v>142</v>
      </c>
      <c r="E725" t="s">
        <v>1673</v>
      </c>
      <c r="F725">
        <v>1</v>
      </c>
      <c r="G725" t="s">
        <v>1618</v>
      </c>
      <c r="K725" t="s">
        <v>1619</v>
      </c>
    </row>
    <row r="726" spans="1:11" x14ac:dyDescent="0.25">
      <c r="A726" t="s">
        <v>2486</v>
      </c>
      <c r="B726" t="s">
        <v>1129</v>
      </c>
      <c r="C726" t="s">
        <v>130</v>
      </c>
      <c r="D726" t="s">
        <v>142</v>
      </c>
      <c r="E726" t="s">
        <v>2217</v>
      </c>
      <c r="F726">
        <v>3</v>
      </c>
      <c r="G726" t="s">
        <v>1618</v>
      </c>
      <c r="H726">
        <v>40</v>
      </c>
      <c r="K726" t="s">
        <v>1622</v>
      </c>
    </row>
    <row r="727" spans="1:11" x14ac:dyDescent="0.25">
      <c r="A727" t="s">
        <v>2487</v>
      </c>
      <c r="B727" t="s">
        <v>1130</v>
      </c>
      <c r="C727" t="s">
        <v>59</v>
      </c>
      <c r="D727" t="s">
        <v>145</v>
      </c>
      <c r="E727" t="s">
        <v>82</v>
      </c>
      <c r="F727">
        <v>2</v>
      </c>
      <c r="G727" t="s">
        <v>1618</v>
      </c>
      <c r="K727" t="s">
        <v>1619</v>
      </c>
    </row>
    <row r="728" spans="1:11" x14ac:dyDescent="0.25">
      <c r="A728" t="s">
        <v>2488</v>
      </c>
      <c r="B728" t="s">
        <v>1131</v>
      </c>
      <c r="C728" t="s">
        <v>83</v>
      </c>
      <c r="D728" t="s">
        <v>158</v>
      </c>
      <c r="E728" t="s">
        <v>1689</v>
      </c>
      <c r="F728">
        <v>3</v>
      </c>
      <c r="G728" t="s">
        <v>1618</v>
      </c>
      <c r="H728">
        <v>63</v>
      </c>
      <c r="K728" t="s">
        <v>1622</v>
      </c>
    </row>
    <row r="729" spans="1:11" x14ac:dyDescent="0.25">
      <c r="A729" t="s">
        <v>2489</v>
      </c>
      <c r="B729" t="s">
        <v>1132</v>
      </c>
      <c r="C729" t="s">
        <v>8</v>
      </c>
      <c r="D729" t="s">
        <v>160</v>
      </c>
      <c r="E729" t="s">
        <v>2046</v>
      </c>
      <c r="F729">
        <v>1</v>
      </c>
      <c r="G729" t="s">
        <v>1618</v>
      </c>
      <c r="K729" t="s">
        <v>1630</v>
      </c>
    </row>
    <row r="730" spans="1:11" x14ac:dyDescent="0.25">
      <c r="A730" t="s">
        <v>2490</v>
      </c>
      <c r="B730" t="s">
        <v>1133</v>
      </c>
      <c r="C730" t="s">
        <v>85</v>
      </c>
      <c r="D730" t="s">
        <v>160</v>
      </c>
      <c r="E730" t="s">
        <v>104</v>
      </c>
      <c r="F730">
        <v>2</v>
      </c>
      <c r="G730" t="s">
        <v>1618</v>
      </c>
      <c r="K730" t="s">
        <v>1630</v>
      </c>
    </row>
    <row r="731" spans="1:11" x14ac:dyDescent="0.25">
      <c r="A731" t="s">
        <v>2491</v>
      </c>
      <c r="B731" t="s">
        <v>1134</v>
      </c>
      <c r="C731" t="s">
        <v>110</v>
      </c>
      <c r="D731" t="s">
        <v>145</v>
      </c>
      <c r="E731" t="s">
        <v>2003</v>
      </c>
      <c r="F731">
        <v>4</v>
      </c>
      <c r="G731" t="s">
        <v>1618</v>
      </c>
      <c r="H731">
        <v>73</v>
      </c>
      <c r="I731">
        <v>72</v>
      </c>
      <c r="K731" t="s">
        <v>1635</v>
      </c>
    </row>
    <row r="732" spans="1:11" x14ac:dyDescent="0.25">
      <c r="A732" t="s">
        <v>2492</v>
      </c>
      <c r="B732" t="s">
        <v>1135</v>
      </c>
      <c r="C732" t="s">
        <v>37</v>
      </c>
      <c r="D732" t="s">
        <v>147</v>
      </c>
      <c r="E732" t="s">
        <v>30</v>
      </c>
      <c r="F732">
        <v>2</v>
      </c>
      <c r="G732" t="s">
        <v>1618</v>
      </c>
      <c r="K732" t="s">
        <v>1625</v>
      </c>
    </row>
    <row r="733" spans="1:11" x14ac:dyDescent="0.25">
      <c r="A733" t="s">
        <v>2493</v>
      </c>
      <c r="B733" t="s">
        <v>1136</v>
      </c>
      <c r="C733" t="s">
        <v>76</v>
      </c>
      <c r="D733" t="s">
        <v>153</v>
      </c>
      <c r="E733" t="s">
        <v>1828</v>
      </c>
      <c r="F733">
        <v>1</v>
      </c>
      <c r="G733" t="s">
        <v>1618</v>
      </c>
      <c r="K733" t="s">
        <v>1625</v>
      </c>
    </row>
    <row r="734" spans="1:11" x14ac:dyDescent="0.25">
      <c r="A734" t="s">
        <v>2494</v>
      </c>
      <c r="B734" t="s">
        <v>1137</v>
      </c>
      <c r="C734" t="s">
        <v>97</v>
      </c>
      <c r="D734" t="s">
        <v>158</v>
      </c>
      <c r="E734" t="s">
        <v>1657</v>
      </c>
      <c r="F734">
        <v>1</v>
      </c>
      <c r="G734" t="s">
        <v>1618</v>
      </c>
      <c r="K734" t="s">
        <v>1625</v>
      </c>
    </row>
    <row r="735" spans="1:11" x14ac:dyDescent="0.25">
      <c r="A735" t="s">
        <v>2495</v>
      </c>
      <c r="B735" t="s">
        <v>1138</v>
      </c>
      <c r="C735" t="s">
        <v>123</v>
      </c>
      <c r="D735" t="s">
        <v>145</v>
      </c>
      <c r="E735" t="s">
        <v>111</v>
      </c>
      <c r="F735">
        <v>4</v>
      </c>
      <c r="G735" t="s">
        <v>1618</v>
      </c>
      <c r="H735">
        <v>90</v>
      </c>
      <c r="I735">
        <v>73</v>
      </c>
      <c r="K735" t="s">
        <v>1635</v>
      </c>
    </row>
    <row r="736" spans="1:11" x14ac:dyDescent="0.25">
      <c r="A736" t="s">
        <v>2496</v>
      </c>
      <c r="B736" t="s">
        <v>1139</v>
      </c>
      <c r="C736" t="s">
        <v>27</v>
      </c>
      <c r="D736" t="s">
        <v>147</v>
      </c>
      <c r="E736" t="s">
        <v>1859</v>
      </c>
      <c r="F736">
        <v>7</v>
      </c>
      <c r="G736" t="s">
        <v>1692</v>
      </c>
      <c r="H736">
        <v>81</v>
      </c>
      <c r="I736">
        <v>79</v>
      </c>
      <c r="J736">
        <v>21</v>
      </c>
      <c r="K736" t="s">
        <v>1693</v>
      </c>
    </row>
    <row r="737" spans="1:11" x14ac:dyDescent="0.25">
      <c r="A737" t="s">
        <v>2497</v>
      </c>
      <c r="B737" t="s">
        <v>1140</v>
      </c>
      <c r="C737" t="s">
        <v>116</v>
      </c>
      <c r="D737" t="s">
        <v>142</v>
      </c>
      <c r="E737" t="s">
        <v>1797</v>
      </c>
      <c r="F737">
        <v>2</v>
      </c>
      <c r="G737" t="s">
        <v>1618</v>
      </c>
      <c r="K737" t="s">
        <v>1630</v>
      </c>
    </row>
    <row r="738" spans="1:11" x14ac:dyDescent="0.25">
      <c r="A738" t="s">
        <v>2498</v>
      </c>
      <c r="B738" t="s">
        <v>1141</v>
      </c>
      <c r="C738" t="s">
        <v>46</v>
      </c>
      <c r="D738" t="s">
        <v>147</v>
      </c>
      <c r="E738" t="s">
        <v>1726</v>
      </c>
      <c r="F738">
        <v>3</v>
      </c>
      <c r="G738" t="s">
        <v>1618</v>
      </c>
      <c r="H738">
        <v>67</v>
      </c>
      <c r="K738" t="s">
        <v>1622</v>
      </c>
    </row>
    <row r="739" spans="1:11" x14ac:dyDescent="0.25">
      <c r="A739" t="s">
        <v>2499</v>
      </c>
      <c r="B739" t="s">
        <v>1142</v>
      </c>
      <c r="C739" t="s">
        <v>34</v>
      </c>
      <c r="D739" t="s">
        <v>160</v>
      </c>
      <c r="E739" t="s">
        <v>2122</v>
      </c>
      <c r="F739">
        <v>1</v>
      </c>
      <c r="G739" t="s">
        <v>1618</v>
      </c>
      <c r="K739" t="s">
        <v>1619</v>
      </c>
    </row>
    <row r="740" spans="1:11" x14ac:dyDescent="0.25">
      <c r="A740" t="s">
        <v>2500</v>
      </c>
      <c r="B740" t="s">
        <v>1143</v>
      </c>
      <c r="C740" t="s">
        <v>123</v>
      </c>
      <c r="D740" t="s">
        <v>145</v>
      </c>
      <c r="E740" t="s">
        <v>75</v>
      </c>
      <c r="F740">
        <v>3</v>
      </c>
      <c r="G740" t="s">
        <v>1618</v>
      </c>
      <c r="H740">
        <v>76</v>
      </c>
      <c r="K740" t="s">
        <v>1622</v>
      </c>
    </row>
    <row r="741" spans="1:11" x14ac:dyDescent="0.25">
      <c r="A741" t="s">
        <v>2501</v>
      </c>
      <c r="B741" t="s">
        <v>1144</v>
      </c>
      <c r="C741" t="s">
        <v>107</v>
      </c>
      <c r="D741" t="s">
        <v>150</v>
      </c>
      <c r="E741" t="s">
        <v>2217</v>
      </c>
      <c r="F741">
        <v>4</v>
      </c>
      <c r="G741" t="s">
        <v>1618</v>
      </c>
      <c r="H741">
        <v>71</v>
      </c>
      <c r="I741">
        <v>68</v>
      </c>
      <c r="K741" t="s">
        <v>1635</v>
      </c>
    </row>
    <row r="742" spans="1:11" x14ac:dyDescent="0.25">
      <c r="A742" t="s">
        <v>2502</v>
      </c>
      <c r="B742" t="s">
        <v>1145</v>
      </c>
      <c r="C742" t="s">
        <v>8</v>
      </c>
      <c r="D742" t="s">
        <v>160</v>
      </c>
      <c r="E742" t="s">
        <v>2472</v>
      </c>
      <c r="F742">
        <v>3</v>
      </c>
      <c r="G742" t="s">
        <v>1618</v>
      </c>
      <c r="H742">
        <v>65</v>
      </c>
      <c r="K742" t="s">
        <v>1622</v>
      </c>
    </row>
    <row r="743" spans="1:11" x14ac:dyDescent="0.25">
      <c r="A743" t="s">
        <v>2503</v>
      </c>
      <c r="B743" t="s">
        <v>1146</v>
      </c>
      <c r="C743" t="s">
        <v>118</v>
      </c>
      <c r="D743" t="s">
        <v>150</v>
      </c>
      <c r="E743" t="s">
        <v>1697</v>
      </c>
      <c r="F743">
        <v>5</v>
      </c>
      <c r="G743" t="s">
        <v>1618</v>
      </c>
      <c r="H743">
        <v>82</v>
      </c>
      <c r="I743">
        <v>97</v>
      </c>
      <c r="K743" t="s">
        <v>1659</v>
      </c>
    </row>
    <row r="744" spans="1:11" x14ac:dyDescent="0.25">
      <c r="A744" t="s">
        <v>2504</v>
      </c>
      <c r="B744" t="s">
        <v>1147</v>
      </c>
      <c r="C744" t="s">
        <v>92</v>
      </c>
      <c r="D744" t="s">
        <v>156</v>
      </c>
      <c r="E744" t="s">
        <v>1960</v>
      </c>
      <c r="F744">
        <v>4</v>
      </c>
      <c r="G744" t="s">
        <v>1618</v>
      </c>
      <c r="H744">
        <v>87</v>
      </c>
      <c r="I744">
        <v>71</v>
      </c>
      <c r="K744" t="s">
        <v>1635</v>
      </c>
    </row>
    <row r="745" spans="1:11" x14ac:dyDescent="0.25">
      <c r="A745" t="s">
        <v>2505</v>
      </c>
      <c r="B745" t="s">
        <v>1148</v>
      </c>
      <c r="C745" t="s">
        <v>69</v>
      </c>
      <c r="D745" t="s">
        <v>158</v>
      </c>
      <c r="E745" t="s">
        <v>1879</v>
      </c>
      <c r="F745">
        <v>1</v>
      </c>
      <c r="G745" t="s">
        <v>1618</v>
      </c>
      <c r="K745" t="s">
        <v>1619</v>
      </c>
    </row>
    <row r="746" spans="1:11" x14ac:dyDescent="0.25">
      <c r="A746" t="s">
        <v>2506</v>
      </c>
      <c r="B746" t="s">
        <v>1149</v>
      </c>
      <c r="C746" t="s">
        <v>56</v>
      </c>
      <c r="D746" t="s">
        <v>153</v>
      </c>
      <c r="E746" t="s">
        <v>13</v>
      </c>
      <c r="F746">
        <v>2</v>
      </c>
      <c r="G746" t="s">
        <v>1618</v>
      </c>
      <c r="K746" t="s">
        <v>1630</v>
      </c>
    </row>
    <row r="747" spans="1:11" x14ac:dyDescent="0.25">
      <c r="A747" t="s">
        <v>2507</v>
      </c>
      <c r="B747" t="s">
        <v>1150</v>
      </c>
      <c r="C747" t="s">
        <v>66</v>
      </c>
      <c r="D747" t="s">
        <v>145</v>
      </c>
      <c r="E747" t="s">
        <v>2029</v>
      </c>
      <c r="F747">
        <v>1</v>
      </c>
      <c r="G747" t="s">
        <v>1618</v>
      </c>
      <c r="K747" t="s">
        <v>1619</v>
      </c>
    </row>
    <row r="748" spans="1:11" x14ac:dyDescent="0.25">
      <c r="A748" t="s">
        <v>2508</v>
      </c>
      <c r="B748" t="s">
        <v>1151</v>
      </c>
      <c r="C748" t="s">
        <v>116</v>
      </c>
      <c r="D748" t="s">
        <v>158</v>
      </c>
      <c r="E748" t="s">
        <v>84</v>
      </c>
      <c r="F748">
        <v>4</v>
      </c>
      <c r="G748" t="s">
        <v>1618</v>
      </c>
      <c r="H748">
        <v>84</v>
      </c>
      <c r="I748">
        <v>71</v>
      </c>
      <c r="K748" t="s">
        <v>1659</v>
      </c>
    </row>
    <row r="749" spans="1:11" x14ac:dyDescent="0.25">
      <c r="A749" t="s">
        <v>2509</v>
      </c>
      <c r="B749" t="s">
        <v>1152</v>
      </c>
      <c r="C749" t="s">
        <v>134</v>
      </c>
      <c r="D749" t="s">
        <v>150</v>
      </c>
      <c r="E749" t="s">
        <v>1695</v>
      </c>
      <c r="F749">
        <v>3</v>
      </c>
      <c r="G749" t="s">
        <v>1618</v>
      </c>
      <c r="H749">
        <v>55</v>
      </c>
      <c r="K749" t="s">
        <v>1622</v>
      </c>
    </row>
    <row r="750" spans="1:11" x14ac:dyDescent="0.25">
      <c r="A750" t="s">
        <v>2510</v>
      </c>
      <c r="B750" t="s">
        <v>1153</v>
      </c>
      <c r="C750" t="s">
        <v>52</v>
      </c>
      <c r="D750" t="s">
        <v>147</v>
      </c>
      <c r="E750" t="s">
        <v>99</v>
      </c>
      <c r="F750">
        <v>3</v>
      </c>
      <c r="G750" t="s">
        <v>1618</v>
      </c>
      <c r="H750">
        <v>74</v>
      </c>
      <c r="K750" t="s">
        <v>1622</v>
      </c>
    </row>
    <row r="751" spans="1:11" x14ac:dyDescent="0.25">
      <c r="A751" t="s">
        <v>2511</v>
      </c>
      <c r="B751" t="s">
        <v>1154</v>
      </c>
      <c r="C751" t="s">
        <v>130</v>
      </c>
      <c r="D751" t="s">
        <v>158</v>
      </c>
      <c r="E751" t="s">
        <v>1891</v>
      </c>
      <c r="F751">
        <v>2</v>
      </c>
      <c r="G751" t="s">
        <v>1618</v>
      </c>
      <c r="K751" t="s">
        <v>1619</v>
      </c>
    </row>
    <row r="752" spans="1:11" x14ac:dyDescent="0.25">
      <c r="A752" t="s">
        <v>2512</v>
      </c>
      <c r="B752" t="s">
        <v>1155</v>
      </c>
      <c r="C752" t="s">
        <v>31</v>
      </c>
      <c r="D752" t="s">
        <v>160</v>
      </c>
      <c r="E752" t="s">
        <v>2081</v>
      </c>
      <c r="F752">
        <v>2</v>
      </c>
      <c r="G752" t="s">
        <v>1618</v>
      </c>
      <c r="K752" t="s">
        <v>1619</v>
      </c>
    </row>
    <row r="753" spans="1:11" x14ac:dyDescent="0.25">
      <c r="A753" t="s">
        <v>2513</v>
      </c>
      <c r="B753" t="s">
        <v>1156</v>
      </c>
      <c r="C753" t="s">
        <v>59</v>
      </c>
      <c r="D753" t="s">
        <v>160</v>
      </c>
      <c r="E753" t="s">
        <v>104</v>
      </c>
      <c r="F753">
        <v>3</v>
      </c>
      <c r="G753" t="s">
        <v>1618</v>
      </c>
      <c r="H753">
        <v>50</v>
      </c>
      <c r="K753" t="s">
        <v>1622</v>
      </c>
    </row>
    <row r="754" spans="1:11" x14ac:dyDescent="0.25">
      <c r="A754" t="s">
        <v>2514</v>
      </c>
      <c r="B754" t="s">
        <v>1157</v>
      </c>
      <c r="C754" t="s">
        <v>8</v>
      </c>
      <c r="D754" t="s">
        <v>160</v>
      </c>
      <c r="E754" t="s">
        <v>1687</v>
      </c>
      <c r="F754">
        <v>2</v>
      </c>
      <c r="G754" t="s">
        <v>1618</v>
      </c>
      <c r="K754" t="s">
        <v>1630</v>
      </c>
    </row>
    <row r="755" spans="1:11" x14ac:dyDescent="0.25">
      <c r="A755" t="s">
        <v>2515</v>
      </c>
      <c r="B755" t="s">
        <v>1158</v>
      </c>
      <c r="C755" t="s">
        <v>94</v>
      </c>
      <c r="D755" t="s">
        <v>150</v>
      </c>
      <c r="E755" t="s">
        <v>2516</v>
      </c>
      <c r="F755">
        <v>1</v>
      </c>
      <c r="G755" t="s">
        <v>1618</v>
      </c>
      <c r="K755" t="s">
        <v>1619</v>
      </c>
    </row>
    <row r="756" spans="1:11" x14ac:dyDescent="0.25">
      <c r="A756" t="s">
        <v>2517</v>
      </c>
      <c r="B756" t="s">
        <v>1159</v>
      </c>
      <c r="C756" t="s">
        <v>23</v>
      </c>
      <c r="D756" t="s">
        <v>145</v>
      </c>
      <c r="E756" t="s">
        <v>1908</v>
      </c>
      <c r="F756">
        <v>4</v>
      </c>
      <c r="G756" t="s">
        <v>1618</v>
      </c>
      <c r="H756">
        <v>87</v>
      </c>
      <c r="I756">
        <v>72</v>
      </c>
      <c r="K756" t="s">
        <v>1659</v>
      </c>
    </row>
    <row r="757" spans="1:11" x14ac:dyDescent="0.25">
      <c r="A757" t="s">
        <v>2518</v>
      </c>
      <c r="B757" t="s">
        <v>1160</v>
      </c>
      <c r="C757" t="s">
        <v>59</v>
      </c>
      <c r="D757" t="s">
        <v>145</v>
      </c>
      <c r="E757" t="s">
        <v>48</v>
      </c>
      <c r="F757">
        <v>3</v>
      </c>
      <c r="G757" t="s">
        <v>1618</v>
      </c>
      <c r="H757">
        <v>98</v>
      </c>
      <c r="K757" t="s">
        <v>1622</v>
      </c>
    </row>
    <row r="758" spans="1:11" x14ac:dyDescent="0.25">
      <c r="A758" t="s">
        <v>2519</v>
      </c>
      <c r="B758" t="s">
        <v>1161</v>
      </c>
      <c r="C758" t="s">
        <v>71</v>
      </c>
      <c r="D758" t="s">
        <v>158</v>
      </c>
      <c r="E758" t="s">
        <v>1649</v>
      </c>
      <c r="F758">
        <v>2</v>
      </c>
      <c r="G758" t="s">
        <v>1618</v>
      </c>
      <c r="K758" t="s">
        <v>1625</v>
      </c>
    </row>
    <row r="759" spans="1:11" x14ac:dyDescent="0.25">
      <c r="A759" t="s">
        <v>2520</v>
      </c>
      <c r="B759" t="s">
        <v>1162</v>
      </c>
      <c r="C759" t="s">
        <v>100</v>
      </c>
      <c r="D759" t="s">
        <v>150</v>
      </c>
      <c r="E759" t="s">
        <v>1629</v>
      </c>
      <c r="F759">
        <v>1</v>
      </c>
      <c r="G759" t="s">
        <v>1618</v>
      </c>
      <c r="K759" t="s">
        <v>1625</v>
      </c>
    </row>
    <row r="760" spans="1:11" x14ac:dyDescent="0.25">
      <c r="A760" t="s">
        <v>2521</v>
      </c>
      <c r="B760" t="s">
        <v>1163</v>
      </c>
      <c r="C760" t="s">
        <v>100</v>
      </c>
      <c r="D760" t="s">
        <v>150</v>
      </c>
      <c r="E760" t="s">
        <v>1815</v>
      </c>
      <c r="F760">
        <v>1</v>
      </c>
      <c r="G760" t="s">
        <v>1618</v>
      </c>
      <c r="K760" t="s">
        <v>1619</v>
      </c>
    </row>
    <row r="761" spans="1:11" x14ac:dyDescent="0.25">
      <c r="A761" t="s">
        <v>2522</v>
      </c>
      <c r="B761" t="s">
        <v>1164</v>
      </c>
      <c r="C761" t="s">
        <v>27</v>
      </c>
      <c r="D761" t="s">
        <v>147</v>
      </c>
      <c r="E761" t="s">
        <v>2046</v>
      </c>
      <c r="F761">
        <v>4</v>
      </c>
      <c r="G761" t="s">
        <v>1618</v>
      </c>
      <c r="H761">
        <v>78</v>
      </c>
      <c r="I761">
        <v>86</v>
      </c>
      <c r="K761" t="s">
        <v>1659</v>
      </c>
    </row>
    <row r="762" spans="1:11" x14ac:dyDescent="0.25">
      <c r="A762" t="s">
        <v>2523</v>
      </c>
      <c r="B762" t="s">
        <v>1165</v>
      </c>
      <c r="C762" t="s">
        <v>46</v>
      </c>
      <c r="D762" t="s">
        <v>147</v>
      </c>
      <c r="E762" t="s">
        <v>78</v>
      </c>
      <c r="F762">
        <v>1</v>
      </c>
      <c r="G762" t="s">
        <v>1618</v>
      </c>
      <c r="K762" t="s">
        <v>1619</v>
      </c>
    </row>
    <row r="763" spans="1:11" x14ac:dyDescent="0.25">
      <c r="A763" t="s">
        <v>2524</v>
      </c>
      <c r="B763" t="s">
        <v>1166</v>
      </c>
      <c r="C763" t="s">
        <v>132</v>
      </c>
      <c r="D763" t="s">
        <v>153</v>
      </c>
      <c r="E763" t="s">
        <v>1760</v>
      </c>
      <c r="F763">
        <v>7</v>
      </c>
      <c r="G763" t="s">
        <v>1692</v>
      </c>
      <c r="H763">
        <v>69</v>
      </c>
      <c r="I763">
        <v>89</v>
      </c>
      <c r="J763">
        <v>23</v>
      </c>
      <c r="K763" t="s">
        <v>1693</v>
      </c>
    </row>
    <row r="764" spans="1:11" x14ac:dyDescent="0.25">
      <c r="A764" t="s">
        <v>2525</v>
      </c>
      <c r="B764" t="s">
        <v>1167</v>
      </c>
      <c r="C764" t="s">
        <v>100</v>
      </c>
      <c r="D764" t="s">
        <v>150</v>
      </c>
      <c r="E764" t="s">
        <v>111</v>
      </c>
      <c r="F764">
        <v>3</v>
      </c>
      <c r="G764" t="s">
        <v>1618</v>
      </c>
      <c r="H764">
        <v>87</v>
      </c>
      <c r="K764" t="s">
        <v>1622</v>
      </c>
    </row>
    <row r="765" spans="1:11" x14ac:dyDescent="0.25">
      <c r="A765" t="s">
        <v>2526</v>
      </c>
      <c r="B765" t="s">
        <v>1168</v>
      </c>
      <c r="C765" t="s">
        <v>65</v>
      </c>
      <c r="D765" t="s">
        <v>160</v>
      </c>
      <c r="E765" t="s">
        <v>124</v>
      </c>
      <c r="F765">
        <v>4</v>
      </c>
      <c r="G765" t="s">
        <v>1618</v>
      </c>
      <c r="H765">
        <v>87</v>
      </c>
      <c r="I765">
        <v>85</v>
      </c>
      <c r="K765" t="s">
        <v>1635</v>
      </c>
    </row>
    <row r="766" spans="1:11" x14ac:dyDescent="0.25">
      <c r="A766" t="s">
        <v>2527</v>
      </c>
      <c r="B766" t="s">
        <v>1169</v>
      </c>
      <c r="C766" t="s">
        <v>116</v>
      </c>
      <c r="D766" t="s">
        <v>142</v>
      </c>
      <c r="E766" t="s">
        <v>26</v>
      </c>
      <c r="F766">
        <v>2</v>
      </c>
      <c r="G766" t="s">
        <v>1618</v>
      </c>
      <c r="K766" t="s">
        <v>1630</v>
      </c>
    </row>
    <row r="767" spans="1:11" x14ac:dyDescent="0.25">
      <c r="A767" t="s">
        <v>2528</v>
      </c>
      <c r="B767" t="s">
        <v>1170</v>
      </c>
      <c r="C767" t="s">
        <v>92</v>
      </c>
      <c r="D767" t="s">
        <v>156</v>
      </c>
      <c r="E767" t="s">
        <v>1629</v>
      </c>
      <c r="F767">
        <v>1</v>
      </c>
      <c r="G767" t="s">
        <v>1618</v>
      </c>
      <c r="K767" t="s">
        <v>1625</v>
      </c>
    </row>
    <row r="768" spans="1:11" x14ac:dyDescent="0.25">
      <c r="A768" t="s">
        <v>2529</v>
      </c>
      <c r="B768" t="s">
        <v>1171</v>
      </c>
      <c r="C768" t="s">
        <v>112</v>
      </c>
      <c r="D768" t="s">
        <v>150</v>
      </c>
      <c r="E768" t="s">
        <v>1680</v>
      </c>
      <c r="F768">
        <v>3</v>
      </c>
      <c r="G768" t="s">
        <v>1618</v>
      </c>
      <c r="H768">
        <v>75</v>
      </c>
      <c r="K768" t="s">
        <v>1622</v>
      </c>
    </row>
    <row r="769" spans="1:11" x14ac:dyDescent="0.25">
      <c r="A769" t="s">
        <v>2530</v>
      </c>
      <c r="B769" t="s">
        <v>1172</v>
      </c>
      <c r="C769" t="s">
        <v>92</v>
      </c>
      <c r="D769" t="s">
        <v>156</v>
      </c>
      <c r="E769" t="s">
        <v>1934</v>
      </c>
      <c r="F769">
        <v>3</v>
      </c>
      <c r="G769" t="s">
        <v>1618</v>
      </c>
      <c r="H769">
        <v>67</v>
      </c>
      <c r="K769" t="s">
        <v>1622</v>
      </c>
    </row>
    <row r="770" spans="1:11" x14ac:dyDescent="0.25">
      <c r="A770" t="s">
        <v>2531</v>
      </c>
      <c r="B770" t="s">
        <v>1173</v>
      </c>
      <c r="C770" t="s">
        <v>56</v>
      </c>
      <c r="D770" t="s">
        <v>153</v>
      </c>
      <c r="E770" t="s">
        <v>45</v>
      </c>
      <c r="F770">
        <v>7</v>
      </c>
      <c r="G770" t="s">
        <v>1692</v>
      </c>
      <c r="H770">
        <v>73</v>
      </c>
      <c r="I770">
        <v>82</v>
      </c>
      <c r="J770">
        <v>28</v>
      </c>
      <c r="K770" t="s">
        <v>1693</v>
      </c>
    </row>
    <row r="771" spans="1:11" x14ac:dyDescent="0.25">
      <c r="A771" t="s">
        <v>2532</v>
      </c>
      <c r="B771" t="s">
        <v>1174</v>
      </c>
      <c r="C771" t="s">
        <v>59</v>
      </c>
      <c r="D771" t="s">
        <v>160</v>
      </c>
      <c r="E771" t="s">
        <v>48</v>
      </c>
      <c r="F771">
        <v>1</v>
      </c>
      <c r="G771" t="s">
        <v>1618</v>
      </c>
      <c r="K771" t="s">
        <v>1619</v>
      </c>
    </row>
    <row r="772" spans="1:11" x14ac:dyDescent="0.25">
      <c r="A772" t="s">
        <v>2533</v>
      </c>
      <c r="B772" t="s">
        <v>1175</v>
      </c>
      <c r="C772" t="s">
        <v>92</v>
      </c>
      <c r="D772" t="s">
        <v>156</v>
      </c>
      <c r="E772" t="s">
        <v>68</v>
      </c>
      <c r="F772">
        <v>1</v>
      </c>
      <c r="G772" t="s">
        <v>1618</v>
      </c>
      <c r="K772" t="s">
        <v>1625</v>
      </c>
    </row>
    <row r="773" spans="1:11" x14ac:dyDescent="0.25">
      <c r="A773" t="s">
        <v>2534</v>
      </c>
      <c r="B773" t="s">
        <v>1176</v>
      </c>
      <c r="C773" t="s">
        <v>100</v>
      </c>
      <c r="D773" t="s">
        <v>150</v>
      </c>
      <c r="E773" t="s">
        <v>1923</v>
      </c>
      <c r="F773">
        <v>1</v>
      </c>
      <c r="G773" t="s">
        <v>1618</v>
      </c>
      <c r="K773" t="s">
        <v>1625</v>
      </c>
    </row>
    <row r="774" spans="1:11" x14ac:dyDescent="0.25">
      <c r="A774" t="s">
        <v>2535</v>
      </c>
      <c r="B774" t="s">
        <v>1177</v>
      </c>
      <c r="C774" t="s">
        <v>69</v>
      </c>
      <c r="D774" t="s">
        <v>142</v>
      </c>
      <c r="E774" t="s">
        <v>2230</v>
      </c>
      <c r="F774">
        <v>3</v>
      </c>
      <c r="G774" t="s">
        <v>1618</v>
      </c>
      <c r="H774">
        <v>67</v>
      </c>
      <c r="K774" t="s">
        <v>1622</v>
      </c>
    </row>
    <row r="775" spans="1:11" x14ac:dyDescent="0.25">
      <c r="A775" t="s">
        <v>2536</v>
      </c>
      <c r="B775" t="s">
        <v>1178</v>
      </c>
      <c r="C775" t="s">
        <v>118</v>
      </c>
      <c r="D775" t="s">
        <v>150</v>
      </c>
      <c r="E775" t="s">
        <v>1769</v>
      </c>
      <c r="F775">
        <v>2</v>
      </c>
      <c r="G775" t="s">
        <v>1618</v>
      </c>
      <c r="K775" t="s">
        <v>1619</v>
      </c>
    </row>
    <row r="776" spans="1:11" x14ac:dyDescent="0.25">
      <c r="A776" t="s">
        <v>2537</v>
      </c>
      <c r="B776" t="s">
        <v>1179</v>
      </c>
      <c r="C776" t="s">
        <v>128</v>
      </c>
      <c r="D776" t="s">
        <v>158</v>
      </c>
      <c r="E776" t="s">
        <v>2538</v>
      </c>
      <c r="F776">
        <v>2</v>
      </c>
      <c r="G776" t="s">
        <v>1618</v>
      </c>
      <c r="K776" t="s">
        <v>1625</v>
      </c>
    </row>
    <row r="777" spans="1:11" x14ac:dyDescent="0.25">
      <c r="A777" t="s">
        <v>2539</v>
      </c>
      <c r="B777" t="s">
        <v>1180</v>
      </c>
      <c r="C777" t="s">
        <v>79</v>
      </c>
      <c r="D777" t="s">
        <v>150</v>
      </c>
      <c r="E777" t="s">
        <v>1657</v>
      </c>
      <c r="F777">
        <v>2</v>
      </c>
      <c r="G777" t="s">
        <v>1618</v>
      </c>
      <c r="K777" t="s">
        <v>1619</v>
      </c>
    </row>
    <row r="778" spans="1:11" x14ac:dyDescent="0.25">
      <c r="A778" t="s">
        <v>2540</v>
      </c>
      <c r="B778" t="s">
        <v>1181</v>
      </c>
      <c r="C778" t="s">
        <v>83</v>
      </c>
      <c r="D778" t="s">
        <v>142</v>
      </c>
      <c r="E778" t="s">
        <v>1713</v>
      </c>
      <c r="F778">
        <v>3</v>
      </c>
      <c r="G778" t="s">
        <v>1618</v>
      </c>
      <c r="H778">
        <v>92</v>
      </c>
      <c r="K778" t="s">
        <v>1622</v>
      </c>
    </row>
    <row r="779" spans="1:11" x14ac:dyDescent="0.25">
      <c r="A779" t="s">
        <v>2541</v>
      </c>
      <c r="B779" t="s">
        <v>1182</v>
      </c>
      <c r="C779" t="s">
        <v>76</v>
      </c>
      <c r="D779" t="s">
        <v>153</v>
      </c>
      <c r="E779" t="s">
        <v>64</v>
      </c>
      <c r="F779">
        <v>3</v>
      </c>
      <c r="G779" t="s">
        <v>1618</v>
      </c>
      <c r="H779">
        <v>63</v>
      </c>
      <c r="K779" t="s">
        <v>1622</v>
      </c>
    </row>
    <row r="780" spans="1:11" x14ac:dyDescent="0.25">
      <c r="A780" t="s">
        <v>2542</v>
      </c>
      <c r="B780" t="s">
        <v>1183</v>
      </c>
      <c r="C780" t="s">
        <v>118</v>
      </c>
      <c r="D780" t="s">
        <v>150</v>
      </c>
      <c r="E780" t="s">
        <v>2336</v>
      </c>
      <c r="F780">
        <v>7</v>
      </c>
      <c r="G780" t="s">
        <v>1692</v>
      </c>
      <c r="H780">
        <v>71</v>
      </c>
      <c r="I780">
        <v>77</v>
      </c>
      <c r="J780">
        <v>23</v>
      </c>
      <c r="K780" t="s">
        <v>1693</v>
      </c>
    </row>
    <row r="781" spans="1:11" x14ac:dyDescent="0.25">
      <c r="A781" t="s">
        <v>2543</v>
      </c>
      <c r="B781" t="s">
        <v>1184</v>
      </c>
      <c r="C781" t="s">
        <v>94</v>
      </c>
      <c r="D781" t="s">
        <v>150</v>
      </c>
      <c r="E781" t="s">
        <v>1820</v>
      </c>
      <c r="F781">
        <v>3</v>
      </c>
      <c r="G781" t="s">
        <v>1618</v>
      </c>
      <c r="H781">
        <v>72</v>
      </c>
      <c r="K781" t="s">
        <v>1622</v>
      </c>
    </row>
    <row r="782" spans="1:11" x14ac:dyDescent="0.25">
      <c r="A782" t="s">
        <v>2544</v>
      </c>
      <c r="B782" t="s">
        <v>1185</v>
      </c>
      <c r="C782" t="s">
        <v>107</v>
      </c>
      <c r="D782" t="s">
        <v>150</v>
      </c>
      <c r="E782" t="s">
        <v>2046</v>
      </c>
      <c r="F782">
        <v>7</v>
      </c>
      <c r="G782" t="s">
        <v>1692</v>
      </c>
      <c r="H782">
        <v>71</v>
      </c>
      <c r="I782">
        <v>79</v>
      </c>
      <c r="J782">
        <v>30</v>
      </c>
      <c r="K782" t="s">
        <v>1693</v>
      </c>
    </row>
    <row r="783" spans="1:11" x14ac:dyDescent="0.25">
      <c r="A783" t="s">
        <v>2545</v>
      </c>
      <c r="B783" t="s">
        <v>1186</v>
      </c>
      <c r="C783" t="s">
        <v>8</v>
      </c>
      <c r="D783" t="s">
        <v>145</v>
      </c>
      <c r="E783" t="s">
        <v>2472</v>
      </c>
      <c r="F783">
        <v>4</v>
      </c>
      <c r="G783" t="s">
        <v>1618</v>
      </c>
      <c r="H783">
        <v>73</v>
      </c>
      <c r="I783">
        <v>73</v>
      </c>
      <c r="K783" t="s">
        <v>1635</v>
      </c>
    </row>
    <row r="784" spans="1:11" x14ac:dyDescent="0.25">
      <c r="A784" t="s">
        <v>2546</v>
      </c>
      <c r="B784" t="s">
        <v>1187</v>
      </c>
      <c r="C784" t="s">
        <v>134</v>
      </c>
      <c r="D784" t="s">
        <v>150</v>
      </c>
      <c r="E784" t="s">
        <v>1673</v>
      </c>
      <c r="F784">
        <v>4</v>
      </c>
      <c r="G784" t="s">
        <v>1618</v>
      </c>
      <c r="H784">
        <v>82</v>
      </c>
      <c r="I784">
        <v>66</v>
      </c>
      <c r="K784" t="s">
        <v>1635</v>
      </c>
    </row>
    <row r="785" spans="1:11" x14ac:dyDescent="0.25">
      <c r="A785" t="s">
        <v>2547</v>
      </c>
      <c r="B785" t="s">
        <v>1188</v>
      </c>
      <c r="C785" t="s">
        <v>31</v>
      </c>
      <c r="D785" t="s">
        <v>145</v>
      </c>
      <c r="E785" t="s">
        <v>1915</v>
      </c>
      <c r="F785">
        <v>3</v>
      </c>
      <c r="G785" t="s">
        <v>1618</v>
      </c>
      <c r="H785">
        <v>71</v>
      </c>
      <c r="K785" t="s">
        <v>1622</v>
      </c>
    </row>
    <row r="786" spans="1:11" x14ac:dyDescent="0.25">
      <c r="A786" t="s">
        <v>2548</v>
      </c>
      <c r="B786" t="s">
        <v>1189</v>
      </c>
      <c r="C786" t="s">
        <v>98</v>
      </c>
      <c r="D786" t="s">
        <v>160</v>
      </c>
      <c r="E786" t="s">
        <v>2081</v>
      </c>
      <c r="F786">
        <v>1</v>
      </c>
      <c r="G786" t="s">
        <v>1618</v>
      </c>
      <c r="K786" t="s">
        <v>1619</v>
      </c>
    </row>
    <row r="787" spans="1:11" x14ac:dyDescent="0.25">
      <c r="A787" t="s">
        <v>2549</v>
      </c>
      <c r="B787" t="s">
        <v>1190</v>
      </c>
      <c r="C787" t="s">
        <v>43</v>
      </c>
      <c r="D787" t="s">
        <v>158</v>
      </c>
      <c r="E787" t="s">
        <v>131</v>
      </c>
      <c r="F787">
        <v>2</v>
      </c>
      <c r="G787" t="s">
        <v>1618</v>
      </c>
      <c r="K787" t="s">
        <v>1619</v>
      </c>
    </row>
    <row r="788" spans="1:11" x14ac:dyDescent="0.25">
      <c r="A788" t="s">
        <v>2550</v>
      </c>
      <c r="B788" t="s">
        <v>1191</v>
      </c>
      <c r="C788" t="s">
        <v>107</v>
      </c>
      <c r="D788" t="s">
        <v>150</v>
      </c>
      <c r="E788" t="s">
        <v>2046</v>
      </c>
      <c r="F788">
        <v>3</v>
      </c>
      <c r="G788" t="s">
        <v>1618</v>
      </c>
      <c r="H788">
        <v>83</v>
      </c>
      <c r="K788" t="s">
        <v>1622</v>
      </c>
    </row>
    <row r="789" spans="1:11" x14ac:dyDescent="0.25">
      <c r="A789" t="s">
        <v>2551</v>
      </c>
      <c r="B789" t="s">
        <v>1192</v>
      </c>
      <c r="C789" t="s">
        <v>136</v>
      </c>
      <c r="D789" t="s">
        <v>158</v>
      </c>
      <c r="E789" t="s">
        <v>2078</v>
      </c>
      <c r="F789">
        <v>3</v>
      </c>
      <c r="G789" t="s">
        <v>1618</v>
      </c>
      <c r="H789">
        <v>60</v>
      </c>
      <c r="K789" t="s">
        <v>1622</v>
      </c>
    </row>
    <row r="790" spans="1:11" x14ac:dyDescent="0.25">
      <c r="A790" t="s">
        <v>2552</v>
      </c>
      <c r="B790" t="s">
        <v>1193</v>
      </c>
      <c r="C790" t="s">
        <v>76</v>
      </c>
      <c r="D790" t="s">
        <v>153</v>
      </c>
      <c r="E790" t="s">
        <v>1621</v>
      </c>
      <c r="F790">
        <v>2</v>
      </c>
      <c r="G790" t="s">
        <v>1618</v>
      </c>
      <c r="K790" t="s">
        <v>1630</v>
      </c>
    </row>
    <row r="791" spans="1:11" x14ac:dyDescent="0.25">
      <c r="A791" t="s">
        <v>2553</v>
      </c>
      <c r="B791" t="s">
        <v>1194</v>
      </c>
      <c r="C791" t="s">
        <v>39</v>
      </c>
      <c r="D791" t="s">
        <v>160</v>
      </c>
      <c r="E791" t="s">
        <v>55</v>
      </c>
      <c r="F791">
        <v>1</v>
      </c>
      <c r="G791" t="s">
        <v>1618</v>
      </c>
      <c r="K791" t="s">
        <v>1619</v>
      </c>
    </row>
    <row r="792" spans="1:11" x14ac:dyDescent="0.25">
      <c r="A792" t="s">
        <v>2554</v>
      </c>
      <c r="B792" t="s">
        <v>1195</v>
      </c>
      <c r="C792" t="s">
        <v>123</v>
      </c>
      <c r="D792" t="s">
        <v>145</v>
      </c>
      <c r="E792" t="s">
        <v>1726</v>
      </c>
      <c r="F792">
        <v>2</v>
      </c>
      <c r="G792" t="s">
        <v>1618</v>
      </c>
      <c r="K792" t="s">
        <v>1630</v>
      </c>
    </row>
    <row r="793" spans="1:11" x14ac:dyDescent="0.25">
      <c r="A793" t="s">
        <v>2555</v>
      </c>
      <c r="B793" t="s">
        <v>1196</v>
      </c>
      <c r="C793" t="s">
        <v>112</v>
      </c>
      <c r="D793" t="s">
        <v>150</v>
      </c>
      <c r="E793" t="s">
        <v>1785</v>
      </c>
      <c r="F793">
        <v>2</v>
      </c>
      <c r="G793" t="s">
        <v>1618</v>
      </c>
      <c r="K793" t="s">
        <v>1619</v>
      </c>
    </row>
    <row r="794" spans="1:11" x14ac:dyDescent="0.25">
      <c r="A794" t="s">
        <v>2556</v>
      </c>
      <c r="B794" t="s">
        <v>1197</v>
      </c>
      <c r="C794" t="s">
        <v>107</v>
      </c>
      <c r="D794" t="s">
        <v>150</v>
      </c>
      <c r="E794" t="s">
        <v>1809</v>
      </c>
      <c r="F794">
        <v>3</v>
      </c>
      <c r="G794" t="s">
        <v>1618</v>
      </c>
      <c r="H794">
        <v>90</v>
      </c>
      <c r="K794" t="s">
        <v>1622</v>
      </c>
    </row>
    <row r="795" spans="1:11" x14ac:dyDescent="0.25">
      <c r="A795" t="s">
        <v>2557</v>
      </c>
      <c r="B795" t="s">
        <v>1198</v>
      </c>
      <c r="C795" t="s">
        <v>8</v>
      </c>
      <c r="D795" t="s">
        <v>145</v>
      </c>
      <c r="E795" t="s">
        <v>2038</v>
      </c>
      <c r="F795">
        <v>2</v>
      </c>
      <c r="G795" t="s">
        <v>1618</v>
      </c>
      <c r="K795" t="s">
        <v>1625</v>
      </c>
    </row>
    <row r="796" spans="1:11" x14ac:dyDescent="0.25">
      <c r="A796" t="s">
        <v>2558</v>
      </c>
      <c r="B796" t="s">
        <v>1199</v>
      </c>
      <c r="C796" t="s">
        <v>113</v>
      </c>
      <c r="D796" t="s">
        <v>160</v>
      </c>
      <c r="E796" t="s">
        <v>1787</v>
      </c>
      <c r="F796">
        <v>2</v>
      </c>
      <c r="G796" t="s">
        <v>1618</v>
      </c>
      <c r="K796" t="s">
        <v>1619</v>
      </c>
    </row>
    <row r="797" spans="1:11" x14ac:dyDescent="0.25">
      <c r="A797" t="s">
        <v>2559</v>
      </c>
      <c r="B797" t="s">
        <v>1200</v>
      </c>
      <c r="C797" t="s">
        <v>79</v>
      </c>
      <c r="D797" t="s">
        <v>150</v>
      </c>
      <c r="E797" t="s">
        <v>1653</v>
      </c>
      <c r="F797">
        <v>1</v>
      </c>
      <c r="G797" t="s">
        <v>1618</v>
      </c>
      <c r="K797" t="s">
        <v>1625</v>
      </c>
    </row>
    <row r="798" spans="1:11" x14ac:dyDescent="0.25">
      <c r="A798" t="s">
        <v>2560</v>
      </c>
      <c r="B798" t="s">
        <v>1201</v>
      </c>
      <c r="C798" t="s">
        <v>76</v>
      </c>
      <c r="D798" t="s">
        <v>153</v>
      </c>
      <c r="E798" t="s">
        <v>1726</v>
      </c>
      <c r="F798">
        <v>1</v>
      </c>
      <c r="G798" t="s">
        <v>1618</v>
      </c>
      <c r="K798" t="s">
        <v>1630</v>
      </c>
    </row>
    <row r="799" spans="1:11" x14ac:dyDescent="0.25">
      <c r="A799" t="s">
        <v>2561</v>
      </c>
      <c r="B799" t="s">
        <v>1202</v>
      </c>
      <c r="C799" t="s">
        <v>87</v>
      </c>
      <c r="D799" t="s">
        <v>145</v>
      </c>
      <c r="E799" t="s">
        <v>1772</v>
      </c>
      <c r="F799">
        <v>1</v>
      </c>
      <c r="G799" t="s">
        <v>1618</v>
      </c>
      <c r="K799" t="s">
        <v>1630</v>
      </c>
    </row>
    <row r="800" spans="1:11" x14ac:dyDescent="0.25">
      <c r="A800" t="s">
        <v>2562</v>
      </c>
      <c r="B800" t="s">
        <v>1203</v>
      </c>
      <c r="C800" t="s">
        <v>60</v>
      </c>
      <c r="D800" t="s">
        <v>156</v>
      </c>
      <c r="E800" t="s">
        <v>1923</v>
      </c>
      <c r="F800">
        <v>6</v>
      </c>
      <c r="G800" t="s">
        <v>1746</v>
      </c>
      <c r="H800">
        <v>75</v>
      </c>
      <c r="I800">
        <v>86</v>
      </c>
      <c r="K800" t="s">
        <v>1747</v>
      </c>
    </row>
    <row r="801" spans="1:11" x14ac:dyDescent="0.25">
      <c r="A801" t="s">
        <v>2563</v>
      </c>
      <c r="B801" t="s">
        <v>1204</v>
      </c>
      <c r="C801" t="s">
        <v>125</v>
      </c>
      <c r="D801" t="s">
        <v>153</v>
      </c>
      <c r="E801" t="s">
        <v>135</v>
      </c>
      <c r="F801">
        <v>1</v>
      </c>
      <c r="G801" t="s">
        <v>1618</v>
      </c>
      <c r="K801" t="s">
        <v>1619</v>
      </c>
    </row>
    <row r="802" spans="1:11" x14ac:dyDescent="0.25">
      <c r="A802" t="s">
        <v>2564</v>
      </c>
      <c r="B802" t="s">
        <v>1205</v>
      </c>
      <c r="C802" t="s">
        <v>60</v>
      </c>
      <c r="D802" t="s">
        <v>156</v>
      </c>
      <c r="E802" t="s">
        <v>1917</v>
      </c>
      <c r="F802">
        <v>7</v>
      </c>
      <c r="G802" t="s">
        <v>1692</v>
      </c>
      <c r="H802">
        <v>79</v>
      </c>
      <c r="I802">
        <v>90</v>
      </c>
      <c r="J802">
        <v>27</v>
      </c>
      <c r="K802" t="s">
        <v>1693</v>
      </c>
    </row>
    <row r="803" spans="1:11" x14ac:dyDescent="0.25">
      <c r="A803" t="s">
        <v>2565</v>
      </c>
      <c r="B803" t="s">
        <v>1206</v>
      </c>
      <c r="C803" t="s">
        <v>46</v>
      </c>
      <c r="D803" t="s">
        <v>147</v>
      </c>
      <c r="E803" t="s">
        <v>1728</v>
      </c>
      <c r="F803">
        <v>1</v>
      </c>
      <c r="G803" t="s">
        <v>1618</v>
      </c>
      <c r="K803" t="s">
        <v>1630</v>
      </c>
    </row>
    <row r="804" spans="1:11" x14ac:dyDescent="0.25">
      <c r="A804" t="s">
        <v>2566</v>
      </c>
      <c r="B804" t="s">
        <v>1207</v>
      </c>
      <c r="C804" t="s">
        <v>105</v>
      </c>
      <c r="D804" t="s">
        <v>142</v>
      </c>
      <c r="E804" t="s">
        <v>1801</v>
      </c>
      <c r="F804">
        <v>1</v>
      </c>
      <c r="G804" t="s">
        <v>1618</v>
      </c>
      <c r="K804" t="s">
        <v>1619</v>
      </c>
    </row>
    <row r="805" spans="1:11" x14ac:dyDescent="0.25">
      <c r="A805" t="s">
        <v>2567</v>
      </c>
      <c r="B805" t="s">
        <v>1208</v>
      </c>
      <c r="C805" t="s">
        <v>56</v>
      </c>
      <c r="D805" t="s">
        <v>153</v>
      </c>
      <c r="E805" t="s">
        <v>1627</v>
      </c>
      <c r="F805">
        <v>1</v>
      </c>
      <c r="G805" t="s">
        <v>1618</v>
      </c>
      <c r="K805" t="s">
        <v>1625</v>
      </c>
    </row>
    <row r="806" spans="1:11" x14ac:dyDescent="0.25">
      <c r="A806" t="s">
        <v>2568</v>
      </c>
      <c r="B806" t="s">
        <v>1209</v>
      </c>
      <c r="C806" t="s">
        <v>27</v>
      </c>
      <c r="D806" t="s">
        <v>147</v>
      </c>
      <c r="E806" t="s">
        <v>1850</v>
      </c>
      <c r="F806">
        <v>2</v>
      </c>
      <c r="G806" t="s">
        <v>1618</v>
      </c>
      <c r="K806" t="s">
        <v>1619</v>
      </c>
    </row>
    <row r="807" spans="1:11" x14ac:dyDescent="0.25">
      <c r="A807" t="s">
        <v>2569</v>
      </c>
      <c r="B807" t="s">
        <v>1210</v>
      </c>
      <c r="C807" t="s">
        <v>8</v>
      </c>
      <c r="D807" t="s">
        <v>160</v>
      </c>
      <c r="E807" t="s">
        <v>1691</v>
      </c>
      <c r="F807">
        <v>4</v>
      </c>
      <c r="G807" t="s">
        <v>1618</v>
      </c>
      <c r="H807">
        <v>84</v>
      </c>
      <c r="I807">
        <v>84</v>
      </c>
      <c r="K807" t="s">
        <v>1659</v>
      </c>
    </row>
    <row r="808" spans="1:11" x14ac:dyDescent="0.25">
      <c r="A808" t="s">
        <v>2570</v>
      </c>
      <c r="B808" t="s">
        <v>1211</v>
      </c>
      <c r="C808" t="s">
        <v>71</v>
      </c>
      <c r="D808" t="s">
        <v>158</v>
      </c>
      <c r="E808" t="s">
        <v>2071</v>
      </c>
      <c r="F808">
        <v>2</v>
      </c>
      <c r="G808" t="s">
        <v>1618</v>
      </c>
      <c r="K808" t="s">
        <v>1619</v>
      </c>
    </row>
    <row r="809" spans="1:11" x14ac:dyDescent="0.25">
      <c r="A809" t="s">
        <v>2571</v>
      </c>
      <c r="B809" t="s">
        <v>1212</v>
      </c>
      <c r="C809" t="s">
        <v>69</v>
      </c>
      <c r="D809" t="s">
        <v>142</v>
      </c>
      <c r="E809" t="s">
        <v>1655</v>
      </c>
      <c r="F809">
        <v>4</v>
      </c>
      <c r="G809" t="s">
        <v>1618</v>
      </c>
      <c r="H809">
        <v>85</v>
      </c>
      <c r="I809">
        <v>59</v>
      </c>
      <c r="K809" t="s">
        <v>1635</v>
      </c>
    </row>
    <row r="810" spans="1:11" x14ac:dyDescent="0.25">
      <c r="A810" t="s">
        <v>2572</v>
      </c>
      <c r="B810" t="s">
        <v>1213</v>
      </c>
      <c r="C810" t="s">
        <v>136</v>
      </c>
      <c r="D810" t="s">
        <v>158</v>
      </c>
      <c r="E810" t="s">
        <v>1653</v>
      </c>
      <c r="F810">
        <v>2</v>
      </c>
      <c r="G810" t="s">
        <v>1618</v>
      </c>
      <c r="K810" t="s">
        <v>1630</v>
      </c>
    </row>
    <row r="811" spans="1:11" x14ac:dyDescent="0.25">
      <c r="A811" t="s">
        <v>2573</v>
      </c>
      <c r="B811" t="s">
        <v>1214</v>
      </c>
      <c r="C811" t="s">
        <v>31</v>
      </c>
      <c r="D811" t="s">
        <v>160</v>
      </c>
      <c r="E811" t="s">
        <v>36</v>
      </c>
      <c r="F811">
        <v>7</v>
      </c>
      <c r="G811" t="s">
        <v>1692</v>
      </c>
      <c r="H811">
        <v>77</v>
      </c>
      <c r="I811">
        <v>93</v>
      </c>
      <c r="J811">
        <v>21</v>
      </c>
      <c r="K811" t="s">
        <v>1693</v>
      </c>
    </row>
    <row r="812" spans="1:11" x14ac:dyDescent="0.25">
      <c r="A812" t="s">
        <v>2574</v>
      </c>
      <c r="B812" t="s">
        <v>1215</v>
      </c>
      <c r="C812" t="s">
        <v>23</v>
      </c>
      <c r="D812" t="s">
        <v>160</v>
      </c>
      <c r="E812" t="s">
        <v>1896</v>
      </c>
      <c r="F812">
        <v>3</v>
      </c>
      <c r="G812" t="s">
        <v>1618</v>
      </c>
      <c r="H812">
        <v>56</v>
      </c>
      <c r="K812" t="s">
        <v>1622</v>
      </c>
    </row>
    <row r="813" spans="1:11" x14ac:dyDescent="0.25">
      <c r="A813" t="s">
        <v>2575</v>
      </c>
      <c r="B813" t="s">
        <v>1216</v>
      </c>
      <c r="C813" t="s">
        <v>107</v>
      </c>
      <c r="D813" t="s">
        <v>150</v>
      </c>
      <c r="E813" t="s">
        <v>70</v>
      </c>
      <c r="F813">
        <v>2</v>
      </c>
      <c r="G813" t="s">
        <v>1618</v>
      </c>
      <c r="K813" t="s">
        <v>1630</v>
      </c>
    </row>
    <row r="814" spans="1:11" x14ac:dyDescent="0.25">
      <c r="A814" t="s">
        <v>2576</v>
      </c>
      <c r="B814" t="s">
        <v>1217</v>
      </c>
      <c r="C814" t="s">
        <v>107</v>
      </c>
      <c r="D814" t="s">
        <v>150</v>
      </c>
      <c r="E814" t="s">
        <v>1661</v>
      </c>
      <c r="F814">
        <v>3</v>
      </c>
      <c r="G814" t="s">
        <v>1618</v>
      </c>
      <c r="H814">
        <v>40</v>
      </c>
      <c r="K814" t="s">
        <v>1622</v>
      </c>
    </row>
    <row r="815" spans="1:11" x14ac:dyDescent="0.25">
      <c r="A815" t="s">
        <v>2577</v>
      </c>
      <c r="B815" t="s">
        <v>1218</v>
      </c>
      <c r="C815" t="s">
        <v>121</v>
      </c>
      <c r="D815" t="s">
        <v>156</v>
      </c>
      <c r="E815" t="s">
        <v>1709</v>
      </c>
      <c r="F815">
        <v>2</v>
      </c>
      <c r="G815" t="s">
        <v>1618</v>
      </c>
      <c r="K815" t="s">
        <v>1619</v>
      </c>
    </row>
    <row r="816" spans="1:11" x14ac:dyDescent="0.25">
      <c r="A816" t="s">
        <v>2578</v>
      </c>
      <c r="B816" t="s">
        <v>1219</v>
      </c>
      <c r="C816" t="s">
        <v>90</v>
      </c>
      <c r="D816" t="s">
        <v>145</v>
      </c>
      <c r="E816" t="s">
        <v>1960</v>
      </c>
      <c r="F816">
        <v>2</v>
      </c>
      <c r="G816" t="s">
        <v>1618</v>
      </c>
      <c r="K816" t="s">
        <v>1619</v>
      </c>
    </row>
    <row r="817" spans="1:11" x14ac:dyDescent="0.25">
      <c r="A817" t="s">
        <v>2579</v>
      </c>
      <c r="B817" t="s">
        <v>1220</v>
      </c>
      <c r="C817" t="s">
        <v>87</v>
      </c>
      <c r="D817" t="s">
        <v>160</v>
      </c>
      <c r="E817" t="s">
        <v>1624</v>
      </c>
      <c r="F817">
        <v>4</v>
      </c>
      <c r="G817" t="s">
        <v>1618</v>
      </c>
      <c r="H817">
        <v>69</v>
      </c>
      <c r="I817">
        <v>74</v>
      </c>
      <c r="K817" t="s">
        <v>1635</v>
      </c>
    </row>
    <row r="818" spans="1:11" x14ac:dyDescent="0.25">
      <c r="A818" t="s">
        <v>2580</v>
      </c>
      <c r="B818" t="s">
        <v>1221</v>
      </c>
      <c r="C818" t="s">
        <v>60</v>
      </c>
      <c r="D818" t="s">
        <v>156</v>
      </c>
      <c r="E818" t="s">
        <v>68</v>
      </c>
      <c r="F818">
        <v>4</v>
      </c>
      <c r="G818" t="s">
        <v>1618</v>
      </c>
      <c r="H818">
        <v>76</v>
      </c>
      <c r="I818">
        <v>80</v>
      </c>
      <c r="K818" t="s">
        <v>1659</v>
      </c>
    </row>
    <row r="819" spans="1:11" x14ac:dyDescent="0.25">
      <c r="A819" t="s">
        <v>2581</v>
      </c>
      <c r="B819" t="s">
        <v>1222</v>
      </c>
      <c r="C819" t="s">
        <v>8</v>
      </c>
      <c r="D819" t="s">
        <v>145</v>
      </c>
      <c r="E819" t="s">
        <v>70</v>
      </c>
      <c r="F819">
        <v>2</v>
      </c>
      <c r="G819" t="s">
        <v>1618</v>
      </c>
      <c r="K819" t="s">
        <v>1630</v>
      </c>
    </row>
    <row r="820" spans="1:11" x14ac:dyDescent="0.25">
      <c r="A820" t="s">
        <v>2582</v>
      </c>
      <c r="B820" t="s">
        <v>1223</v>
      </c>
      <c r="C820" t="s">
        <v>8</v>
      </c>
      <c r="D820" t="s">
        <v>160</v>
      </c>
      <c r="E820" t="s">
        <v>2122</v>
      </c>
      <c r="F820">
        <v>2</v>
      </c>
      <c r="G820" t="s">
        <v>1618</v>
      </c>
      <c r="K820" t="s">
        <v>1630</v>
      </c>
    </row>
    <row r="821" spans="1:11" x14ac:dyDescent="0.25">
      <c r="A821" t="s">
        <v>2583</v>
      </c>
      <c r="B821" t="s">
        <v>1224</v>
      </c>
      <c r="C821" t="s">
        <v>8</v>
      </c>
      <c r="D821" t="s">
        <v>160</v>
      </c>
      <c r="E821" t="s">
        <v>2017</v>
      </c>
      <c r="F821">
        <v>7</v>
      </c>
      <c r="G821" t="s">
        <v>1692</v>
      </c>
      <c r="H821">
        <v>82</v>
      </c>
      <c r="I821">
        <v>89</v>
      </c>
      <c r="J821">
        <v>30</v>
      </c>
      <c r="K821" t="s">
        <v>1693</v>
      </c>
    </row>
    <row r="822" spans="1:11" x14ac:dyDescent="0.25">
      <c r="A822" t="s">
        <v>2584</v>
      </c>
      <c r="B822" t="s">
        <v>1225</v>
      </c>
      <c r="C822" t="s">
        <v>110</v>
      </c>
      <c r="D822" t="s">
        <v>145</v>
      </c>
      <c r="E822" t="s">
        <v>1678</v>
      </c>
      <c r="F822">
        <v>2</v>
      </c>
      <c r="G822" t="s">
        <v>1618</v>
      </c>
      <c r="K822" t="s">
        <v>1630</v>
      </c>
    </row>
    <row r="823" spans="1:11" x14ac:dyDescent="0.25">
      <c r="A823" t="s">
        <v>2585</v>
      </c>
      <c r="B823" t="s">
        <v>1226</v>
      </c>
      <c r="C823" t="s">
        <v>69</v>
      </c>
      <c r="D823" t="s">
        <v>142</v>
      </c>
      <c r="E823" t="s">
        <v>1661</v>
      </c>
      <c r="F823">
        <v>3</v>
      </c>
      <c r="G823" t="s">
        <v>1618</v>
      </c>
      <c r="H823">
        <v>67</v>
      </c>
      <c r="K823" t="s">
        <v>1622</v>
      </c>
    </row>
    <row r="824" spans="1:11" x14ac:dyDescent="0.25">
      <c r="A824" t="s">
        <v>2586</v>
      </c>
      <c r="B824" t="s">
        <v>1227</v>
      </c>
      <c r="C824" t="s">
        <v>101</v>
      </c>
      <c r="D824" t="s">
        <v>153</v>
      </c>
      <c r="E824" t="s">
        <v>1946</v>
      </c>
      <c r="F824">
        <v>2</v>
      </c>
      <c r="G824" t="s">
        <v>1618</v>
      </c>
      <c r="K824" t="s">
        <v>1625</v>
      </c>
    </row>
    <row r="825" spans="1:11" x14ac:dyDescent="0.25">
      <c r="A825" t="s">
        <v>2587</v>
      </c>
      <c r="B825" t="s">
        <v>1228</v>
      </c>
      <c r="C825" t="s">
        <v>73</v>
      </c>
      <c r="D825" t="s">
        <v>153</v>
      </c>
      <c r="E825" t="s">
        <v>68</v>
      </c>
      <c r="F825">
        <v>3</v>
      </c>
      <c r="G825" t="s">
        <v>1618</v>
      </c>
      <c r="H825">
        <v>61</v>
      </c>
      <c r="K825" t="s">
        <v>1622</v>
      </c>
    </row>
    <row r="826" spans="1:11" x14ac:dyDescent="0.25">
      <c r="A826" t="s">
        <v>2588</v>
      </c>
      <c r="B826" t="s">
        <v>1229</v>
      </c>
      <c r="C826" t="s">
        <v>60</v>
      </c>
      <c r="D826" t="s">
        <v>156</v>
      </c>
      <c r="E826" t="s">
        <v>1820</v>
      </c>
      <c r="F826">
        <v>4</v>
      </c>
      <c r="G826" t="s">
        <v>1618</v>
      </c>
      <c r="H826">
        <v>72</v>
      </c>
      <c r="I826">
        <v>76</v>
      </c>
      <c r="K826" t="s">
        <v>1635</v>
      </c>
    </row>
    <row r="827" spans="1:11" x14ac:dyDescent="0.25">
      <c r="A827" t="s">
        <v>2589</v>
      </c>
      <c r="B827" t="s">
        <v>1230</v>
      </c>
      <c r="C827" t="s">
        <v>60</v>
      </c>
      <c r="D827" t="s">
        <v>156</v>
      </c>
      <c r="E827" t="s">
        <v>1683</v>
      </c>
      <c r="F827">
        <v>2</v>
      </c>
      <c r="G827" t="s">
        <v>1618</v>
      </c>
      <c r="K827" t="s">
        <v>1630</v>
      </c>
    </row>
    <row r="828" spans="1:11" x14ac:dyDescent="0.25">
      <c r="A828" t="s">
        <v>2590</v>
      </c>
      <c r="B828" t="s">
        <v>1231</v>
      </c>
      <c r="C828" t="s">
        <v>85</v>
      </c>
      <c r="D828" t="s">
        <v>145</v>
      </c>
      <c r="E828" t="s">
        <v>1726</v>
      </c>
      <c r="F828">
        <v>4</v>
      </c>
      <c r="G828" t="s">
        <v>1618</v>
      </c>
      <c r="H828">
        <v>80</v>
      </c>
      <c r="I828">
        <v>82</v>
      </c>
      <c r="K828" t="s">
        <v>1659</v>
      </c>
    </row>
    <row r="829" spans="1:11" x14ac:dyDescent="0.25">
      <c r="A829" t="s">
        <v>2591</v>
      </c>
      <c r="B829" t="s">
        <v>1232</v>
      </c>
      <c r="C829" t="s">
        <v>127</v>
      </c>
      <c r="D829" t="s">
        <v>160</v>
      </c>
      <c r="E829" t="s">
        <v>64</v>
      </c>
      <c r="F829">
        <v>6</v>
      </c>
      <c r="G829" t="s">
        <v>1746</v>
      </c>
      <c r="H829">
        <v>82</v>
      </c>
      <c r="I829">
        <v>76</v>
      </c>
      <c r="K829" t="s">
        <v>1747</v>
      </c>
    </row>
    <row r="830" spans="1:11" x14ac:dyDescent="0.25">
      <c r="A830" t="s">
        <v>2592</v>
      </c>
      <c r="B830" t="s">
        <v>1233</v>
      </c>
      <c r="C830" t="s">
        <v>128</v>
      </c>
      <c r="D830" t="s">
        <v>158</v>
      </c>
      <c r="E830" t="s">
        <v>1908</v>
      </c>
      <c r="F830">
        <v>3</v>
      </c>
      <c r="G830" t="s">
        <v>1618</v>
      </c>
      <c r="H830">
        <v>53</v>
      </c>
      <c r="K830" t="s">
        <v>1622</v>
      </c>
    </row>
    <row r="831" spans="1:11" x14ac:dyDescent="0.25">
      <c r="A831" t="s">
        <v>2593</v>
      </c>
      <c r="B831" t="s">
        <v>1234</v>
      </c>
      <c r="C831" t="s">
        <v>128</v>
      </c>
      <c r="D831" t="s">
        <v>142</v>
      </c>
      <c r="E831" t="s">
        <v>26</v>
      </c>
      <c r="F831">
        <v>2</v>
      </c>
      <c r="G831" t="s">
        <v>1618</v>
      </c>
      <c r="K831" t="s">
        <v>1625</v>
      </c>
    </row>
    <row r="832" spans="1:11" x14ac:dyDescent="0.25">
      <c r="A832" t="s">
        <v>2594</v>
      </c>
      <c r="B832" t="s">
        <v>1235</v>
      </c>
      <c r="C832" t="s">
        <v>107</v>
      </c>
      <c r="D832" t="s">
        <v>150</v>
      </c>
      <c r="E832" t="s">
        <v>1809</v>
      </c>
      <c r="F832">
        <v>1</v>
      </c>
      <c r="G832" t="s">
        <v>1618</v>
      </c>
      <c r="K832" t="s">
        <v>1625</v>
      </c>
    </row>
    <row r="833" spans="1:11" x14ac:dyDescent="0.25">
      <c r="A833" t="s">
        <v>2595</v>
      </c>
      <c r="B833" t="s">
        <v>1236</v>
      </c>
      <c r="C833" t="s">
        <v>65</v>
      </c>
      <c r="D833" t="s">
        <v>145</v>
      </c>
      <c r="E833" t="s">
        <v>1781</v>
      </c>
      <c r="F833">
        <v>2</v>
      </c>
      <c r="G833" t="s">
        <v>1618</v>
      </c>
      <c r="K833" t="s">
        <v>1619</v>
      </c>
    </row>
    <row r="834" spans="1:11" x14ac:dyDescent="0.25">
      <c r="A834" t="s">
        <v>2596</v>
      </c>
      <c r="B834" t="s">
        <v>1237</v>
      </c>
      <c r="C834" t="s">
        <v>73</v>
      </c>
      <c r="D834" t="s">
        <v>153</v>
      </c>
      <c r="E834" t="s">
        <v>2032</v>
      </c>
      <c r="F834">
        <v>2</v>
      </c>
      <c r="G834" t="s">
        <v>1618</v>
      </c>
      <c r="K834" t="s">
        <v>1630</v>
      </c>
    </row>
    <row r="835" spans="1:11" x14ac:dyDescent="0.25">
      <c r="A835" t="s">
        <v>2597</v>
      </c>
      <c r="B835" t="s">
        <v>1238</v>
      </c>
      <c r="C835" t="s">
        <v>34</v>
      </c>
      <c r="D835" t="s">
        <v>160</v>
      </c>
      <c r="E835" t="s">
        <v>1764</v>
      </c>
      <c r="F835">
        <v>2</v>
      </c>
      <c r="G835" t="s">
        <v>1618</v>
      </c>
      <c r="K835" t="s">
        <v>1630</v>
      </c>
    </row>
    <row r="836" spans="1:11" x14ac:dyDescent="0.25">
      <c r="A836" t="s">
        <v>2598</v>
      </c>
      <c r="B836" t="s">
        <v>1239</v>
      </c>
      <c r="C836" t="s">
        <v>73</v>
      </c>
      <c r="D836" t="s">
        <v>153</v>
      </c>
      <c r="E836" t="s">
        <v>2169</v>
      </c>
      <c r="F836">
        <v>2</v>
      </c>
      <c r="G836" t="s">
        <v>1618</v>
      </c>
      <c r="K836" t="s">
        <v>1630</v>
      </c>
    </row>
    <row r="837" spans="1:11" x14ac:dyDescent="0.25">
      <c r="A837" t="s">
        <v>2599</v>
      </c>
      <c r="B837" t="s">
        <v>1240</v>
      </c>
      <c r="C837" t="s">
        <v>112</v>
      </c>
      <c r="D837" t="s">
        <v>150</v>
      </c>
      <c r="E837" t="s">
        <v>109</v>
      </c>
      <c r="F837">
        <v>2</v>
      </c>
      <c r="G837" t="s">
        <v>1618</v>
      </c>
      <c r="K837" t="s">
        <v>1630</v>
      </c>
    </row>
    <row r="838" spans="1:11" x14ac:dyDescent="0.25">
      <c r="A838" t="s">
        <v>2600</v>
      </c>
      <c r="B838" t="s">
        <v>1241</v>
      </c>
      <c r="C838" t="s">
        <v>130</v>
      </c>
      <c r="D838" t="s">
        <v>142</v>
      </c>
      <c r="E838" t="s">
        <v>133</v>
      </c>
      <c r="F838">
        <v>1</v>
      </c>
      <c r="G838" t="s">
        <v>1618</v>
      </c>
      <c r="K838" t="s">
        <v>1625</v>
      </c>
    </row>
    <row r="839" spans="1:11" x14ac:dyDescent="0.25">
      <c r="A839" t="s">
        <v>2601</v>
      </c>
      <c r="B839" t="s">
        <v>1242</v>
      </c>
      <c r="C839" t="s">
        <v>37</v>
      </c>
      <c r="D839" t="s">
        <v>147</v>
      </c>
      <c r="E839" t="s">
        <v>1689</v>
      </c>
      <c r="F839">
        <v>2</v>
      </c>
      <c r="G839" t="s">
        <v>1618</v>
      </c>
      <c r="K839" t="s">
        <v>1630</v>
      </c>
    </row>
    <row r="840" spans="1:11" x14ac:dyDescent="0.25">
      <c r="A840" t="s">
        <v>2602</v>
      </c>
      <c r="B840" t="s">
        <v>1243</v>
      </c>
      <c r="C840" t="s">
        <v>98</v>
      </c>
      <c r="D840" t="s">
        <v>160</v>
      </c>
      <c r="E840" t="s">
        <v>1663</v>
      </c>
      <c r="F840">
        <v>1</v>
      </c>
      <c r="G840" t="s">
        <v>1618</v>
      </c>
      <c r="K840" t="s">
        <v>1625</v>
      </c>
    </row>
    <row r="841" spans="1:11" x14ac:dyDescent="0.25">
      <c r="A841" t="s">
        <v>2603</v>
      </c>
      <c r="B841" t="s">
        <v>1244</v>
      </c>
      <c r="C841" t="s">
        <v>128</v>
      </c>
      <c r="D841" t="s">
        <v>142</v>
      </c>
      <c r="E841" t="s">
        <v>1795</v>
      </c>
      <c r="F841">
        <v>3</v>
      </c>
      <c r="G841" t="s">
        <v>1618</v>
      </c>
      <c r="H841">
        <v>66</v>
      </c>
      <c r="K841" t="s">
        <v>1622</v>
      </c>
    </row>
    <row r="842" spans="1:11" x14ac:dyDescent="0.25">
      <c r="A842" t="s">
        <v>2604</v>
      </c>
      <c r="B842" t="s">
        <v>1245</v>
      </c>
      <c r="C842" t="s">
        <v>125</v>
      </c>
      <c r="D842" t="s">
        <v>153</v>
      </c>
      <c r="E842" t="s">
        <v>1663</v>
      </c>
      <c r="F842">
        <v>1</v>
      </c>
      <c r="G842" t="s">
        <v>1618</v>
      </c>
      <c r="K842" t="s">
        <v>1619</v>
      </c>
    </row>
    <row r="843" spans="1:11" x14ac:dyDescent="0.25">
      <c r="A843" t="s">
        <v>2605</v>
      </c>
      <c r="B843" t="s">
        <v>1246</v>
      </c>
      <c r="C843" t="s">
        <v>92</v>
      </c>
      <c r="D843" t="s">
        <v>156</v>
      </c>
      <c r="E843" t="s">
        <v>1815</v>
      </c>
      <c r="F843">
        <v>2</v>
      </c>
      <c r="G843" t="s">
        <v>1618</v>
      </c>
      <c r="K843" t="s">
        <v>1625</v>
      </c>
    </row>
    <row r="844" spans="1:11" x14ac:dyDescent="0.25">
      <c r="A844" t="s">
        <v>2606</v>
      </c>
      <c r="B844" t="s">
        <v>1248</v>
      </c>
      <c r="C844" t="s">
        <v>8</v>
      </c>
      <c r="D844" t="s">
        <v>160</v>
      </c>
      <c r="E844" t="s">
        <v>2122</v>
      </c>
      <c r="F844">
        <v>2</v>
      </c>
      <c r="G844" t="s">
        <v>1618</v>
      </c>
      <c r="K844" t="s">
        <v>1619</v>
      </c>
    </row>
    <row r="845" spans="1:11" x14ac:dyDescent="0.25">
      <c r="A845" t="s">
        <v>2607</v>
      </c>
      <c r="B845" t="s">
        <v>1249</v>
      </c>
      <c r="C845" t="s">
        <v>31</v>
      </c>
      <c r="D845" t="s">
        <v>145</v>
      </c>
      <c r="E845" t="s">
        <v>1651</v>
      </c>
      <c r="F845">
        <v>1</v>
      </c>
      <c r="G845" t="s">
        <v>1618</v>
      </c>
      <c r="K845" t="s">
        <v>1630</v>
      </c>
    </row>
    <row r="846" spans="1:11" x14ac:dyDescent="0.25">
      <c r="A846" t="s">
        <v>2608</v>
      </c>
      <c r="B846" t="s">
        <v>1250</v>
      </c>
      <c r="C846" t="s">
        <v>97</v>
      </c>
      <c r="D846" t="s">
        <v>142</v>
      </c>
      <c r="E846" t="s">
        <v>1653</v>
      </c>
      <c r="F846">
        <v>5</v>
      </c>
      <c r="G846" t="s">
        <v>1618</v>
      </c>
      <c r="H846">
        <v>87</v>
      </c>
      <c r="I846">
        <v>82</v>
      </c>
      <c r="K846" t="s">
        <v>1659</v>
      </c>
    </row>
    <row r="847" spans="1:11" x14ac:dyDescent="0.25">
      <c r="A847" t="s">
        <v>2609</v>
      </c>
      <c r="B847" t="s">
        <v>1252</v>
      </c>
      <c r="C847" t="s">
        <v>34</v>
      </c>
      <c r="D847" t="s">
        <v>160</v>
      </c>
      <c r="E847" t="s">
        <v>1685</v>
      </c>
      <c r="F847">
        <v>4</v>
      </c>
      <c r="G847" t="s">
        <v>1618</v>
      </c>
      <c r="H847">
        <v>73</v>
      </c>
      <c r="I847">
        <v>81</v>
      </c>
      <c r="K847" t="s">
        <v>1635</v>
      </c>
    </row>
    <row r="848" spans="1:11" x14ac:dyDescent="0.25">
      <c r="A848" t="s">
        <v>2610</v>
      </c>
      <c r="B848" t="s">
        <v>1253</v>
      </c>
      <c r="C848" t="s">
        <v>116</v>
      </c>
      <c r="D848" t="s">
        <v>158</v>
      </c>
      <c r="E848" t="s">
        <v>2611</v>
      </c>
      <c r="F848">
        <v>4</v>
      </c>
      <c r="G848" t="s">
        <v>1618</v>
      </c>
      <c r="H848">
        <v>82</v>
      </c>
      <c r="I848">
        <v>82</v>
      </c>
      <c r="K848" t="s">
        <v>1659</v>
      </c>
    </row>
    <row r="849" spans="1:11" x14ac:dyDescent="0.25">
      <c r="A849" t="s">
        <v>2612</v>
      </c>
      <c r="B849" t="s">
        <v>1254</v>
      </c>
      <c r="C849" t="s">
        <v>23</v>
      </c>
      <c r="D849" t="s">
        <v>145</v>
      </c>
      <c r="E849" t="s">
        <v>1731</v>
      </c>
      <c r="F849">
        <v>2</v>
      </c>
      <c r="G849" t="s">
        <v>1618</v>
      </c>
      <c r="K849" t="s">
        <v>1619</v>
      </c>
    </row>
    <row r="850" spans="1:11" x14ac:dyDescent="0.25">
      <c r="A850" t="s">
        <v>2613</v>
      </c>
      <c r="B850" t="s">
        <v>1255</v>
      </c>
      <c r="C850" t="s">
        <v>125</v>
      </c>
      <c r="D850" t="s">
        <v>153</v>
      </c>
      <c r="E850" t="s">
        <v>1809</v>
      </c>
      <c r="F850">
        <v>7</v>
      </c>
      <c r="G850" t="s">
        <v>1692</v>
      </c>
      <c r="H850">
        <v>88</v>
      </c>
      <c r="I850">
        <v>90</v>
      </c>
      <c r="J850">
        <v>25</v>
      </c>
      <c r="K850" t="s">
        <v>1693</v>
      </c>
    </row>
    <row r="851" spans="1:11" x14ac:dyDescent="0.25">
      <c r="A851" t="s">
        <v>2614</v>
      </c>
      <c r="B851" t="s">
        <v>1256</v>
      </c>
      <c r="C851" t="s">
        <v>85</v>
      </c>
      <c r="D851" t="s">
        <v>145</v>
      </c>
      <c r="E851" t="s">
        <v>51</v>
      </c>
      <c r="F851">
        <v>2</v>
      </c>
      <c r="G851" t="s">
        <v>1618</v>
      </c>
      <c r="K851" t="s">
        <v>1619</v>
      </c>
    </row>
    <row r="852" spans="1:11" x14ac:dyDescent="0.25">
      <c r="A852" t="s">
        <v>2615</v>
      </c>
      <c r="B852" t="s">
        <v>1257</v>
      </c>
      <c r="C852" t="s">
        <v>69</v>
      </c>
      <c r="D852" t="s">
        <v>158</v>
      </c>
      <c r="E852" t="s">
        <v>2094</v>
      </c>
      <c r="F852">
        <v>1</v>
      </c>
      <c r="G852" t="s">
        <v>1618</v>
      </c>
      <c r="K852" t="s">
        <v>1619</v>
      </c>
    </row>
    <row r="853" spans="1:11" x14ac:dyDescent="0.25">
      <c r="A853" t="s">
        <v>2616</v>
      </c>
      <c r="B853" t="s">
        <v>1258</v>
      </c>
      <c r="C853" t="s">
        <v>60</v>
      </c>
      <c r="D853" t="s">
        <v>156</v>
      </c>
      <c r="E853" t="s">
        <v>1917</v>
      </c>
      <c r="F853">
        <v>2</v>
      </c>
      <c r="G853" t="s">
        <v>1618</v>
      </c>
      <c r="K853" t="s">
        <v>1625</v>
      </c>
    </row>
    <row r="854" spans="1:11" x14ac:dyDescent="0.25">
      <c r="A854" t="s">
        <v>2617</v>
      </c>
      <c r="B854" t="s">
        <v>1259</v>
      </c>
      <c r="C854" t="s">
        <v>105</v>
      </c>
      <c r="D854" t="s">
        <v>158</v>
      </c>
      <c r="E854" t="s">
        <v>1711</v>
      </c>
      <c r="F854">
        <v>7</v>
      </c>
      <c r="G854" t="s">
        <v>1692</v>
      </c>
      <c r="H854">
        <v>79</v>
      </c>
      <c r="I854">
        <v>75</v>
      </c>
      <c r="J854">
        <v>26</v>
      </c>
      <c r="K854" t="s">
        <v>1693</v>
      </c>
    </row>
    <row r="855" spans="1:11" x14ac:dyDescent="0.25">
      <c r="A855" t="s">
        <v>2618</v>
      </c>
      <c r="B855" t="s">
        <v>1260</v>
      </c>
      <c r="C855" t="s">
        <v>101</v>
      </c>
      <c r="D855" t="s">
        <v>153</v>
      </c>
      <c r="E855" t="s">
        <v>1731</v>
      </c>
      <c r="F855">
        <v>1</v>
      </c>
      <c r="G855" t="s">
        <v>1618</v>
      </c>
      <c r="K855" t="s">
        <v>1630</v>
      </c>
    </row>
    <row r="856" spans="1:11" x14ac:dyDescent="0.25">
      <c r="A856" t="s">
        <v>2619</v>
      </c>
      <c r="B856" t="s">
        <v>1261</v>
      </c>
      <c r="C856" t="s">
        <v>127</v>
      </c>
      <c r="D856" t="s">
        <v>160</v>
      </c>
      <c r="E856" t="s">
        <v>1772</v>
      </c>
      <c r="F856">
        <v>2</v>
      </c>
      <c r="G856" t="s">
        <v>1618</v>
      </c>
      <c r="K856" t="s">
        <v>1630</v>
      </c>
    </row>
    <row r="857" spans="1:11" x14ac:dyDescent="0.25">
      <c r="A857" t="s">
        <v>2620</v>
      </c>
      <c r="B857" t="s">
        <v>1262</v>
      </c>
      <c r="C857" t="s">
        <v>39</v>
      </c>
      <c r="D857" t="s">
        <v>145</v>
      </c>
      <c r="E857" t="s">
        <v>1647</v>
      </c>
      <c r="F857">
        <v>3</v>
      </c>
      <c r="G857" t="s">
        <v>1618</v>
      </c>
      <c r="H857">
        <v>71</v>
      </c>
      <c r="K857" t="s">
        <v>1622</v>
      </c>
    </row>
    <row r="858" spans="1:11" x14ac:dyDescent="0.25">
      <c r="A858" t="s">
        <v>2621</v>
      </c>
      <c r="B858" t="s">
        <v>1263</v>
      </c>
      <c r="C858" t="s">
        <v>76</v>
      </c>
      <c r="D858" t="s">
        <v>153</v>
      </c>
      <c r="E858" t="s">
        <v>1923</v>
      </c>
      <c r="F858">
        <v>1</v>
      </c>
      <c r="G858" t="s">
        <v>1618</v>
      </c>
      <c r="K858" t="s">
        <v>1625</v>
      </c>
    </row>
    <row r="859" spans="1:11" x14ac:dyDescent="0.25">
      <c r="A859" t="s">
        <v>2622</v>
      </c>
      <c r="B859" t="s">
        <v>1264</v>
      </c>
      <c r="C859" t="s">
        <v>76</v>
      </c>
      <c r="D859" t="s">
        <v>153</v>
      </c>
      <c r="E859" t="s">
        <v>2460</v>
      </c>
      <c r="F859">
        <v>1</v>
      </c>
      <c r="G859" t="s">
        <v>1618</v>
      </c>
      <c r="K859" t="s">
        <v>1630</v>
      </c>
    </row>
    <row r="860" spans="1:11" x14ac:dyDescent="0.25">
      <c r="A860" t="s">
        <v>2623</v>
      </c>
      <c r="B860" t="s">
        <v>1265</v>
      </c>
      <c r="C860" t="s">
        <v>8</v>
      </c>
      <c r="D860" t="s">
        <v>145</v>
      </c>
      <c r="E860" t="s">
        <v>2470</v>
      </c>
      <c r="F860">
        <v>2</v>
      </c>
      <c r="G860" t="s">
        <v>1618</v>
      </c>
      <c r="K860" t="s">
        <v>1630</v>
      </c>
    </row>
    <row r="861" spans="1:11" x14ac:dyDescent="0.25">
      <c r="A861" t="s">
        <v>2624</v>
      </c>
      <c r="B861" t="s">
        <v>1266</v>
      </c>
      <c r="C861" t="s">
        <v>73</v>
      </c>
      <c r="D861" t="s">
        <v>153</v>
      </c>
      <c r="E861" t="s">
        <v>89</v>
      </c>
      <c r="F861">
        <v>1</v>
      </c>
      <c r="G861" t="s">
        <v>1618</v>
      </c>
      <c r="K861" t="s">
        <v>1630</v>
      </c>
    </row>
    <row r="862" spans="1:11" x14ac:dyDescent="0.25">
      <c r="A862" t="s">
        <v>2625</v>
      </c>
      <c r="B862" t="s">
        <v>1267</v>
      </c>
      <c r="C862" t="s">
        <v>98</v>
      </c>
      <c r="D862" t="s">
        <v>145</v>
      </c>
      <c r="E862" t="s">
        <v>1824</v>
      </c>
      <c r="F862">
        <v>3</v>
      </c>
      <c r="G862" t="s">
        <v>1618</v>
      </c>
      <c r="H862">
        <v>70</v>
      </c>
      <c r="K862" t="s">
        <v>1622</v>
      </c>
    </row>
    <row r="863" spans="1:11" x14ac:dyDescent="0.25">
      <c r="A863" t="s">
        <v>2626</v>
      </c>
      <c r="B863" t="s">
        <v>1268</v>
      </c>
      <c r="C863" t="s">
        <v>14</v>
      </c>
      <c r="D863" t="s">
        <v>158</v>
      </c>
      <c r="E863" t="s">
        <v>1741</v>
      </c>
      <c r="F863">
        <v>2</v>
      </c>
      <c r="G863" t="s">
        <v>1618</v>
      </c>
      <c r="K863" t="s">
        <v>1619</v>
      </c>
    </row>
    <row r="864" spans="1:11" x14ac:dyDescent="0.25">
      <c r="A864" t="s">
        <v>2627</v>
      </c>
      <c r="B864" t="s">
        <v>1269</v>
      </c>
      <c r="C864" t="s">
        <v>101</v>
      </c>
      <c r="D864" t="s">
        <v>153</v>
      </c>
      <c r="E864" t="s">
        <v>1826</v>
      </c>
      <c r="F864">
        <v>7</v>
      </c>
      <c r="G864" t="s">
        <v>1692</v>
      </c>
      <c r="H864">
        <v>82</v>
      </c>
      <c r="I864">
        <v>90</v>
      </c>
      <c r="J864">
        <v>24</v>
      </c>
      <c r="K864" t="s">
        <v>1693</v>
      </c>
    </row>
    <row r="865" spans="1:11" x14ac:dyDescent="0.25">
      <c r="A865" t="s">
        <v>2628</v>
      </c>
      <c r="B865" t="s">
        <v>1270</v>
      </c>
      <c r="C865" t="s">
        <v>59</v>
      </c>
      <c r="D865" t="s">
        <v>145</v>
      </c>
      <c r="E865" t="s">
        <v>2130</v>
      </c>
      <c r="F865">
        <v>7</v>
      </c>
      <c r="G865" t="s">
        <v>1692</v>
      </c>
      <c r="H865">
        <v>72</v>
      </c>
      <c r="I865">
        <v>84</v>
      </c>
      <c r="J865">
        <v>24</v>
      </c>
      <c r="K865" t="s">
        <v>1693</v>
      </c>
    </row>
    <row r="866" spans="1:11" x14ac:dyDescent="0.25">
      <c r="A866" t="s">
        <v>2629</v>
      </c>
      <c r="B866" t="s">
        <v>1271</v>
      </c>
      <c r="C866" t="s">
        <v>65</v>
      </c>
      <c r="D866" t="s">
        <v>160</v>
      </c>
      <c r="E866" t="s">
        <v>64</v>
      </c>
      <c r="F866">
        <v>1</v>
      </c>
      <c r="G866" t="s">
        <v>1618</v>
      </c>
      <c r="K866" t="s">
        <v>1630</v>
      </c>
    </row>
    <row r="867" spans="1:11" x14ac:dyDescent="0.25">
      <c r="A867" t="s">
        <v>2630</v>
      </c>
      <c r="B867" t="s">
        <v>1272</v>
      </c>
      <c r="C867" t="s">
        <v>31</v>
      </c>
      <c r="D867" t="s">
        <v>160</v>
      </c>
      <c r="E867" t="s">
        <v>1764</v>
      </c>
      <c r="F867">
        <v>3</v>
      </c>
      <c r="G867" t="s">
        <v>1618</v>
      </c>
      <c r="H867">
        <v>63</v>
      </c>
      <c r="K867" t="s">
        <v>1622</v>
      </c>
    </row>
    <row r="868" spans="1:11" x14ac:dyDescent="0.25">
      <c r="A868" t="s">
        <v>2631</v>
      </c>
      <c r="B868" t="s">
        <v>1273</v>
      </c>
      <c r="C868" t="s">
        <v>39</v>
      </c>
      <c r="D868" t="s">
        <v>145</v>
      </c>
      <c r="E868" t="s">
        <v>1803</v>
      </c>
      <c r="F868">
        <v>2</v>
      </c>
      <c r="G868" t="s">
        <v>1618</v>
      </c>
      <c r="K868" t="s">
        <v>1619</v>
      </c>
    </row>
    <row r="869" spans="1:11" x14ac:dyDescent="0.25">
      <c r="A869" t="s">
        <v>2632</v>
      </c>
      <c r="B869" t="s">
        <v>1274</v>
      </c>
      <c r="C869" t="s">
        <v>97</v>
      </c>
      <c r="D869" t="s">
        <v>142</v>
      </c>
      <c r="E869" t="s">
        <v>2094</v>
      </c>
      <c r="F869">
        <v>1</v>
      </c>
      <c r="G869" t="s">
        <v>1618</v>
      </c>
      <c r="K869" t="s">
        <v>1619</v>
      </c>
    </row>
    <row r="870" spans="1:11" x14ac:dyDescent="0.25">
      <c r="A870" t="s">
        <v>2633</v>
      </c>
      <c r="B870" t="s">
        <v>1275</v>
      </c>
      <c r="C870" t="s">
        <v>92</v>
      </c>
      <c r="D870" t="s">
        <v>156</v>
      </c>
      <c r="E870" t="s">
        <v>1726</v>
      </c>
      <c r="F870">
        <v>7</v>
      </c>
      <c r="G870" t="s">
        <v>1692</v>
      </c>
      <c r="H870">
        <v>75</v>
      </c>
      <c r="I870">
        <v>80</v>
      </c>
      <c r="J870">
        <v>24</v>
      </c>
      <c r="K870" t="s">
        <v>1693</v>
      </c>
    </row>
    <row r="871" spans="1:11" x14ac:dyDescent="0.25">
      <c r="A871" t="s">
        <v>2634</v>
      </c>
      <c r="B871" t="s">
        <v>1276</v>
      </c>
      <c r="C871" t="s">
        <v>23</v>
      </c>
      <c r="D871" t="s">
        <v>160</v>
      </c>
      <c r="E871" t="s">
        <v>1946</v>
      </c>
      <c r="F871">
        <v>2</v>
      </c>
      <c r="G871" t="s">
        <v>1618</v>
      </c>
      <c r="K871" t="s">
        <v>1625</v>
      </c>
    </row>
    <row r="872" spans="1:11" x14ac:dyDescent="0.25">
      <c r="A872" t="s">
        <v>2635</v>
      </c>
      <c r="B872" t="s">
        <v>1277</v>
      </c>
      <c r="C872" t="s">
        <v>97</v>
      </c>
      <c r="D872" t="s">
        <v>142</v>
      </c>
      <c r="E872" t="s">
        <v>48</v>
      </c>
      <c r="F872">
        <v>1</v>
      </c>
      <c r="G872" t="s">
        <v>1618</v>
      </c>
      <c r="K872" t="s">
        <v>1625</v>
      </c>
    </row>
    <row r="873" spans="1:11" x14ac:dyDescent="0.25">
      <c r="A873" t="s">
        <v>2636</v>
      </c>
      <c r="B873" t="s">
        <v>1278</v>
      </c>
      <c r="C873" t="s">
        <v>130</v>
      </c>
      <c r="D873" t="s">
        <v>158</v>
      </c>
      <c r="E873" t="s">
        <v>1807</v>
      </c>
      <c r="F873">
        <v>3</v>
      </c>
      <c r="G873" t="s">
        <v>1618</v>
      </c>
      <c r="H873">
        <v>68</v>
      </c>
      <c r="K873" t="s">
        <v>1622</v>
      </c>
    </row>
    <row r="874" spans="1:11" x14ac:dyDescent="0.25">
      <c r="A874" t="s">
        <v>2637</v>
      </c>
      <c r="B874" t="s">
        <v>1279</v>
      </c>
      <c r="C874" t="s">
        <v>116</v>
      </c>
      <c r="D874" t="s">
        <v>158</v>
      </c>
      <c r="E874" t="s">
        <v>1946</v>
      </c>
      <c r="F874">
        <v>2</v>
      </c>
      <c r="G874" t="s">
        <v>1618</v>
      </c>
      <c r="K874" t="s">
        <v>1625</v>
      </c>
    </row>
    <row r="875" spans="1:11" x14ac:dyDescent="0.25">
      <c r="A875" t="s">
        <v>2638</v>
      </c>
      <c r="B875" t="s">
        <v>1280</v>
      </c>
      <c r="C875" t="s">
        <v>65</v>
      </c>
      <c r="D875" t="s">
        <v>145</v>
      </c>
      <c r="E875" t="s">
        <v>1645</v>
      </c>
      <c r="F875">
        <v>5</v>
      </c>
      <c r="G875" t="s">
        <v>1618</v>
      </c>
      <c r="H875">
        <v>72</v>
      </c>
      <c r="I875">
        <v>90</v>
      </c>
      <c r="K875" t="s">
        <v>1659</v>
      </c>
    </row>
    <row r="876" spans="1:11" x14ac:dyDescent="0.25">
      <c r="A876" t="s">
        <v>2639</v>
      </c>
      <c r="B876" t="s">
        <v>1281</v>
      </c>
      <c r="C876" t="s">
        <v>94</v>
      </c>
      <c r="D876" t="s">
        <v>150</v>
      </c>
      <c r="E876" t="s">
        <v>2516</v>
      </c>
      <c r="F876">
        <v>2</v>
      </c>
      <c r="G876" t="s">
        <v>1618</v>
      </c>
      <c r="K876" t="s">
        <v>1619</v>
      </c>
    </row>
    <row r="877" spans="1:11" x14ac:dyDescent="0.25">
      <c r="A877" t="s">
        <v>2640</v>
      </c>
      <c r="B877" t="s">
        <v>1282</v>
      </c>
      <c r="C877" t="s">
        <v>127</v>
      </c>
      <c r="D877" t="s">
        <v>160</v>
      </c>
      <c r="E877" t="s">
        <v>1772</v>
      </c>
      <c r="F877">
        <v>3</v>
      </c>
      <c r="G877" t="s">
        <v>1618</v>
      </c>
      <c r="H877">
        <v>68</v>
      </c>
      <c r="K877" t="s">
        <v>1622</v>
      </c>
    </row>
    <row r="878" spans="1:11" x14ac:dyDescent="0.25">
      <c r="A878" t="s">
        <v>2641</v>
      </c>
      <c r="B878" t="s">
        <v>1283</v>
      </c>
      <c r="C878" t="s">
        <v>100</v>
      </c>
      <c r="D878" t="s">
        <v>150</v>
      </c>
      <c r="E878" t="s">
        <v>1678</v>
      </c>
      <c r="F878">
        <v>1</v>
      </c>
      <c r="G878" t="s">
        <v>1618</v>
      </c>
      <c r="K878" t="s">
        <v>1619</v>
      </c>
    </row>
    <row r="879" spans="1:11" x14ac:dyDescent="0.25">
      <c r="A879" t="s">
        <v>2642</v>
      </c>
      <c r="B879" t="s">
        <v>1284</v>
      </c>
      <c r="C879" t="s">
        <v>125</v>
      </c>
      <c r="D879" t="s">
        <v>153</v>
      </c>
      <c r="E879" t="s">
        <v>22</v>
      </c>
      <c r="F879">
        <v>3</v>
      </c>
      <c r="G879" t="s">
        <v>1618</v>
      </c>
      <c r="H879">
        <v>60</v>
      </c>
      <c r="K879" t="s">
        <v>1622</v>
      </c>
    </row>
    <row r="880" spans="1:11" x14ac:dyDescent="0.25">
      <c r="A880" t="s">
        <v>2643</v>
      </c>
      <c r="B880" t="s">
        <v>1285</v>
      </c>
      <c r="C880" t="s">
        <v>87</v>
      </c>
      <c r="D880" t="s">
        <v>145</v>
      </c>
      <c r="E880" t="s">
        <v>1726</v>
      </c>
      <c r="F880">
        <v>2</v>
      </c>
      <c r="G880" t="s">
        <v>1618</v>
      </c>
      <c r="K880" t="s">
        <v>1619</v>
      </c>
    </row>
    <row r="881" spans="1:11" x14ac:dyDescent="0.25">
      <c r="A881" t="s">
        <v>2644</v>
      </c>
      <c r="B881" t="s">
        <v>1286</v>
      </c>
      <c r="C881" t="s">
        <v>87</v>
      </c>
      <c r="D881" t="s">
        <v>160</v>
      </c>
      <c r="E881" t="s">
        <v>1801</v>
      </c>
      <c r="F881">
        <v>3</v>
      </c>
      <c r="G881" t="s">
        <v>1618</v>
      </c>
      <c r="H881">
        <v>57</v>
      </c>
      <c r="K881" t="s">
        <v>1622</v>
      </c>
    </row>
    <row r="882" spans="1:11" x14ac:dyDescent="0.25">
      <c r="A882" t="s">
        <v>2645</v>
      </c>
      <c r="B882" t="s">
        <v>1287</v>
      </c>
      <c r="C882" t="s">
        <v>134</v>
      </c>
      <c r="D882" t="s">
        <v>150</v>
      </c>
      <c r="E882" t="s">
        <v>2217</v>
      </c>
      <c r="F882">
        <v>3</v>
      </c>
      <c r="G882" t="s">
        <v>1618</v>
      </c>
      <c r="H882">
        <v>50</v>
      </c>
      <c r="K882" t="s">
        <v>1622</v>
      </c>
    </row>
    <row r="883" spans="1:11" x14ac:dyDescent="0.25">
      <c r="A883" t="s">
        <v>2646</v>
      </c>
      <c r="B883" t="s">
        <v>1288</v>
      </c>
      <c r="C883" t="s">
        <v>66</v>
      </c>
      <c r="D883" t="s">
        <v>145</v>
      </c>
      <c r="E883" t="s">
        <v>1781</v>
      </c>
      <c r="F883">
        <v>2</v>
      </c>
      <c r="G883" t="s">
        <v>1618</v>
      </c>
      <c r="K883" t="s">
        <v>1619</v>
      </c>
    </row>
    <row r="884" spans="1:11" x14ac:dyDescent="0.25">
      <c r="A884" t="s">
        <v>2647</v>
      </c>
      <c r="B884" t="s">
        <v>1289</v>
      </c>
      <c r="C884" t="s">
        <v>92</v>
      </c>
      <c r="D884" t="s">
        <v>156</v>
      </c>
      <c r="E884" t="s">
        <v>1621</v>
      </c>
      <c r="F884">
        <v>2</v>
      </c>
      <c r="G884" t="s">
        <v>1618</v>
      </c>
      <c r="K884" t="s">
        <v>1619</v>
      </c>
    </row>
    <row r="885" spans="1:11" x14ac:dyDescent="0.25">
      <c r="A885" t="s">
        <v>2648</v>
      </c>
      <c r="B885" t="s">
        <v>1290</v>
      </c>
      <c r="C885" t="s">
        <v>43</v>
      </c>
      <c r="D885" t="s">
        <v>158</v>
      </c>
      <c r="E885" t="s">
        <v>1651</v>
      </c>
      <c r="F885">
        <v>3</v>
      </c>
      <c r="G885" t="s">
        <v>1618</v>
      </c>
      <c r="H885">
        <v>43</v>
      </c>
      <c r="K885" t="s">
        <v>1622</v>
      </c>
    </row>
    <row r="886" spans="1:11" x14ac:dyDescent="0.25">
      <c r="A886" t="s">
        <v>2649</v>
      </c>
      <c r="B886" t="s">
        <v>1291</v>
      </c>
      <c r="C886" t="s">
        <v>71</v>
      </c>
      <c r="D886" t="s">
        <v>158</v>
      </c>
      <c r="E886" t="s">
        <v>1697</v>
      </c>
      <c r="F886">
        <v>7</v>
      </c>
      <c r="G886" t="s">
        <v>1692</v>
      </c>
      <c r="H886">
        <v>69</v>
      </c>
      <c r="I886">
        <v>87</v>
      </c>
      <c r="J886">
        <v>23</v>
      </c>
      <c r="K886" t="s">
        <v>1693</v>
      </c>
    </row>
    <row r="887" spans="1:11" x14ac:dyDescent="0.25">
      <c r="A887" t="s">
        <v>2650</v>
      </c>
      <c r="B887" t="s">
        <v>1292</v>
      </c>
      <c r="C887" t="s">
        <v>66</v>
      </c>
      <c r="D887" t="s">
        <v>160</v>
      </c>
      <c r="E887" t="s">
        <v>2128</v>
      </c>
      <c r="F887">
        <v>1</v>
      </c>
      <c r="G887" t="s">
        <v>1618</v>
      </c>
      <c r="K887" t="s">
        <v>1619</v>
      </c>
    </row>
    <row r="888" spans="1:11" x14ac:dyDescent="0.25">
      <c r="A888" t="s">
        <v>2651</v>
      </c>
      <c r="B888" t="s">
        <v>1293</v>
      </c>
      <c r="C888" t="s">
        <v>83</v>
      </c>
      <c r="D888" t="s">
        <v>158</v>
      </c>
      <c r="E888" t="s">
        <v>1833</v>
      </c>
      <c r="F888">
        <v>1</v>
      </c>
      <c r="G888" t="s">
        <v>1618</v>
      </c>
      <c r="K888" t="s">
        <v>1625</v>
      </c>
    </row>
    <row r="889" spans="1:11" x14ac:dyDescent="0.25">
      <c r="A889" t="s">
        <v>2652</v>
      </c>
      <c r="B889" t="s">
        <v>1294</v>
      </c>
      <c r="C889" t="s">
        <v>97</v>
      </c>
      <c r="D889" t="s">
        <v>142</v>
      </c>
      <c r="E889" t="s">
        <v>82</v>
      </c>
      <c r="F889">
        <v>1</v>
      </c>
      <c r="G889" t="s">
        <v>1618</v>
      </c>
      <c r="K889" t="s">
        <v>1630</v>
      </c>
    </row>
    <row r="890" spans="1:11" x14ac:dyDescent="0.25">
      <c r="A890" t="s">
        <v>2653</v>
      </c>
      <c r="B890" t="s">
        <v>1295</v>
      </c>
      <c r="C890" t="s">
        <v>92</v>
      </c>
      <c r="D890" t="s">
        <v>156</v>
      </c>
      <c r="E890" t="s">
        <v>1728</v>
      </c>
      <c r="F890">
        <v>3</v>
      </c>
      <c r="G890" t="s">
        <v>1618</v>
      </c>
      <c r="H890">
        <v>63</v>
      </c>
      <c r="K890" t="s">
        <v>1622</v>
      </c>
    </row>
    <row r="891" spans="1:11" x14ac:dyDescent="0.25">
      <c r="A891" t="s">
        <v>2654</v>
      </c>
      <c r="B891" t="s">
        <v>1296</v>
      </c>
      <c r="C891" t="s">
        <v>66</v>
      </c>
      <c r="D891" t="s">
        <v>145</v>
      </c>
      <c r="E891" t="s">
        <v>2029</v>
      </c>
      <c r="F891">
        <v>6</v>
      </c>
      <c r="G891" t="s">
        <v>1746</v>
      </c>
      <c r="H891">
        <v>76</v>
      </c>
      <c r="I891">
        <v>75</v>
      </c>
      <c r="K891" t="s">
        <v>1747</v>
      </c>
    </row>
    <row r="892" spans="1:11" x14ac:dyDescent="0.25">
      <c r="A892" t="s">
        <v>2655</v>
      </c>
      <c r="B892" t="s">
        <v>1297</v>
      </c>
      <c r="C892" t="s">
        <v>112</v>
      </c>
      <c r="D892" t="s">
        <v>150</v>
      </c>
      <c r="E892" t="s">
        <v>1824</v>
      </c>
      <c r="F892">
        <v>3</v>
      </c>
      <c r="G892" t="s">
        <v>1618</v>
      </c>
      <c r="H892">
        <v>76</v>
      </c>
      <c r="K892" t="s">
        <v>1622</v>
      </c>
    </row>
    <row r="893" spans="1:11" x14ac:dyDescent="0.25">
      <c r="A893" t="s">
        <v>2656</v>
      </c>
      <c r="B893" t="s">
        <v>1298</v>
      </c>
      <c r="C893" t="s">
        <v>71</v>
      </c>
      <c r="D893" t="s">
        <v>142</v>
      </c>
      <c r="E893" t="s">
        <v>1915</v>
      </c>
      <c r="F893">
        <v>1</v>
      </c>
      <c r="G893" t="s">
        <v>1618</v>
      </c>
      <c r="K893" t="s">
        <v>1619</v>
      </c>
    </row>
    <row r="894" spans="1:11" x14ac:dyDescent="0.25">
      <c r="A894" t="s">
        <v>2657</v>
      </c>
      <c r="B894" t="s">
        <v>1299</v>
      </c>
      <c r="C894" t="s">
        <v>132</v>
      </c>
      <c r="D894" t="s">
        <v>153</v>
      </c>
      <c r="E894" t="s">
        <v>2046</v>
      </c>
      <c r="F894">
        <v>2</v>
      </c>
      <c r="G894" t="s">
        <v>1618</v>
      </c>
      <c r="K894" t="s">
        <v>1625</v>
      </c>
    </row>
    <row r="895" spans="1:11" x14ac:dyDescent="0.25">
      <c r="A895" t="s">
        <v>2658</v>
      </c>
      <c r="B895" t="s">
        <v>1300</v>
      </c>
      <c r="C895" t="s">
        <v>130</v>
      </c>
      <c r="D895" t="s">
        <v>142</v>
      </c>
      <c r="E895" t="s">
        <v>1704</v>
      </c>
      <c r="F895">
        <v>2</v>
      </c>
      <c r="G895" t="s">
        <v>1618</v>
      </c>
      <c r="K895" t="s">
        <v>1630</v>
      </c>
    </row>
    <row r="896" spans="1:11" x14ac:dyDescent="0.25">
      <c r="A896" t="s">
        <v>2659</v>
      </c>
      <c r="B896" t="s">
        <v>1301</v>
      </c>
      <c r="C896" t="s">
        <v>43</v>
      </c>
      <c r="D896" t="s">
        <v>142</v>
      </c>
      <c r="E896" t="s">
        <v>1787</v>
      </c>
      <c r="F896">
        <v>1</v>
      </c>
      <c r="G896" t="s">
        <v>1618</v>
      </c>
      <c r="K896" t="s">
        <v>1625</v>
      </c>
    </row>
    <row r="897" spans="1:11" x14ac:dyDescent="0.25">
      <c r="A897" t="s">
        <v>2660</v>
      </c>
      <c r="B897" t="s">
        <v>1302</v>
      </c>
      <c r="C897" t="s">
        <v>130</v>
      </c>
      <c r="D897" t="s">
        <v>142</v>
      </c>
      <c r="E897" t="s">
        <v>2017</v>
      </c>
      <c r="F897">
        <v>2</v>
      </c>
      <c r="G897" t="s">
        <v>1618</v>
      </c>
      <c r="K897" t="s">
        <v>1625</v>
      </c>
    </row>
    <row r="898" spans="1:11" x14ac:dyDescent="0.25">
      <c r="A898" t="s">
        <v>2661</v>
      </c>
      <c r="B898" t="s">
        <v>1304</v>
      </c>
      <c r="C898" t="s">
        <v>113</v>
      </c>
      <c r="D898" t="s">
        <v>160</v>
      </c>
      <c r="E898" t="s">
        <v>45</v>
      </c>
      <c r="F898">
        <v>2</v>
      </c>
      <c r="G898" t="s">
        <v>1618</v>
      </c>
      <c r="K898" t="s">
        <v>1625</v>
      </c>
    </row>
    <row r="899" spans="1:11" x14ac:dyDescent="0.25">
      <c r="A899" t="s">
        <v>2662</v>
      </c>
      <c r="B899" t="s">
        <v>1305</v>
      </c>
      <c r="C899" t="s">
        <v>52</v>
      </c>
      <c r="D899" t="s">
        <v>147</v>
      </c>
      <c r="E899" t="s">
        <v>2071</v>
      </c>
      <c r="F899">
        <v>1</v>
      </c>
      <c r="G899" t="s">
        <v>1618</v>
      </c>
      <c r="K899" t="s">
        <v>1625</v>
      </c>
    </row>
    <row r="900" spans="1:11" x14ac:dyDescent="0.25">
      <c r="A900" t="s">
        <v>2663</v>
      </c>
      <c r="B900" t="s">
        <v>1306</v>
      </c>
      <c r="C900" t="s">
        <v>79</v>
      </c>
      <c r="D900" t="s">
        <v>150</v>
      </c>
      <c r="E900" t="s">
        <v>75</v>
      </c>
      <c r="F900">
        <v>1</v>
      </c>
      <c r="G900" t="s">
        <v>1618</v>
      </c>
      <c r="K900" t="s">
        <v>1625</v>
      </c>
    </row>
    <row r="901" spans="1:11" x14ac:dyDescent="0.25">
      <c r="A901" t="s">
        <v>2664</v>
      </c>
      <c r="B901" t="s">
        <v>1307</v>
      </c>
      <c r="C901" t="s">
        <v>121</v>
      </c>
      <c r="D901" t="s">
        <v>156</v>
      </c>
      <c r="E901" t="s">
        <v>1624</v>
      </c>
      <c r="F901">
        <v>1</v>
      </c>
      <c r="G901" t="s">
        <v>1618</v>
      </c>
      <c r="K901" t="s">
        <v>1630</v>
      </c>
    </row>
    <row r="902" spans="1:11" x14ac:dyDescent="0.25">
      <c r="A902" t="s">
        <v>2665</v>
      </c>
      <c r="B902" t="s">
        <v>1308</v>
      </c>
      <c r="C902" t="s">
        <v>60</v>
      </c>
      <c r="D902" t="s">
        <v>156</v>
      </c>
      <c r="E902" t="s">
        <v>1645</v>
      </c>
      <c r="F902">
        <v>3</v>
      </c>
      <c r="G902" t="s">
        <v>1618</v>
      </c>
      <c r="H902">
        <v>57</v>
      </c>
      <c r="K902" t="s">
        <v>1622</v>
      </c>
    </row>
    <row r="903" spans="1:11" x14ac:dyDescent="0.25">
      <c r="A903" t="s">
        <v>2666</v>
      </c>
      <c r="B903" t="s">
        <v>1309</v>
      </c>
      <c r="C903" t="s">
        <v>118</v>
      </c>
      <c r="D903" t="s">
        <v>150</v>
      </c>
      <c r="E903" t="s">
        <v>36</v>
      </c>
      <c r="F903">
        <v>2</v>
      </c>
      <c r="G903" t="s">
        <v>1618</v>
      </c>
      <c r="K903" t="s">
        <v>1625</v>
      </c>
    </row>
    <row r="904" spans="1:11" x14ac:dyDescent="0.25">
      <c r="A904" t="s">
        <v>2667</v>
      </c>
      <c r="B904" t="s">
        <v>1310</v>
      </c>
      <c r="C904" t="s">
        <v>76</v>
      </c>
      <c r="D904" t="s">
        <v>153</v>
      </c>
      <c r="E904" t="s">
        <v>1960</v>
      </c>
      <c r="F904">
        <v>1</v>
      </c>
      <c r="G904" t="s">
        <v>1618</v>
      </c>
      <c r="K904" t="s">
        <v>1630</v>
      </c>
    </row>
    <row r="905" spans="1:11" x14ac:dyDescent="0.25">
      <c r="A905" t="s">
        <v>2668</v>
      </c>
      <c r="B905" t="s">
        <v>1311</v>
      </c>
      <c r="C905" t="s">
        <v>125</v>
      </c>
      <c r="D905" t="s">
        <v>153</v>
      </c>
      <c r="E905" t="s">
        <v>1707</v>
      </c>
      <c r="F905">
        <v>2</v>
      </c>
      <c r="G905" t="s">
        <v>1618</v>
      </c>
      <c r="K905" t="s">
        <v>1630</v>
      </c>
    </row>
    <row r="906" spans="1:11" x14ac:dyDescent="0.25">
      <c r="A906" t="s">
        <v>2669</v>
      </c>
      <c r="B906" t="s">
        <v>1312</v>
      </c>
      <c r="C906" t="s">
        <v>73</v>
      </c>
      <c r="D906" t="s">
        <v>153</v>
      </c>
      <c r="E906" t="s">
        <v>1643</v>
      </c>
      <c r="F906">
        <v>4</v>
      </c>
      <c r="G906" t="s">
        <v>1618</v>
      </c>
      <c r="H906">
        <v>70</v>
      </c>
      <c r="I906">
        <v>77</v>
      </c>
      <c r="K906" t="s">
        <v>1635</v>
      </c>
    </row>
    <row r="907" spans="1:11" x14ac:dyDescent="0.25">
      <c r="A907" t="s">
        <v>2670</v>
      </c>
      <c r="B907" t="s">
        <v>1313</v>
      </c>
      <c r="C907" t="s">
        <v>123</v>
      </c>
      <c r="D907" t="s">
        <v>145</v>
      </c>
      <c r="E907" t="s">
        <v>75</v>
      </c>
      <c r="F907">
        <v>1</v>
      </c>
      <c r="G907" t="s">
        <v>1618</v>
      </c>
      <c r="K907" t="s">
        <v>1625</v>
      </c>
    </row>
    <row r="908" spans="1:11" x14ac:dyDescent="0.25">
      <c r="A908" t="s">
        <v>2671</v>
      </c>
      <c r="B908" t="s">
        <v>1314</v>
      </c>
      <c r="C908" t="s">
        <v>136</v>
      </c>
      <c r="D908" t="s">
        <v>158</v>
      </c>
      <c r="E908" t="s">
        <v>2094</v>
      </c>
      <c r="F908">
        <v>1</v>
      </c>
      <c r="G908" t="s">
        <v>1618</v>
      </c>
      <c r="K908" t="s">
        <v>1619</v>
      </c>
    </row>
    <row r="909" spans="1:11" x14ac:dyDescent="0.25">
      <c r="A909" t="s">
        <v>2672</v>
      </c>
      <c r="B909" t="s">
        <v>1315</v>
      </c>
      <c r="C909" t="s">
        <v>125</v>
      </c>
      <c r="D909" t="s">
        <v>153</v>
      </c>
      <c r="E909" t="s">
        <v>84</v>
      </c>
      <c r="F909">
        <v>2</v>
      </c>
      <c r="G909" t="s">
        <v>1618</v>
      </c>
      <c r="K909" t="s">
        <v>1625</v>
      </c>
    </row>
    <row r="910" spans="1:11" x14ac:dyDescent="0.25">
      <c r="A910" t="s">
        <v>2673</v>
      </c>
      <c r="B910" t="s">
        <v>1316</v>
      </c>
      <c r="C910" t="s">
        <v>128</v>
      </c>
      <c r="D910" t="s">
        <v>158</v>
      </c>
      <c r="E910" t="s">
        <v>2344</v>
      </c>
      <c r="F910">
        <v>2</v>
      </c>
      <c r="G910" t="s">
        <v>1618</v>
      </c>
      <c r="K910" t="s">
        <v>1630</v>
      </c>
    </row>
    <row r="911" spans="1:11" x14ac:dyDescent="0.25">
      <c r="A911" t="s">
        <v>2674</v>
      </c>
      <c r="B911" t="s">
        <v>1317</v>
      </c>
      <c r="C911" t="s">
        <v>107</v>
      </c>
      <c r="D911" t="s">
        <v>150</v>
      </c>
      <c r="E911" t="s">
        <v>70</v>
      </c>
      <c r="F911">
        <v>1</v>
      </c>
      <c r="G911" t="s">
        <v>1618</v>
      </c>
      <c r="K911" t="s">
        <v>1625</v>
      </c>
    </row>
    <row r="912" spans="1:11" x14ac:dyDescent="0.25">
      <c r="A912" t="s">
        <v>2675</v>
      </c>
      <c r="B912" t="s">
        <v>1318</v>
      </c>
      <c r="C912" t="s">
        <v>98</v>
      </c>
      <c r="D912" t="s">
        <v>145</v>
      </c>
      <c r="E912" t="s">
        <v>72</v>
      </c>
      <c r="F912">
        <v>2</v>
      </c>
      <c r="G912" t="s">
        <v>1618</v>
      </c>
      <c r="K912" t="s">
        <v>1630</v>
      </c>
    </row>
    <row r="913" spans="1:11" x14ac:dyDescent="0.25">
      <c r="A913" t="s">
        <v>2676</v>
      </c>
      <c r="B913" t="s">
        <v>1319</v>
      </c>
      <c r="C913" t="s">
        <v>97</v>
      </c>
      <c r="D913" t="s">
        <v>158</v>
      </c>
      <c r="E913" t="s">
        <v>1812</v>
      </c>
      <c r="F913">
        <v>1</v>
      </c>
      <c r="G913" t="s">
        <v>1618</v>
      </c>
      <c r="K913" t="s">
        <v>1619</v>
      </c>
    </row>
    <row r="914" spans="1:11" x14ac:dyDescent="0.25">
      <c r="A914" t="s">
        <v>2677</v>
      </c>
      <c r="B914" t="s">
        <v>1320</v>
      </c>
      <c r="C914" t="s">
        <v>100</v>
      </c>
      <c r="D914" t="s">
        <v>150</v>
      </c>
      <c r="E914" t="s">
        <v>2169</v>
      </c>
      <c r="F914">
        <v>2</v>
      </c>
      <c r="G914" t="s">
        <v>1618</v>
      </c>
      <c r="K914" t="s">
        <v>1630</v>
      </c>
    </row>
    <row r="915" spans="1:11" x14ac:dyDescent="0.25">
      <c r="A915" t="s">
        <v>2678</v>
      </c>
      <c r="B915" t="s">
        <v>1321</v>
      </c>
      <c r="C915" t="s">
        <v>34</v>
      </c>
      <c r="D915" t="s">
        <v>160</v>
      </c>
      <c r="E915" t="s">
        <v>70</v>
      </c>
      <c r="F915">
        <v>3</v>
      </c>
      <c r="G915" t="s">
        <v>1618</v>
      </c>
      <c r="H915">
        <v>66</v>
      </c>
      <c r="K915" t="s">
        <v>1622</v>
      </c>
    </row>
    <row r="916" spans="1:11" x14ac:dyDescent="0.25">
      <c r="A916" t="s">
        <v>2679</v>
      </c>
      <c r="B916" t="s">
        <v>1322</v>
      </c>
      <c r="C916" t="s">
        <v>92</v>
      </c>
      <c r="D916" t="s">
        <v>156</v>
      </c>
      <c r="E916" t="s">
        <v>1667</v>
      </c>
      <c r="F916">
        <v>3</v>
      </c>
      <c r="G916" t="s">
        <v>1618</v>
      </c>
      <c r="H916">
        <v>61</v>
      </c>
      <c r="K916" t="s">
        <v>1622</v>
      </c>
    </row>
    <row r="917" spans="1:11" x14ac:dyDescent="0.25">
      <c r="A917" t="s">
        <v>2680</v>
      </c>
      <c r="B917" t="s">
        <v>1323</v>
      </c>
      <c r="C917" t="s">
        <v>85</v>
      </c>
      <c r="D917" t="s">
        <v>145</v>
      </c>
      <c r="E917" t="s">
        <v>1879</v>
      </c>
      <c r="F917">
        <v>3</v>
      </c>
      <c r="G917" t="s">
        <v>1618</v>
      </c>
      <c r="H917">
        <v>50</v>
      </c>
      <c r="K917" t="s">
        <v>1622</v>
      </c>
    </row>
    <row r="918" spans="1:11" x14ac:dyDescent="0.25">
      <c r="A918" t="s">
        <v>2681</v>
      </c>
      <c r="B918" t="s">
        <v>1324</v>
      </c>
      <c r="C918" t="s">
        <v>90</v>
      </c>
      <c r="D918" t="s">
        <v>160</v>
      </c>
      <c r="E918" t="s">
        <v>1667</v>
      </c>
      <c r="F918">
        <v>7</v>
      </c>
      <c r="G918" t="s">
        <v>1692</v>
      </c>
      <c r="H918">
        <v>79</v>
      </c>
      <c r="I918">
        <v>78</v>
      </c>
      <c r="J918">
        <v>19</v>
      </c>
      <c r="K918" t="s">
        <v>1693</v>
      </c>
    </row>
    <row r="919" spans="1:11" x14ac:dyDescent="0.25">
      <c r="A919" t="s">
        <v>2682</v>
      </c>
      <c r="B919" t="s">
        <v>1325</v>
      </c>
      <c r="C919" t="s">
        <v>27</v>
      </c>
      <c r="D919" t="s">
        <v>147</v>
      </c>
      <c r="E919" t="s">
        <v>2472</v>
      </c>
      <c r="F919">
        <v>1</v>
      </c>
      <c r="G919" t="s">
        <v>1618</v>
      </c>
      <c r="K919" t="s">
        <v>1625</v>
      </c>
    </row>
    <row r="920" spans="1:11" x14ac:dyDescent="0.25">
      <c r="A920" t="s">
        <v>2683</v>
      </c>
      <c r="B920" t="s">
        <v>1326</v>
      </c>
      <c r="C920" t="s">
        <v>134</v>
      </c>
      <c r="D920" t="s">
        <v>150</v>
      </c>
      <c r="E920" t="s">
        <v>2038</v>
      </c>
      <c r="F920">
        <v>3</v>
      </c>
      <c r="G920" t="s">
        <v>1618</v>
      </c>
      <c r="H920">
        <v>35</v>
      </c>
      <c r="K920" t="s">
        <v>1622</v>
      </c>
    </row>
    <row r="921" spans="1:11" x14ac:dyDescent="0.25">
      <c r="A921" t="s">
        <v>2684</v>
      </c>
      <c r="B921" t="s">
        <v>1327</v>
      </c>
      <c r="C921" t="s">
        <v>101</v>
      </c>
      <c r="D921" t="s">
        <v>153</v>
      </c>
      <c r="E921" t="s">
        <v>1946</v>
      </c>
      <c r="F921">
        <v>1</v>
      </c>
      <c r="G921" t="s">
        <v>1618</v>
      </c>
      <c r="K921" t="s">
        <v>1630</v>
      </c>
    </row>
    <row r="922" spans="1:11" x14ac:dyDescent="0.25">
      <c r="A922" t="s">
        <v>2685</v>
      </c>
      <c r="B922" t="s">
        <v>1328</v>
      </c>
      <c r="C922" t="s">
        <v>112</v>
      </c>
      <c r="D922" t="s">
        <v>150</v>
      </c>
      <c r="E922" t="s">
        <v>1951</v>
      </c>
      <c r="F922">
        <v>7</v>
      </c>
      <c r="G922" t="s">
        <v>1692</v>
      </c>
      <c r="H922">
        <v>68</v>
      </c>
      <c r="I922">
        <v>85</v>
      </c>
      <c r="J922">
        <v>24</v>
      </c>
      <c r="K922" t="s">
        <v>1693</v>
      </c>
    </row>
    <row r="923" spans="1:11" x14ac:dyDescent="0.25">
      <c r="A923" t="s">
        <v>2686</v>
      </c>
      <c r="B923" t="s">
        <v>1329</v>
      </c>
      <c r="C923" t="s">
        <v>56</v>
      </c>
      <c r="D923" t="s">
        <v>153</v>
      </c>
      <c r="E923" t="s">
        <v>38</v>
      </c>
      <c r="F923">
        <v>3</v>
      </c>
      <c r="G923" t="s">
        <v>1618</v>
      </c>
      <c r="H923">
        <v>81</v>
      </c>
      <c r="K923" t="s">
        <v>1622</v>
      </c>
    </row>
    <row r="924" spans="1:11" x14ac:dyDescent="0.25">
      <c r="A924" t="s">
        <v>2687</v>
      </c>
      <c r="B924" t="s">
        <v>1330</v>
      </c>
      <c r="C924" t="s">
        <v>79</v>
      </c>
      <c r="D924" t="s">
        <v>150</v>
      </c>
      <c r="E924" t="s">
        <v>1960</v>
      </c>
      <c r="F924">
        <v>6</v>
      </c>
      <c r="G924" t="s">
        <v>1746</v>
      </c>
      <c r="H924">
        <v>86</v>
      </c>
      <c r="I924">
        <v>75</v>
      </c>
      <c r="K924" t="s">
        <v>1747</v>
      </c>
    </row>
    <row r="925" spans="1:11" x14ac:dyDescent="0.25">
      <c r="A925" t="s">
        <v>2688</v>
      </c>
      <c r="B925" t="s">
        <v>1331</v>
      </c>
      <c r="C925" t="s">
        <v>59</v>
      </c>
      <c r="D925" t="s">
        <v>160</v>
      </c>
      <c r="E925" t="s">
        <v>64</v>
      </c>
      <c r="F925">
        <v>2</v>
      </c>
      <c r="G925" t="s">
        <v>1618</v>
      </c>
      <c r="K925" t="s">
        <v>1630</v>
      </c>
    </row>
    <row r="926" spans="1:11" x14ac:dyDescent="0.25">
      <c r="A926" t="s">
        <v>2689</v>
      </c>
      <c r="B926" t="s">
        <v>1332</v>
      </c>
      <c r="C926" t="s">
        <v>132</v>
      </c>
      <c r="D926" t="s">
        <v>153</v>
      </c>
      <c r="E926" t="s">
        <v>137</v>
      </c>
      <c r="F926">
        <v>2</v>
      </c>
      <c r="G926" t="s">
        <v>1618</v>
      </c>
      <c r="K926" t="s">
        <v>1630</v>
      </c>
    </row>
    <row r="927" spans="1:11" x14ac:dyDescent="0.25">
      <c r="A927" t="s">
        <v>2690</v>
      </c>
      <c r="B927" t="s">
        <v>1333</v>
      </c>
      <c r="C927" t="s">
        <v>59</v>
      </c>
      <c r="D927" t="s">
        <v>145</v>
      </c>
      <c r="E927" t="s">
        <v>1721</v>
      </c>
      <c r="F927">
        <v>2</v>
      </c>
      <c r="G927" t="s">
        <v>1618</v>
      </c>
      <c r="K927" t="s">
        <v>1619</v>
      </c>
    </row>
    <row r="928" spans="1:11" x14ac:dyDescent="0.25">
      <c r="A928" t="s">
        <v>2691</v>
      </c>
      <c r="B928" t="s">
        <v>1334</v>
      </c>
      <c r="C928" t="s">
        <v>37</v>
      </c>
      <c r="D928" t="s">
        <v>147</v>
      </c>
      <c r="E928" t="s">
        <v>13</v>
      </c>
      <c r="F928">
        <v>2</v>
      </c>
      <c r="G928" t="s">
        <v>1618</v>
      </c>
      <c r="K928" t="s">
        <v>1619</v>
      </c>
    </row>
    <row r="929" spans="1:11" x14ac:dyDescent="0.25">
      <c r="A929" t="s">
        <v>2692</v>
      </c>
      <c r="B929" t="s">
        <v>1335</v>
      </c>
      <c r="C929" t="s">
        <v>14</v>
      </c>
      <c r="D929" t="s">
        <v>158</v>
      </c>
      <c r="E929" t="s">
        <v>1709</v>
      </c>
      <c r="F929">
        <v>7</v>
      </c>
      <c r="G929" t="s">
        <v>1692</v>
      </c>
      <c r="H929">
        <v>70</v>
      </c>
      <c r="I929">
        <v>77</v>
      </c>
      <c r="J929">
        <v>22</v>
      </c>
      <c r="K929" t="s">
        <v>1693</v>
      </c>
    </row>
    <row r="930" spans="1:11" x14ac:dyDescent="0.25">
      <c r="A930" t="s">
        <v>2693</v>
      </c>
      <c r="B930" t="s">
        <v>1336</v>
      </c>
      <c r="C930" t="s">
        <v>98</v>
      </c>
      <c r="D930" t="s">
        <v>145</v>
      </c>
      <c r="E930" t="s">
        <v>1809</v>
      </c>
      <c r="F930">
        <v>2</v>
      </c>
      <c r="G930" t="s">
        <v>1618</v>
      </c>
      <c r="K930" t="s">
        <v>1619</v>
      </c>
    </row>
    <row r="931" spans="1:11" x14ac:dyDescent="0.25">
      <c r="A931" t="s">
        <v>2694</v>
      </c>
      <c r="B931" t="s">
        <v>1337</v>
      </c>
      <c r="C931" t="s">
        <v>79</v>
      </c>
      <c r="D931" t="s">
        <v>150</v>
      </c>
      <c r="E931" t="s">
        <v>1639</v>
      </c>
      <c r="F931">
        <v>2</v>
      </c>
      <c r="G931" t="s">
        <v>1618</v>
      </c>
      <c r="K931" t="s">
        <v>1625</v>
      </c>
    </row>
    <row r="932" spans="1:11" x14ac:dyDescent="0.25">
      <c r="A932" t="s">
        <v>2695</v>
      </c>
      <c r="B932" t="s">
        <v>1338</v>
      </c>
      <c r="C932" t="s">
        <v>23</v>
      </c>
      <c r="D932" t="s">
        <v>160</v>
      </c>
      <c r="E932" t="s">
        <v>1826</v>
      </c>
      <c r="F932">
        <v>4</v>
      </c>
      <c r="G932" t="s">
        <v>1618</v>
      </c>
      <c r="H932">
        <v>68</v>
      </c>
      <c r="I932">
        <v>69</v>
      </c>
      <c r="K932" t="s">
        <v>1659</v>
      </c>
    </row>
    <row r="933" spans="1:11" x14ac:dyDescent="0.25">
      <c r="A933" t="s">
        <v>2696</v>
      </c>
      <c r="B933" t="s">
        <v>1339</v>
      </c>
      <c r="C933" t="s">
        <v>85</v>
      </c>
      <c r="D933" t="s">
        <v>145</v>
      </c>
      <c r="E933" t="s">
        <v>1758</v>
      </c>
      <c r="F933">
        <v>3</v>
      </c>
      <c r="G933" t="s">
        <v>1618</v>
      </c>
      <c r="H933">
        <v>53</v>
      </c>
      <c r="K933" t="s">
        <v>1622</v>
      </c>
    </row>
    <row r="934" spans="1:11" x14ac:dyDescent="0.25">
      <c r="A934" t="s">
        <v>2697</v>
      </c>
      <c r="B934" t="s">
        <v>1340</v>
      </c>
      <c r="C934" t="s">
        <v>23</v>
      </c>
      <c r="D934" t="s">
        <v>160</v>
      </c>
      <c r="E934" t="s">
        <v>1797</v>
      </c>
      <c r="F934">
        <v>4</v>
      </c>
      <c r="G934" t="s">
        <v>1618</v>
      </c>
      <c r="H934">
        <v>100</v>
      </c>
      <c r="I934">
        <v>83</v>
      </c>
      <c r="K934" t="s">
        <v>1659</v>
      </c>
    </row>
    <row r="935" spans="1:11" x14ac:dyDescent="0.25">
      <c r="A935" t="s">
        <v>2698</v>
      </c>
      <c r="B935" t="s">
        <v>1341</v>
      </c>
      <c r="C935" t="s">
        <v>134</v>
      </c>
      <c r="D935" t="s">
        <v>150</v>
      </c>
      <c r="E935" t="s">
        <v>70</v>
      </c>
      <c r="F935">
        <v>4</v>
      </c>
      <c r="G935" t="s">
        <v>1618</v>
      </c>
      <c r="H935">
        <v>75</v>
      </c>
      <c r="I935">
        <v>74</v>
      </c>
      <c r="K935" t="s">
        <v>1659</v>
      </c>
    </row>
    <row r="936" spans="1:11" x14ac:dyDescent="0.25">
      <c r="A936" t="s">
        <v>2699</v>
      </c>
      <c r="B936" t="s">
        <v>1342</v>
      </c>
      <c r="C936" t="s">
        <v>65</v>
      </c>
      <c r="D936" t="s">
        <v>145</v>
      </c>
      <c r="E936" t="s">
        <v>1629</v>
      </c>
      <c r="F936">
        <v>3</v>
      </c>
      <c r="G936" t="s">
        <v>1618</v>
      </c>
      <c r="H936">
        <v>62</v>
      </c>
      <c r="K936" t="s">
        <v>1622</v>
      </c>
    </row>
    <row r="937" spans="1:11" x14ac:dyDescent="0.25">
      <c r="A937" t="s">
        <v>2700</v>
      </c>
      <c r="B937" t="s">
        <v>1343</v>
      </c>
      <c r="C937" t="s">
        <v>123</v>
      </c>
      <c r="D937" t="s">
        <v>145</v>
      </c>
      <c r="E937" t="s">
        <v>1667</v>
      </c>
      <c r="F937">
        <v>3</v>
      </c>
      <c r="G937" t="s">
        <v>1618</v>
      </c>
      <c r="H937">
        <v>65</v>
      </c>
      <c r="K937" t="s">
        <v>1622</v>
      </c>
    </row>
    <row r="938" spans="1:11" x14ac:dyDescent="0.25">
      <c r="A938" t="s">
        <v>2701</v>
      </c>
      <c r="B938" t="s">
        <v>1344</v>
      </c>
      <c r="C938" t="s">
        <v>83</v>
      </c>
      <c r="D938" t="s">
        <v>142</v>
      </c>
      <c r="E938" t="s">
        <v>1951</v>
      </c>
      <c r="F938">
        <v>1</v>
      </c>
      <c r="G938" t="s">
        <v>1618</v>
      </c>
      <c r="K938" t="s">
        <v>1630</v>
      </c>
    </row>
    <row r="939" spans="1:11" x14ac:dyDescent="0.25">
      <c r="A939" t="s">
        <v>2702</v>
      </c>
      <c r="B939" t="s">
        <v>1345</v>
      </c>
      <c r="C939" t="s">
        <v>43</v>
      </c>
      <c r="D939" t="s">
        <v>158</v>
      </c>
      <c r="E939" t="s">
        <v>1651</v>
      </c>
      <c r="F939">
        <v>3</v>
      </c>
      <c r="G939" t="s">
        <v>1618</v>
      </c>
      <c r="H939">
        <v>40</v>
      </c>
      <c r="K939" t="s">
        <v>1622</v>
      </c>
    </row>
    <row r="940" spans="1:11" x14ac:dyDescent="0.25">
      <c r="A940" t="s">
        <v>2703</v>
      </c>
      <c r="B940" t="s">
        <v>1346</v>
      </c>
      <c r="C940" t="s">
        <v>52</v>
      </c>
      <c r="D940" t="s">
        <v>147</v>
      </c>
      <c r="E940" t="s">
        <v>135</v>
      </c>
      <c r="F940">
        <v>1</v>
      </c>
      <c r="G940" t="s">
        <v>1618</v>
      </c>
      <c r="K940" t="s">
        <v>1619</v>
      </c>
    </row>
    <row r="941" spans="1:11" x14ac:dyDescent="0.25">
      <c r="A941" t="s">
        <v>2704</v>
      </c>
      <c r="B941" t="s">
        <v>1347</v>
      </c>
      <c r="C941" t="s">
        <v>69</v>
      </c>
      <c r="D941" t="s">
        <v>142</v>
      </c>
      <c r="E941" t="s">
        <v>1822</v>
      </c>
      <c r="F941">
        <v>2</v>
      </c>
      <c r="G941" t="s">
        <v>1618</v>
      </c>
      <c r="K941" t="s">
        <v>1630</v>
      </c>
    </row>
    <row r="942" spans="1:11" x14ac:dyDescent="0.25">
      <c r="A942" t="s">
        <v>2705</v>
      </c>
      <c r="B942" t="s">
        <v>1348</v>
      </c>
      <c r="C942" t="s">
        <v>39</v>
      </c>
      <c r="D942" t="s">
        <v>160</v>
      </c>
      <c r="E942" t="s">
        <v>1826</v>
      </c>
      <c r="F942">
        <v>7</v>
      </c>
      <c r="G942" t="s">
        <v>1692</v>
      </c>
      <c r="H942">
        <v>68</v>
      </c>
      <c r="I942">
        <v>100</v>
      </c>
      <c r="J942">
        <v>32</v>
      </c>
      <c r="K942" t="s">
        <v>1693</v>
      </c>
    </row>
    <row r="943" spans="1:11" x14ac:dyDescent="0.25">
      <c r="A943" t="s">
        <v>2706</v>
      </c>
      <c r="B943" t="s">
        <v>1349</v>
      </c>
      <c r="C943" t="s">
        <v>43</v>
      </c>
      <c r="D943" t="s">
        <v>142</v>
      </c>
      <c r="E943" t="s">
        <v>1701</v>
      </c>
      <c r="F943">
        <v>1</v>
      </c>
      <c r="G943" t="s">
        <v>1618</v>
      </c>
      <c r="K943" t="s">
        <v>1625</v>
      </c>
    </row>
    <row r="944" spans="1:11" x14ac:dyDescent="0.25">
      <c r="A944" t="s">
        <v>2707</v>
      </c>
      <c r="B944" t="s">
        <v>1350</v>
      </c>
      <c r="C944" t="s">
        <v>27</v>
      </c>
      <c r="D944" t="s">
        <v>147</v>
      </c>
      <c r="E944" t="s">
        <v>1695</v>
      </c>
      <c r="F944">
        <v>2</v>
      </c>
      <c r="G944" t="s">
        <v>1618</v>
      </c>
      <c r="K944" t="s">
        <v>1619</v>
      </c>
    </row>
    <row r="945" spans="1:11" x14ac:dyDescent="0.25">
      <c r="A945" t="s">
        <v>2708</v>
      </c>
      <c r="B945" t="s">
        <v>1351</v>
      </c>
      <c r="C945" t="s">
        <v>43</v>
      </c>
      <c r="D945" t="s">
        <v>158</v>
      </c>
      <c r="E945" t="s">
        <v>1651</v>
      </c>
      <c r="F945">
        <v>3</v>
      </c>
      <c r="G945" t="s">
        <v>1618</v>
      </c>
      <c r="H945">
        <v>87</v>
      </c>
      <c r="K945" t="s">
        <v>1622</v>
      </c>
    </row>
    <row r="946" spans="1:11" x14ac:dyDescent="0.25">
      <c r="A946" t="s">
        <v>2709</v>
      </c>
      <c r="B946" t="s">
        <v>1352</v>
      </c>
      <c r="C946" t="s">
        <v>85</v>
      </c>
      <c r="D946" t="s">
        <v>160</v>
      </c>
      <c r="E946" t="s">
        <v>1721</v>
      </c>
      <c r="F946">
        <v>1</v>
      </c>
      <c r="G946" t="s">
        <v>1618</v>
      </c>
      <c r="K946" t="s">
        <v>1619</v>
      </c>
    </row>
    <row r="947" spans="1:11" x14ac:dyDescent="0.25">
      <c r="A947" t="s">
        <v>2710</v>
      </c>
      <c r="B947" t="s">
        <v>1353</v>
      </c>
      <c r="C947" t="s">
        <v>23</v>
      </c>
      <c r="D947" t="s">
        <v>160</v>
      </c>
      <c r="E947" t="s">
        <v>115</v>
      </c>
      <c r="F947">
        <v>4</v>
      </c>
      <c r="G947" t="s">
        <v>1618</v>
      </c>
      <c r="H947">
        <v>71</v>
      </c>
      <c r="I947">
        <v>70</v>
      </c>
      <c r="K947" t="s">
        <v>1635</v>
      </c>
    </row>
    <row r="948" spans="1:11" x14ac:dyDescent="0.25">
      <c r="A948" t="s">
        <v>2711</v>
      </c>
      <c r="B948" t="s">
        <v>1354</v>
      </c>
      <c r="C948" t="s">
        <v>31</v>
      </c>
      <c r="D948" t="s">
        <v>145</v>
      </c>
      <c r="E948" t="s">
        <v>1809</v>
      </c>
      <c r="F948">
        <v>1</v>
      </c>
      <c r="G948" t="s">
        <v>1618</v>
      </c>
      <c r="K948" t="s">
        <v>1619</v>
      </c>
    </row>
    <row r="949" spans="1:11" x14ac:dyDescent="0.25">
      <c r="A949" t="s">
        <v>2712</v>
      </c>
      <c r="B949" t="s">
        <v>1355</v>
      </c>
      <c r="C949" t="s">
        <v>100</v>
      </c>
      <c r="D949" t="s">
        <v>150</v>
      </c>
      <c r="E949" t="s">
        <v>1645</v>
      </c>
      <c r="F949">
        <v>3</v>
      </c>
      <c r="G949" t="s">
        <v>1618</v>
      </c>
      <c r="H949">
        <v>61</v>
      </c>
      <c r="K949" t="s">
        <v>1622</v>
      </c>
    </row>
    <row r="950" spans="1:11" x14ac:dyDescent="0.25">
      <c r="A950" t="s">
        <v>2713</v>
      </c>
      <c r="B950" t="s">
        <v>1356</v>
      </c>
      <c r="C950" t="s">
        <v>101</v>
      </c>
      <c r="D950" t="s">
        <v>153</v>
      </c>
      <c r="E950" t="s">
        <v>1632</v>
      </c>
      <c r="F950">
        <v>3</v>
      </c>
      <c r="G950" t="s">
        <v>1618</v>
      </c>
      <c r="H950">
        <v>65</v>
      </c>
      <c r="K950" t="s">
        <v>1622</v>
      </c>
    </row>
    <row r="951" spans="1:11" x14ac:dyDescent="0.25">
      <c r="A951" t="s">
        <v>2714</v>
      </c>
      <c r="B951" t="s">
        <v>1357</v>
      </c>
      <c r="C951" t="s">
        <v>79</v>
      </c>
      <c r="D951" t="s">
        <v>150</v>
      </c>
      <c r="E951" t="s">
        <v>1709</v>
      </c>
      <c r="F951">
        <v>3</v>
      </c>
      <c r="G951" t="s">
        <v>1618</v>
      </c>
      <c r="H951">
        <v>60</v>
      </c>
      <c r="K951" t="s">
        <v>1622</v>
      </c>
    </row>
    <row r="952" spans="1:11" x14ac:dyDescent="0.25">
      <c r="A952" t="s">
        <v>2715</v>
      </c>
      <c r="B952" t="s">
        <v>1358</v>
      </c>
      <c r="C952" t="s">
        <v>113</v>
      </c>
      <c r="D952" t="s">
        <v>160</v>
      </c>
      <c r="E952" t="s">
        <v>2111</v>
      </c>
      <c r="F952">
        <v>3</v>
      </c>
      <c r="G952" t="s">
        <v>1618</v>
      </c>
      <c r="H952">
        <v>54</v>
      </c>
      <c r="K952" t="s">
        <v>1622</v>
      </c>
    </row>
    <row r="953" spans="1:11" x14ac:dyDescent="0.25">
      <c r="A953" t="s">
        <v>2716</v>
      </c>
      <c r="B953" t="s">
        <v>1359</v>
      </c>
      <c r="C953" t="s">
        <v>136</v>
      </c>
      <c r="D953" t="s">
        <v>142</v>
      </c>
      <c r="E953" t="s">
        <v>91</v>
      </c>
      <c r="F953">
        <v>4</v>
      </c>
      <c r="G953" t="s">
        <v>1618</v>
      </c>
      <c r="H953">
        <v>76</v>
      </c>
      <c r="I953">
        <v>75</v>
      </c>
      <c r="K953" t="s">
        <v>1635</v>
      </c>
    </row>
    <row r="954" spans="1:11" x14ac:dyDescent="0.25">
      <c r="A954" t="s">
        <v>2717</v>
      </c>
      <c r="B954" t="s">
        <v>1360</v>
      </c>
      <c r="C954" t="s">
        <v>14</v>
      </c>
      <c r="D954" t="s">
        <v>158</v>
      </c>
      <c r="E954" t="s">
        <v>86</v>
      </c>
      <c r="F954">
        <v>3</v>
      </c>
      <c r="G954" t="s">
        <v>1618</v>
      </c>
      <c r="H954">
        <v>65</v>
      </c>
      <c r="K954" t="s">
        <v>1622</v>
      </c>
    </row>
    <row r="955" spans="1:11" x14ac:dyDescent="0.25">
      <c r="A955" t="s">
        <v>2718</v>
      </c>
      <c r="B955" t="s">
        <v>1361</v>
      </c>
      <c r="C955" t="s">
        <v>85</v>
      </c>
      <c r="D955" t="s">
        <v>160</v>
      </c>
      <c r="E955" t="s">
        <v>1719</v>
      </c>
      <c r="F955">
        <v>1</v>
      </c>
      <c r="G955" t="s">
        <v>1618</v>
      </c>
      <c r="K955" t="s">
        <v>1619</v>
      </c>
    </row>
    <row r="956" spans="1:11" x14ac:dyDescent="0.25">
      <c r="A956" t="s">
        <v>2719</v>
      </c>
      <c r="B956" t="s">
        <v>1362</v>
      </c>
      <c r="C956" t="s">
        <v>83</v>
      </c>
      <c r="D956" t="s">
        <v>158</v>
      </c>
      <c r="E956" t="s">
        <v>1713</v>
      </c>
      <c r="F956">
        <v>4</v>
      </c>
      <c r="G956" t="s">
        <v>1618</v>
      </c>
      <c r="H956">
        <v>82</v>
      </c>
      <c r="I956">
        <v>73</v>
      </c>
      <c r="K956" t="s">
        <v>1659</v>
      </c>
    </row>
    <row r="957" spans="1:11" x14ac:dyDescent="0.25">
      <c r="A957" t="s">
        <v>2720</v>
      </c>
      <c r="B957" t="s">
        <v>1363</v>
      </c>
      <c r="C957" t="s">
        <v>112</v>
      </c>
      <c r="D957" t="s">
        <v>150</v>
      </c>
      <c r="E957" t="s">
        <v>109</v>
      </c>
      <c r="F957">
        <v>2</v>
      </c>
      <c r="G957" t="s">
        <v>1618</v>
      </c>
      <c r="K957" t="s">
        <v>1625</v>
      </c>
    </row>
    <row r="958" spans="1:11" x14ac:dyDescent="0.25">
      <c r="A958" t="s">
        <v>2721</v>
      </c>
      <c r="B958" t="s">
        <v>1364</v>
      </c>
      <c r="C958" t="s">
        <v>49</v>
      </c>
      <c r="D958" t="s">
        <v>158</v>
      </c>
      <c r="E958" t="s">
        <v>1629</v>
      </c>
      <c r="F958">
        <v>1</v>
      </c>
      <c r="G958" t="s">
        <v>1618</v>
      </c>
      <c r="K958" t="s">
        <v>1625</v>
      </c>
    </row>
    <row r="959" spans="1:11" x14ac:dyDescent="0.25">
      <c r="A959" t="s">
        <v>2722</v>
      </c>
      <c r="B959" t="s">
        <v>1365</v>
      </c>
      <c r="C959" t="s">
        <v>123</v>
      </c>
      <c r="D959" t="s">
        <v>160</v>
      </c>
      <c r="E959" t="s">
        <v>1728</v>
      </c>
      <c r="F959">
        <v>4</v>
      </c>
      <c r="G959" t="s">
        <v>1618</v>
      </c>
      <c r="H959">
        <v>69</v>
      </c>
      <c r="I959">
        <v>81</v>
      </c>
      <c r="K959" t="s">
        <v>1635</v>
      </c>
    </row>
    <row r="960" spans="1:11" x14ac:dyDescent="0.25">
      <c r="A960" t="s">
        <v>2723</v>
      </c>
      <c r="B960" t="s">
        <v>1366</v>
      </c>
      <c r="C960" t="s">
        <v>52</v>
      </c>
      <c r="D960" t="s">
        <v>147</v>
      </c>
      <c r="E960" t="s">
        <v>1824</v>
      </c>
      <c r="F960">
        <v>3</v>
      </c>
      <c r="G960" t="s">
        <v>1618</v>
      </c>
      <c r="H960">
        <v>65</v>
      </c>
      <c r="K960" t="s">
        <v>1622</v>
      </c>
    </row>
    <row r="961" spans="1:11" x14ac:dyDescent="0.25">
      <c r="A961" t="s">
        <v>2724</v>
      </c>
      <c r="B961" t="s">
        <v>1367</v>
      </c>
      <c r="C961" t="s">
        <v>116</v>
      </c>
      <c r="D961" t="s">
        <v>158</v>
      </c>
      <c r="E961" t="s">
        <v>99</v>
      </c>
      <c r="F961">
        <v>2</v>
      </c>
      <c r="G961" t="s">
        <v>1618</v>
      </c>
      <c r="K961" t="s">
        <v>1625</v>
      </c>
    </row>
    <row r="962" spans="1:11" x14ac:dyDescent="0.25">
      <c r="A962" t="s">
        <v>2725</v>
      </c>
      <c r="B962" t="s">
        <v>1368</v>
      </c>
      <c r="C962" t="s">
        <v>60</v>
      </c>
      <c r="D962" t="s">
        <v>156</v>
      </c>
      <c r="E962" t="s">
        <v>1634</v>
      </c>
      <c r="F962">
        <v>3</v>
      </c>
      <c r="G962" t="s">
        <v>1618</v>
      </c>
      <c r="H962">
        <v>60</v>
      </c>
      <c r="K962" t="s">
        <v>1622</v>
      </c>
    </row>
    <row r="963" spans="1:11" x14ac:dyDescent="0.25">
      <c r="A963" t="s">
        <v>2726</v>
      </c>
      <c r="B963" t="s">
        <v>1369</v>
      </c>
      <c r="C963" t="s">
        <v>8</v>
      </c>
      <c r="D963" t="s">
        <v>145</v>
      </c>
      <c r="E963" t="s">
        <v>2078</v>
      </c>
      <c r="F963">
        <v>6</v>
      </c>
      <c r="G963" t="s">
        <v>1746</v>
      </c>
      <c r="H963">
        <v>71</v>
      </c>
      <c r="I963">
        <v>87</v>
      </c>
      <c r="K963" t="s">
        <v>1747</v>
      </c>
    </row>
    <row r="964" spans="1:11" x14ac:dyDescent="0.25">
      <c r="A964" t="s">
        <v>2727</v>
      </c>
      <c r="B964" t="s">
        <v>1370</v>
      </c>
      <c r="C964" t="s">
        <v>130</v>
      </c>
      <c r="D964" t="s">
        <v>142</v>
      </c>
      <c r="E964" t="s">
        <v>19</v>
      </c>
      <c r="F964">
        <v>1</v>
      </c>
      <c r="G964" t="s">
        <v>1618</v>
      </c>
      <c r="K964" t="s">
        <v>1630</v>
      </c>
    </row>
    <row r="965" spans="1:11" x14ac:dyDescent="0.25">
      <c r="A965" t="s">
        <v>2728</v>
      </c>
      <c r="B965" t="s">
        <v>1371</v>
      </c>
      <c r="C965" t="s">
        <v>98</v>
      </c>
      <c r="D965" t="s">
        <v>145</v>
      </c>
      <c r="E965" t="s">
        <v>1689</v>
      </c>
      <c r="F965">
        <v>2</v>
      </c>
      <c r="G965" t="s">
        <v>1618</v>
      </c>
      <c r="K965" t="s">
        <v>1619</v>
      </c>
    </row>
    <row r="966" spans="1:11" x14ac:dyDescent="0.25">
      <c r="A966" t="s">
        <v>2729</v>
      </c>
      <c r="B966" t="s">
        <v>1372</v>
      </c>
      <c r="C966" t="s">
        <v>8</v>
      </c>
      <c r="D966" t="s">
        <v>145</v>
      </c>
      <c r="E966" t="s">
        <v>2230</v>
      </c>
      <c r="F966">
        <v>1</v>
      </c>
      <c r="G966" t="s">
        <v>1618</v>
      </c>
      <c r="K966" t="s">
        <v>1619</v>
      </c>
    </row>
    <row r="967" spans="1:11" x14ac:dyDescent="0.25">
      <c r="A967" t="s">
        <v>2730</v>
      </c>
      <c r="B967" t="s">
        <v>1373</v>
      </c>
      <c r="C967" t="s">
        <v>97</v>
      </c>
      <c r="D967" t="s">
        <v>158</v>
      </c>
      <c r="E967" t="s">
        <v>1655</v>
      </c>
      <c r="F967">
        <v>3</v>
      </c>
      <c r="G967" t="s">
        <v>1618</v>
      </c>
      <c r="H967">
        <v>89</v>
      </c>
      <c r="K967" t="s">
        <v>1622</v>
      </c>
    </row>
    <row r="968" spans="1:11" x14ac:dyDescent="0.25">
      <c r="A968" t="s">
        <v>2731</v>
      </c>
      <c r="B968" t="s">
        <v>1374</v>
      </c>
      <c r="C968" t="s">
        <v>66</v>
      </c>
      <c r="D968" t="s">
        <v>160</v>
      </c>
      <c r="E968" t="s">
        <v>2456</v>
      </c>
      <c r="F968">
        <v>1</v>
      </c>
      <c r="G968" t="s">
        <v>1618</v>
      </c>
      <c r="K968" t="s">
        <v>1619</v>
      </c>
    </row>
    <row r="969" spans="1:11" x14ac:dyDescent="0.25">
      <c r="A969" t="s">
        <v>2732</v>
      </c>
      <c r="B969" t="s">
        <v>1375</v>
      </c>
      <c r="C969" t="s">
        <v>132</v>
      </c>
      <c r="D969" t="s">
        <v>153</v>
      </c>
      <c r="E969" t="s">
        <v>1891</v>
      </c>
      <c r="F969">
        <v>3</v>
      </c>
      <c r="G969" t="s">
        <v>1618</v>
      </c>
      <c r="H969">
        <v>78</v>
      </c>
      <c r="K969" t="s">
        <v>1622</v>
      </c>
    </row>
    <row r="970" spans="1:11" x14ac:dyDescent="0.25">
      <c r="A970" t="s">
        <v>2733</v>
      </c>
      <c r="B970" t="s">
        <v>1376</v>
      </c>
      <c r="C970" t="s">
        <v>65</v>
      </c>
      <c r="D970" t="s">
        <v>160</v>
      </c>
      <c r="E970" t="s">
        <v>1862</v>
      </c>
      <c r="F970">
        <v>3</v>
      </c>
      <c r="G970" t="s">
        <v>1618</v>
      </c>
      <c r="H970">
        <v>48</v>
      </c>
      <c r="K970" t="s">
        <v>1622</v>
      </c>
    </row>
    <row r="971" spans="1:11" x14ac:dyDescent="0.25">
      <c r="A971" t="s">
        <v>2734</v>
      </c>
      <c r="B971" t="s">
        <v>1377</v>
      </c>
      <c r="C971" t="s">
        <v>103</v>
      </c>
      <c r="D971" t="s">
        <v>153</v>
      </c>
      <c r="E971" t="s">
        <v>75</v>
      </c>
      <c r="F971">
        <v>2</v>
      </c>
      <c r="G971" t="s">
        <v>1618</v>
      </c>
      <c r="K971" t="s">
        <v>1619</v>
      </c>
    </row>
    <row r="972" spans="1:11" x14ac:dyDescent="0.25">
      <c r="A972" t="s">
        <v>2735</v>
      </c>
      <c r="B972" t="s">
        <v>1378</v>
      </c>
      <c r="C972" t="s">
        <v>23</v>
      </c>
      <c r="D972" t="s">
        <v>145</v>
      </c>
      <c r="E972" t="s">
        <v>1795</v>
      </c>
      <c r="F972">
        <v>2</v>
      </c>
      <c r="G972" t="s">
        <v>1618</v>
      </c>
      <c r="K972" t="s">
        <v>1630</v>
      </c>
    </row>
    <row r="973" spans="1:11" x14ac:dyDescent="0.25">
      <c r="A973" t="s">
        <v>2736</v>
      </c>
      <c r="B973" t="s">
        <v>1379</v>
      </c>
      <c r="C973" t="s">
        <v>136</v>
      </c>
      <c r="D973" t="s">
        <v>142</v>
      </c>
      <c r="E973" t="s">
        <v>89</v>
      </c>
      <c r="F973">
        <v>4</v>
      </c>
      <c r="G973" t="s">
        <v>1618</v>
      </c>
      <c r="H973">
        <v>86</v>
      </c>
      <c r="I973">
        <v>85</v>
      </c>
      <c r="K973" t="s">
        <v>1635</v>
      </c>
    </row>
    <row r="974" spans="1:11" x14ac:dyDescent="0.25">
      <c r="A974" t="s">
        <v>2737</v>
      </c>
      <c r="B974" t="s">
        <v>1380</v>
      </c>
      <c r="C974" t="s">
        <v>118</v>
      </c>
      <c r="D974" t="s">
        <v>150</v>
      </c>
      <c r="E974" t="s">
        <v>1787</v>
      </c>
      <c r="F974">
        <v>3</v>
      </c>
      <c r="G974" t="s">
        <v>1618</v>
      </c>
      <c r="H974">
        <v>67</v>
      </c>
      <c r="K974" t="s">
        <v>1622</v>
      </c>
    </row>
    <row r="975" spans="1:11" x14ac:dyDescent="0.25">
      <c r="A975" t="s">
        <v>2738</v>
      </c>
      <c r="B975" t="s">
        <v>1381</v>
      </c>
      <c r="C975" t="s">
        <v>130</v>
      </c>
      <c r="D975" t="s">
        <v>142</v>
      </c>
      <c r="E975" t="s">
        <v>1891</v>
      </c>
      <c r="F975">
        <v>3</v>
      </c>
      <c r="G975" t="s">
        <v>1618</v>
      </c>
      <c r="H975">
        <v>85</v>
      </c>
      <c r="K975" t="s">
        <v>1622</v>
      </c>
    </row>
    <row r="976" spans="1:11" x14ac:dyDescent="0.25">
      <c r="A976" t="s">
        <v>2739</v>
      </c>
      <c r="B976" t="s">
        <v>1382</v>
      </c>
      <c r="C976" t="s">
        <v>130</v>
      </c>
      <c r="D976" t="s">
        <v>142</v>
      </c>
      <c r="E976" t="s">
        <v>1859</v>
      </c>
      <c r="F976">
        <v>2</v>
      </c>
      <c r="G976" t="s">
        <v>1618</v>
      </c>
      <c r="K976" t="s">
        <v>1619</v>
      </c>
    </row>
    <row r="977" spans="1:11" x14ac:dyDescent="0.25">
      <c r="A977" t="s">
        <v>2740</v>
      </c>
      <c r="B977" t="s">
        <v>1383</v>
      </c>
      <c r="C977" t="s">
        <v>56</v>
      </c>
      <c r="D977" t="s">
        <v>153</v>
      </c>
      <c r="E977" t="s">
        <v>1995</v>
      </c>
      <c r="F977">
        <v>3</v>
      </c>
      <c r="G977" t="s">
        <v>1618</v>
      </c>
      <c r="H977">
        <v>58</v>
      </c>
      <c r="K977" t="s">
        <v>1622</v>
      </c>
    </row>
    <row r="978" spans="1:11" x14ac:dyDescent="0.25">
      <c r="A978" t="s">
        <v>2741</v>
      </c>
      <c r="B978" t="s">
        <v>1384</v>
      </c>
      <c r="C978" t="s">
        <v>128</v>
      </c>
      <c r="D978" t="s">
        <v>142</v>
      </c>
      <c r="E978" t="s">
        <v>1663</v>
      </c>
      <c r="F978">
        <v>3</v>
      </c>
      <c r="G978" t="s">
        <v>1618</v>
      </c>
      <c r="H978">
        <v>63</v>
      </c>
      <c r="K978" t="s">
        <v>1622</v>
      </c>
    </row>
    <row r="979" spans="1:11" x14ac:dyDescent="0.25">
      <c r="A979" t="s">
        <v>2742</v>
      </c>
      <c r="B979" t="s">
        <v>1385</v>
      </c>
      <c r="C979" t="s">
        <v>94</v>
      </c>
      <c r="D979" t="s">
        <v>150</v>
      </c>
      <c r="E979" t="s">
        <v>2128</v>
      </c>
      <c r="F979">
        <v>2</v>
      </c>
      <c r="G979" t="s">
        <v>1618</v>
      </c>
      <c r="K979" t="s">
        <v>1625</v>
      </c>
    </row>
    <row r="980" spans="1:11" x14ac:dyDescent="0.25">
      <c r="A980" t="s">
        <v>2743</v>
      </c>
      <c r="B980" t="s">
        <v>1386</v>
      </c>
      <c r="C980" t="s">
        <v>118</v>
      </c>
      <c r="D980" t="s">
        <v>150</v>
      </c>
      <c r="E980" t="s">
        <v>135</v>
      </c>
      <c r="F980">
        <v>4</v>
      </c>
      <c r="G980" t="s">
        <v>1618</v>
      </c>
      <c r="H980">
        <v>83</v>
      </c>
      <c r="I980">
        <v>82</v>
      </c>
      <c r="K980" t="s">
        <v>1659</v>
      </c>
    </row>
    <row r="981" spans="1:11" x14ac:dyDescent="0.25">
      <c r="A981" t="s">
        <v>2744</v>
      </c>
      <c r="B981" t="s">
        <v>1387</v>
      </c>
      <c r="C981" t="s">
        <v>23</v>
      </c>
      <c r="D981" t="s">
        <v>160</v>
      </c>
      <c r="E981" t="s">
        <v>120</v>
      </c>
      <c r="F981">
        <v>1</v>
      </c>
      <c r="G981" t="s">
        <v>1618</v>
      </c>
      <c r="K981" t="s">
        <v>1625</v>
      </c>
    </row>
    <row r="982" spans="1:11" x14ac:dyDescent="0.25">
      <c r="A982" t="s">
        <v>2745</v>
      </c>
      <c r="B982" t="s">
        <v>1388</v>
      </c>
      <c r="C982" t="s">
        <v>34</v>
      </c>
      <c r="D982" t="s">
        <v>145</v>
      </c>
      <c r="E982" t="s">
        <v>1661</v>
      </c>
      <c r="F982">
        <v>2</v>
      </c>
      <c r="G982" t="s">
        <v>1618</v>
      </c>
      <c r="K982" t="s">
        <v>1630</v>
      </c>
    </row>
    <row r="983" spans="1:11" x14ac:dyDescent="0.25">
      <c r="A983" t="s">
        <v>2746</v>
      </c>
      <c r="B983" t="s">
        <v>1389</v>
      </c>
      <c r="C983" t="s">
        <v>105</v>
      </c>
      <c r="D983" t="s">
        <v>158</v>
      </c>
      <c r="E983" t="s">
        <v>96</v>
      </c>
      <c r="F983">
        <v>2</v>
      </c>
      <c r="G983" t="s">
        <v>1618</v>
      </c>
      <c r="K983" t="s">
        <v>1630</v>
      </c>
    </row>
    <row r="984" spans="1:11" x14ac:dyDescent="0.25">
      <c r="A984" t="s">
        <v>2747</v>
      </c>
      <c r="B984" t="s">
        <v>1390</v>
      </c>
      <c r="C984" t="s">
        <v>112</v>
      </c>
      <c r="D984" t="s">
        <v>150</v>
      </c>
      <c r="E984" t="s">
        <v>1663</v>
      </c>
      <c r="F984">
        <v>1</v>
      </c>
      <c r="G984" t="s">
        <v>1618</v>
      </c>
      <c r="K984" t="s">
        <v>1625</v>
      </c>
    </row>
    <row r="985" spans="1:11" x14ac:dyDescent="0.25">
      <c r="A985" t="s">
        <v>2748</v>
      </c>
      <c r="B985" t="s">
        <v>1391</v>
      </c>
      <c r="C985" t="s">
        <v>65</v>
      </c>
      <c r="D985" t="s">
        <v>145</v>
      </c>
      <c r="E985" t="s">
        <v>1857</v>
      </c>
      <c r="F985">
        <v>2</v>
      </c>
      <c r="G985" t="s">
        <v>1618</v>
      </c>
      <c r="K985" t="s">
        <v>1630</v>
      </c>
    </row>
    <row r="986" spans="1:11" x14ac:dyDescent="0.25">
      <c r="A986" t="s">
        <v>2749</v>
      </c>
      <c r="B986" t="s">
        <v>1392</v>
      </c>
      <c r="C986" t="s">
        <v>105</v>
      </c>
      <c r="D986" t="s">
        <v>142</v>
      </c>
      <c r="E986" t="s">
        <v>1758</v>
      </c>
      <c r="F986">
        <v>3</v>
      </c>
      <c r="G986" t="s">
        <v>1618</v>
      </c>
      <c r="H986">
        <v>39</v>
      </c>
      <c r="K986" t="s">
        <v>1622</v>
      </c>
    </row>
    <row r="987" spans="1:11" x14ac:dyDescent="0.25">
      <c r="A987" t="s">
        <v>2750</v>
      </c>
      <c r="B987" t="s">
        <v>1393</v>
      </c>
      <c r="C987" t="s">
        <v>103</v>
      </c>
      <c r="D987" t="s">
        <v>153</v>
      </c>
      <c r="E987" t="s">
        <v>2751</v>
      </c>
      <c r="F987">
        <v>1</v>
      </c>
      <c r="G987" t="s">
        <v>1618</v>
      </c>
      <c r="K987" t="s">
        <v>1625</v>
      </c>
    </row>
    <row r="988" spans="1:11" x14ac:dyDescent="0.25">
      <c r="A988" t="s">
        <v>2752</v>
      </c>
      <c r="B988" t="s">
        <v>1394</v>
      </c>
      <c r="C988" t="s">
        <v>107</v>
      </c>
      <c r="D988" t="s">
        <v>150</v>
      </c>
      <c r="E988" t="s">
        <v>2017</v>
      </c>
      <c r="F988">
        <v>1</v>
      </c>
      <c r="G988" t="s">
        <v>1618</v>
      </c>
      <c r="K988" t="s">
        <v>1619</v>
      </c>
    </row>
    <row r="989" spans="1:11" x14ac:dyDescent="0.25">
      <c r="A989" t="s">
        <v>2753</v>
      </c>
      <c r="B989" t="s">
        <v>1395</v>
      </c>
      <c r="C989" t="s">
        <v>49</v>
      </c>
      <c r="D989" t="s">
        <v>142</v>
      </c>
      <c r="E989" t="s">
        <v>1624</v>
      </c>
      <c r="F989">
        <v>4</v>
      </c>
      <c r="G989" t="s">
        <v>1618</v>
      </c>
      <c r="H989">
        <v>87</v>
      </c>
      <c r="I989">
        <v>83</v>
      </c>
      <c r="K989" t="s">
        <v>1659</v>
      </c>
    </row>
    <row r="990" spans="1:11" x14ac:dyDescent="0.25">
      <c r="A990" t="s">
        <v>2754</v>
      </c>
      <c r="B990" t="s">
        <v>1396</v>
      </c>
      <c r="C990" t="s">
        <v>130</v>
      </c>
      <c r="D990" t="s">
        <v>158</v>
      </c>
      <c r="E990" t="s">
        <v>2230</v>
      </c>
      <c r="F990">
        <v>3</v>
      </c>
      <c r="G990" t="s">
        <v>1618</v>
      </c>
      <c r="H990">
        <v>62</v>
      </c>
      <c r="K990" t="s">
        <v>1622</v>
      </c>
    </row>
    <row r="991" spans="1:11" x14ac:dyDescent="0.25">
      <c r="A991" t="s">
        <v>2755</v>
      </c>
      <c r="B991" t="s">
        <v>1397</v>
      </c>
      <c r="C991" t="s">
        <v>23</v>
      </c>
      <c r="D991" t="s">
        <v>145</v>
      </c>
      <c r="E991" t="s">
        <v>2344</v>
      </c>
      <c r="F991">
        <v>1</v>
      </c>
      <c r="G991" t="s">
        <v>1618</v>
      </c>
      <c r="K991" t="s">
        <v>1630</v>
      </c>
    </row>
    <row r="992" spans="1:11" x14ac:dyDescent="0.25">
      <c r="A992" t="s">
        <v>2756</v>
      </c>
      <c r="B992" t="s">
        <v>1398</v>
      </c>
      <c r="C992" t="s">
        <v>27</v>
      </c>
      <c r="D992" t="s">
        <v>147</v>
      </c>
      <c r="E992" t="s">
        <v>2217</v>
      </c>
      <c r="F992">
        <v>7</v>
      </c>
      <c r="G992" t="s">
        <v>1692</v>
      </c>
      <c r="H992">
        <v>78</v>
      </c>
      <c r="I992">
        <v>76</v>
      </c>
      <c r="J992">
        <v>19</v>
      </c>
      <c r="K992" t="s">
        <v>1693</v>
      </c>
    </row>
    <row r="993" spans="1:11" x14ac:dyDescent="0.25">
      <c r="A993" t="s">
        <v>2757</v>
      </c>
      <c r="B993" t="s">
        <v>1399</v>
      </c>
      <c r="C993" t="s">
        <v>60</v>
      </c>
      <c r="D993" t="s">
        <v>156</v>
      </c>
      <c r="E993" t="s">
        <v>2032</v>
      </c>
      <c r="F993">
        <v>3</v>
      </c>
      <c r="G993" t="s">
        <v>1618</v>
      </c>
      <c r="H993">
        <v>78</v>
      </c>
      <c r="K993" t="s">
        <v>1622</v>
      </c>
    </row>
    <row r="994" spans="1:11" x14ac:dyDescent="0.25">
      <c r="A994" t="s">
        <v>2758</v>
      </c>
      <c r="B994" t="s">
        <v>1400</v>
      </c>
      <c r="C994" t="s">
        <v>121</v>
      </c>
      <c r="D994" t="s">
        <v>156</v>
      </c>
      <c r="E994" t="s">
        <v>1879</v>
      </c>
      <c r="F994">
        <v>2</v>
      </c>
      <c r="G994" t="s">
        <v>1618</v>
      </c>
      <c r="K994" t="s">
        <v>1625</v>
      </c>
    </row>
    <row r="995" spans="1:11" x14ac:dyDescent="0.25">
      <c r="A995" t="s">
        <v>2759</v>
      </c>
      <c r="B995" t="s">
        <v>1401</v>
      </c>
      <c r="C995" t="s">
        <v>52</v>
      </c>
      <c r="D995" t="s">
        <v>147</v>
      </c>
      <c r="E995" t="s">
        <v>1649</v>
      </c>
      <c r="F995">
        <v>4</v>
      </c>
      <c r="G995" t="s">
        <v>1618</v>
      </c>
      <c r="H995">
        <v>80</v>
      </c>
      <c r="I995">
        <v>63</v>
      </c>
      <c r="K995" t="s">
        <v>1659</v>
      </c>
    </row>
    <row r="996" spans="1:11" x14ac:dyDescent="0.25">
      <c r="A996" t="s">
        <v>2760</v>
      </c>
      <c r="B996" t="s">
        <v>1403</v>
      </c>
      <c r="C996" t="s">
        <v>116</v>
      </c>
      <c r="D996" t="s">
        <v>158</v>
      </c>
      <c r="E996" t="s">
        <v>1731</v>
      </c>
      <c r="F996">
        <v>1</v>
      </c>
      <c r="G996" t="s">
        <v>1618</v>
      </c>
      <c r="K996" t="s">
        <v>1630</v>
      </c>
    </row>
    <row r="997" spans="1:11" x14ac:dyDescent="0.25">
      <c r="A997" t="s">
        <v>2761</v>
      </c>
      <c r="B997" t="s">
        <v>1404</v>
      </c>
      <c r="C997" t="s">
        <v>128</v>
      </c>
      <c r="D997" t="s">
        <v>158</v>
      </c>
      <c r="E997" t="s">
        <v>1632</v>
      </c>
      <c r="F997">
        <v>3</v>
      </c>
      <c r="G997" t="s">
        <v>1618</v>
      </c>
      <c r="H997">
        <v>94</v>
      </c>
      <c r="K997" t="s">
        <v>1622</v>
      </c>
    </row>
    <row r="998" spans="1:11" x14ac:dyDescent="0.25">
      <c r="A998" t="s">
        <v>2762</v>
      </c>
      <c r="B998" t="s">
        <v>1405</v>
      </c>
      <c r="C998" t="s">
        <v>94</v>
      </c>
      <c r="D998" t="s">
        <v>150</v>
      </c>
      <c r="E998" t="s">
        <v>1820</v>
      </c>
      <c r="F998">
        <v>2</v>
      </c>
      <c r="G998" t="s">
        <v>1618</v>
      </c>
      <c r="K998" t="s">
        <v>1630</v>
      </c>
    </row>
    <row r="999" spans="1:11" x14ac:dyDescent="0.25">
      <c r="A999" t="s">
        <v>2763</v>
      </c>
      <c r="B999" t="s">
        <v>1406</v>
      </c>
      <c r="C999" t="s">
        <v>76</v>
      </c>
      <c r="D999" t="s">
        <v>153</v>
      </c>
      <c r="E999" t="s">
        <v>2088</v>
      </c>
      <c r="F999">
        <v>3</v>
      </c>
      <c r="G999" t="s">
        <v>1618</v>
      </c>
      <c r="H999">
        <v>81</v>
      </c>
      <c r="K999" t="s">
        <v>1622</v>
      </c>
    </row>
    <row r="1000" spans="1:11" x14ac:dyDescent="0.25">
      <c r="A1000" t="s">
        <v>2764</v>
      </c>
      <c r="B1000" t="s">
        <v>1407</v>
      </c>
      <c r="C1000" t="s">
        <v>90</v>
      </c>
      <c r="D1000" t="s">
        <v>145</v>
      </c>
      <c r="E1000" t="s">
        <v>75</v>
      </c>
      <c r="F1000">
        <v>2</v>
      </c>
      <c r="G1000" t="s">
        <v>1618</v>
      </c>
      <c r="K1000" t="s">
        <v>1619</v>
      </c>
    </row>
    <row r="1001" spans="1:11" x14ac:dyDescent="0.25">
      <c r="A1001" t="s">
        <v>2765</v>
      </c>
      <c r="B1001" t="s">
        <v>1408</v>
      </c>
      <c r="C1001" t="s">
        <v>76</v>
      </c>
      <c r="D1001" t="s">
        <v>153</v>
      </c>
      <c r="E1001" t="s">
        <v>2003</v>
      </c>
      <c r="F1001">
        <v>3</v>
      </c>
      <c r="G1001" t="s">
        <v>1618</v>
      </c>
      <c r="H1001">
        <v>70</v>
      </c>
      <c r="K1001" t="s">
        <v>1622</v>
      </c>
    </row>
    <row r="1002" spans="1:11" x14ac:dyDescent="0.25">
      <c r="A1002" t="s">
        <v>2766</v>
      </c>
      <c r="B1002" t="s">
        <v>1409</v>
      </c>
      <c r="C1002" t="s">
        <v>107</v>
      </c>
      <c r="D1002" t="s">
        <v>150</v>
      </c>
      <c r="E1002" t="s">
        <v>1807</v>
      </c>
      <c r="F1002">
        <v>7</v>
      </c>
      <c r="G1002" t="s">
        <v>1692</v>
      </c>
      <c r="H1002">
        <v>86</v>
      </c>
      <c r="I1002">
        <v>90</v>
      </c>
      <c r="J1002">
        <v>23</v>
      </c>
      <c r="K1002" t="s">
        <v>1693</v>
      </c>
    </row>
    <row r="1003" spans="1:11" x14ac:dyDescent="0.25">
      <c r="A1003" t="s">
        <v>2767</v>
      </c>
      <c r="B1003" t="s">
        <v>1410</v>
      </c>
      <c r="C1003" t="s">
        <v>69</v>
      </c>
      <c r="D1003" t="s">
        <v>142</v>
      </c>
      <c r="E1003" t="s">
        <v>2122</v>
      </c>
      <c r="F1003">
        <v>1</v>
      </c>
      <c r="G1003" t="s">
        <v>1618</v>
      </c>
      <c r="K1003" t="s">
        <v>1625</v>
      </c>
    </row>
    <row r="1004" spans="1:11" x14ac:dyDescent="0.25">
      <c r="A1004" t="s">
        <v>2768</v>
      </c>
      <c r="B1004" t="s">
        <v>1411</v>
      </c>
      <c r="C1004" t="s">
        <v>90</v>
      </c>
      <c r="D1004" t="s">
        <v>160</v>
      </c>
      <c r="E1004" t="s">
        <v>1653</v>
      </c>
      <c r="F1004">
        <v>2</v>
      </c>
      <c r="G1004" t="s">
        <v>1618</v>
      </c>
      <c r="K1004" t="s">
        <v>1630</v>
      </c>
    </row>
    <row r="1005" spans="1:11" x14ac:dyDescent="0.25">
      <c r="A1005" t="s">
        <v>2769</v>
      </c>
      <c r="B1005" t="s">
        <v>1412</v>
      </c>
      <c r="C1005" t="s">
        <v>90</v>
      </c>
      <c r="D1005" t="s">
        <v>160</v>
      </c>
      <c r="E1005" t="s">
        <v>1953</v>
      </c>
      <c r="F1005">
        <v>1</v>
      </c>
      <c r="G1005" t="s">
        <v>1618</v>
      </c>
      <c r="K1005" t="s">
        <v>1630</v>
      </c>
    </row>
    <row r="1006" spans="1:11" x14ac:dyDescent="0.25">
      <c r="A1006" t="s">
        <v>2770</v>
      </c>
      <c r="B1006" t="s">
        <v>1413</v>
      </c>
      <c r="C1006" t="s">
        <v>136</v>
      </c>
      <c r="D1006" t="s">
        <v>142</v>
      </c>
      <c r="E1006" t="s">
        <v>2094</v>
      </c>
      <c r="F1006">
        <v>4</v>
      </c>
      <c r="G1006" t="s">
        <v>1618</v>
      </c>
      <c r="H1006">
        <v>92</v>
      </c>
      <c r="I1006">
        <v>80</v>
      </c>
      <c r="K1006" t="s">
        <v>1635</v>
      </c>
    </row>
    <row r="1007" spans="1:11" x14ac:dyDescent="0.25">
      <c r="A1007" t="s">
        <v>2771</v>
      </c>
      <c r="B1007" t="s">
        <v>1414</v>
      </c>
      <c r="C1007" t="s">
        <v>98</v>
      </c>
      <c r="D1007" t="s">
        <v>145</v>
      </c>
      <c r="E1007" t="s">
        <v>1687</v>
      </c>
      <c r="F1007">
        <v>3</v>
      </c>
      <c r="G1007" t="s">
        <v>1618</v>
      </c>
      <c r="H1007">
        <v>71</v>
      </c>
      <c r="K1007" t="s">
        <v>1622</v>
      </c>
    </row>
    <row r="1008" spans="1:11" x14ac:dyDescent="0.25">
      <c r="A1008" t="s">
        <v>2772</v>
      </c>
      <c r="B1008" t="s">
        <v>1415</v>
      </c>
      <c r="C1008" t="s">
        <v>123</v>
      </c>
      <c r="D1008" t="s">
        <v>145</v>
      </c>
      <c r="E1008" t="s">
        <v>1917</v>
      </c>
      <c r="F1008">
        <v>2</v>
      </c>
      <c r="G1008" t="s">
        <v>1618</v>
      </c>
      <c r="K1008" t="s">
        <v>1630</v>
      </c>
    </row>
    <row r="1009" spans="1:11" x14ac:dyDescent="0.25">
      <c r="A1009" t="s">
        <v>2773</v>
      </c>
      <c r="B1009" t="s">
        <v>1416</v>
      </c>
      <c r="C1009" t="s">
        <v>123</v>
      </c>
      <c r="D1009" t="s">
        <v>145</v>
      </c>
      <c r="E1009" t="s">
        <v>89</v>
      </c>
      <c r="F1009">
        <v>3</v>
      </c>
      <c r="G1009" t="s">
        <v>1618</v>
      </c>
      <c r="H1009">
        <v>65</v>
      </c>
      <c r="K1009" t="s">
        <v>1622</v>
      </c>
    </row>
    <row r="1010" spans="1:11" x14ac:dyDescent="0.25">
      <c r="A1010" t="s">
        <v>2774</v>
      </c>
      <c r="B1010" t="s">
        <v>1417</v>
      </c>
      <c r="C1010" t="s">
        <v>83</v>
      </c>
      <c r="D1010" t="s">
        <v>158</v>
      </c>
      <c r="E1010" t="s">
        <v>1833</v>
      </c>
      <c r="F1010">
        <v>2</v>
      </c>
      <c r="G1010" t="s">
        <v>1618</v>
      </c>
      <c r="K1010" t="s">
        <v>1619</v>
      </c>
    </row>
    <row r="1011" spans="1:11" x14ac:dyDescent="0.25">
      <c r="A1011" t="s">
        <v>2775</v>
      </c>
      <c r="B1011" t="s">
        <v>1418</v>
      </c>
      <c r="C1011" t="s">
        <v>31</v>
      </c>
      <c r="D1011" t="s">
        <v>160</v>
      </c>
      <c r="E1011" t="s">
        <v>2046</v>
      </c>
      <c r="F1011">
        <v>3</v>
      </c>
      <c r="G1011" t="s">
        <v>1618</v>
      </c>
      <c r="H1011">
        <v>76</v>
      </c>
      <c r="K1011" t="s">
        <v>1622</v>
      </c>
    </row>
    <row r="1012" spans="1:11" x14ac:dyDescent="0.25">
      <c r="A1012" t="s">
        <v>2776</v>
      </c>
      <c r="B1012" t="s">
        <v>1419</v>
      </c>
      <c r="C1012" t="s">
        <v>65</v>
      </c>
      <c r="D1012" t="s">
        <v>160</v>
      </c>
      <c r="E1012" t="s">
        <v>2169</v>
      </c>
      <c r="F1012">
        <v>2</v>
      </c>
      <c r="G1012" t="s">
        <v>1618</v>
      </c>
      <c r="K1012" t="s">
        <v>1625</v>
      </c>
    </row>
    <row r="1013" spans="1:11" x14ac:dyDescent="0.25">
      <c r="A1013" t="s">
        <v>2777</v>
      </c>
      <c r="B1013" t="s">
        <v>1420</v>
      </c>
      <c r="C1013" t="s">
        <v>76</v>
      </c>
      <c r="D1013" t="s">
        <v>153</v>
      </c>
      <c r="E1013" t="s">
        <v>1917</v>
      </c>
      <c r="F1013">
        <v>2</v>
      </c>
      <c r="G1013" t="s">
        <v>1618</v>
      </c>
      <c r="K1013" t="s">
        <v>1630</v>
      </c>
    </row>
    <row r="1014" spans="1:11" x14ac:dyDescent="0.25">
      <c r="A1014" t="s">
        <v>2778</v>
      </c>
      <c r="B1014" t="s">
        <v>1421</v>
      </c>
      <c r="C1014" t="s">
        <v>125</v>
      </c>
      <c r="D1014" t="s">
        <v>153</v>
      </c>
      <c r="E1014" t="s">
        <v>72</v>
      </c>
      <c r="F1014">
        <v>6</v>
      </c>
      <c r="G1014" t="s">
        <v>1746</v>
      </c>
      <c r="H1014">
        <v>75</v>
      </c>
      <c r="I1014">
        <v>86</v>
      </c>
      <c r="K1014" t="s">
        <v>1747</v>
      </c>
    </row>
    <row r="1015" spans="1:11" x14ac:dyDescent="0.25">
      <c r="A1015" t="s">
        <v>2779</v>
      </c>
      <c r="B1015" t="s">
        <v>1422</v>
      </c>
      <c r="C1015" t="s">
        <v>83</v>
      </c>
      <c r="D1015" t="s">
        <v>142</v>
      </c>
      <c r="E1015" t="s">
        <v>2470</v>
      </c>
      <c r="F1015">
        <v>1</v>
      </c>
      <c r="G1015" t="s">
        <v>1618</v>
      </c>
      <c r="K1015" t="s">
        <v>1630</v>
      </c>
    </row>
    <row r="1016" spans="1:11" x14ac:dyDescent="0.25">
      <c r="A1016" t="s">
        <v>2780</v>
      </c>
      <c r="B1016" t="s">
        <v>1423</v>
      </c>
      <c r="C1016" t="s">
        <v>110</v>
      </c>
      <c r="D1016" t="s">
        <v>160</v>
      </c>
      <c r="E1016" t="s">
        <v>2003</v>
      </c>
      <c r="F1016">
        <v>7</v>
      </c>
      <c r="G1016" t="s">
        <v>1692</v>
      </c>
      <c r="H1016">
        <v>96</v>
      </c>
      <c r="I1016">
        <v>83</v>
      </c>
      <c r="J1016">
        <v>23</v>
      </c>
      <c r="K1016" t="s">
        <v>1693</v>
      </c>
    </row>
    <row r="1017" spans="1:11" x14ac:dyDescent="0.25">
      <c r="A1017" t="s">
        <v>2781</v>
      </c>
      <c r="B1017" t="s">
        <v>1424</v>
      </c>
      <c r="C1017" t="s">
        <v>71</v>
      </c>
      <c r="D1017" t="s">
        <v>158</v>
      </c>
      <c r="E1017" t="s">
        <v>1704</v>
      </c>
      <c r="F1017">
        <v>3</v>
      </c>
      <c r="G1017" t="s">
        <v>1618</v>
      </c>
      <c r="H1017">
        <v>66</v>
      </c>
      <c r="K1017" t="s">
        <v>1622</v>
      </c>
    </row>
    <row r="1018" spans="1:11" x14ac:dyDescent="0.25">
      <c r="A1018" t="s">
        <v>2782</v>
      </c>
      <c r="B1018" t="s">
        <v>1425</v>
      </c>
      <c r="C1018" t="s">
        <v>79</v>
      </c>
      <c r="D1018" t="s">
        <v>150</v>
      </c>
      <c r="E1018" t="s">
        <v>1676</v>
      </c>
      <c r="F1018">
        <v>2</v>
      </c>
      <c r="G1018" t="s">
        <v>1618</v>
      </c>
      <c r="K1018" t="s">
        <v>1625</v>
      </c>
    </row>
    <row r="1019" spans="1:11" x14ac:dyDescent="0.25">
      <c r="A1019" t="s">
        <v>2783</v>
      </c>
      <c r="B1019" t="s">
        <v>1426</v>
      </c>
      <c r="C1019" t="s">
        <v>37</v>
      </c>
      <c r="D1019" t="s">
        <v>147</v>
      </c>
      <c r="E1019" t="s">
        <v>109</v>
      </c>
      <c r="F1019">
        <v>2</v>
      </c>
      <c r="G1019" t="s">
        <v>1618</v>
      </c>
      <c r="K1019" t="s">
        <v>1625</v>
      </c>
    </row>
    <row r="1020" spans="1:11" x14ac:dyDescent="0.25">
      <c r="A1020" t="s">
        <v>2784</v>
      </c>
      <c r="B1020" t="s">
        <v>1427</v>
      </c>
      <c r="C1020" t="s">
        <v>83</v>
      </c>
      <c r="D1020" t="s">
        <v>142</v>
      </c>
      <c r="E1020" t="s">
        <v>1673</v>
      </c>
      <c r="F1020">
        <v>7</v>
      </c>
      <c r="G1020" t="s">
        <v>1692</v>
      </c>
      <c r="H1020">
        <v>71</v>
      </c>
      <c r="I1020">
        <v>81</v>
      </c>
      <c r="J1020">
        <v>23</v>
      </c>
      <c r="K1020" t="s">
        <v>1693</v>
      </c>
    </row>
    <row r="1021" spans="1:11" x14ac:dyDescent="0.25">
      <c r="A1021" t="s">
        <v>2785</v>
      </c>
      <c r="B1021" t="s">
        <v>1428</v>
      </c>
      <c r="C1021" t="s">
        <v>110</v>
      </c>
      <c r="D1021" t="s">
        <v>145</v>
      </c>
      <c r="E1021" t="s">
        <v>2786</v>
      </c>
      <c r="F1021">
        <v>3</v>
      </c>
      <c r="G1021" t="s">
        <v>1618</v>
      </c>
      <c r="H1021">
        <v>65</v>
      </c>
      <c r="K1021" t="s">
        <v>1622</v>
      </c>
    </row>
    <row r="1022" spans="1:11" x14ac:dyDescent="0.25">
      <c r="A1022" t="s">
        <v>2787</v>
      </c>
      <c r="B1022" t="s">
        <v>1429</v>
      </c>
      <c r="C1022" t="s">
        <v>43</v>
      </c>
      <c r="D1022" t="s">
        <v>142</v>
      </c>
      <c r="E1022" t="s">
        <v>1701</v>
      </c>
      <c r="F1022">
        <v>3</v>
      </c>
      <c r="G1022" t="s">
        <v>1618</v>
      </c>
      <c r="H1022">
        <v>96</v>
      </c>
      <c r="K1022" t="s">
        <v>1622</v>
      </c>
    </row>
    <row r="1023" spans="1:11" x14ac:dyDescent="0.25">
      <c r="A1023" t="s">
        <v>2788</v>
      </c>
      <c r="B1023" t="s">
        <v>1430</v>
      </c>
      <c r="C1023" t="s">
        <v>14</v>
      </c>
      <c r="D1023" t="s">
        <v>158</v>
      </c>
      <c r="E1023" t="s">
        <v>1822</v>
      </c>
      <c r="F1023">
        <v>2</v>
      </c>
      <c r="G1023" t="s">
        <v>1618</v>
      </c>
      <c r="K1023" t="s">
        <v>1619</v>
      </c>
    </row>
    <row r="1024" spans="1:11" x14ac:dyDescent="0.25">
      <c r="A1024" t="s">
        <v>2789</v>
      </c>
      <c r="B1024" t="s">
        <v>1431</v>
      </c>
      <c r="C1024" t="s">
        <v>83</v>
      </c>
      <c r="D1024" t="s">
        <v>142</v>
      </c>
      <c r="E1024" t="s">
        <v>72</v>
      </c>
      <c r="F1024">
        <v>1</v>
      </c>
      <c r="G1024" t="s">
        <v>1618</v>
      </c>
      <c r="K1024" t="s">
        <v>1630</v>
      </c>
    </row>
    <row r="1025" spans="1:11" x14ac:dyDescent="0.25">
      <c r="A1025" t="s">
        <v>2790</v>
      </c>
      <c r="B1025" t="s">
        <v>1432</v>
      </c>
      <c r="C1025" t="s">
        <v>56</v>
      </c>
      <c r="D1025" t="s">
        <v>153</v>
      </c>
      <c r="E1025" t="s">
        <v>131</v>
      </c>
      <c r="F1025">
        <v>2</v>
      </c>
      <c r="G1025" t="s">
        <v>1618</v>
      </c>
      <c r="K1025" t="s">
        <v>1625</v>
      </c>
    </row>
    <row r="1026" spans="1:11" x14ac:dyDescent="0.25">
      <c r="A1026" t="s">
        <v>2791</v>
      </c>
      <c r="B1026" t="s">
        <v>1433</v>
      </c>
      <c r="C1026" t="s">
        <v>83</v>
      </c>
      <c r="D1026" t="s">
        <v>142</v>
      </c>
      <c r="E1026" t="s">
        <v>1649</v>
      </c>
      <c r="F1026">
        <v>1</v>
      </c>
      <c r="G1026" t="s">
        <v>1618</v>
      </c>
      <c r="K1026" t="s">
        <v>1625</v>
      </c>
    </row>
    <row r="1027" spans="1:11" x14ac:dyDescent="0.25">
      <c r="A1027" t="s">
        <v>2792</v>
      </c>
      <c r="B1027" t="s">
        <v>1434</v>
      </c>
      <c r="C1027" t="s">
        <v>65</v>
      </c>
      <c r="D1027" t="s">
        <v>145</v>
      </c>
      <c r="E1027" t="s">
        <v>1624</v>
      </c>
      <c r="F1027">
        <v>1</v>
      </c>
      <c r="G1027" t="s">
        <v>1618</v>
      </c>
      <c r="K1027" t="s">
        <v>1619</v>
      </c>
    </row>
    <row r="1028" spans="1:11" x14ac:dyDescent="0.25">
      <c r="A1028" t="s">
        <v>2793</v>
      </c>
      <c r="B1028" t="s">
        <v>1435</v>
      </c>
      <c r="C1028" t="s">
        <v>90</v>
      </c>
      <c r="D1028" t="s">
        <v>145</v>
      </c>
      <c r="E1028" t="s">
        <v>1726</v>
      </c>
      <c r="F1028">
        <v>4</v>
      </c>
      <c r="G1028" t="s">
        <v>1618</v>
      </c>
      <c r="H1028">
        <v>100</v>
      </c>
      <c r="I1028">
        <v>69</v>
      </c>
      <c r="K1028" t="s">
        <v>1659</v>
      </c>
    </row>
    <row r="1029" spans="1:11" x14ac:dyDescent="0.25">
      <c r="A1029" t="s">
        <v>2794</v>
      </c>
      <c r="B1029" t="s">
        <v>1436</v>
      </c>
      <c r="C1029" t="s">
        <v>52</v>
      </c>
      <c r="D1029" t="s">
        <v>147</v>
      </c>
      <c r="E1029" t="s">
        <v>131</v>
      </c>
      <c r="F1029">
        <v>3</v>
      </c>
      <c r="G1029" t="s">
        <v>1618</v>
      </c>
      <c r="H1029">
        <v>63</v>
      </c>
      <c r="K1029" t="s">
        <v>1622</v>
      </c>
    </row>
    <row r="1030" spans="1:11" x14ac:dyDescent="0.25">
      <c r="A1030" t="s">
        <v>2795</v>
      </c>
      <c r="B1030" t="s">
        <v>1437</v>
      </c>
      <c r="C1030" t="s">
        <v>8</v>
      </c>
      <c r="D1030" t="s">
        <v>160</v>
      </c>
      <c r="E1030" t="s">
        <v>2094</v>
      </c>
      <c r="F1030">
        <v>1</v>
      </c>
      <c r="G1030" t="s">
        <v>1618</v>
      </c>
      <c r="K1030" t="s">
        <v>1619</v>
      </c>
    </row>
    <row r="1031" spans="1:11" x14ac:dyDescent="0.25">
      <c r="A1031" t="s">
        <v>2796</v>
      </c>
      <c r="B1031" t="s">
        <v>1438</v>
      </c>
      <c r="C1031" t="s">
        <v>83</v>
      </c>
      <c r="D1031" t="s">
        <v>158</v>
      </c>
      <c r="E1031" t="s">
        <v>2470</v>
      </c>
      <c r="F1031">
        <v>3</v>
      </c>
      <c r="G1031" t="s">
        <v>1618</v>
      </c>
      <c r="H1031">
        <v>82</v>
      </c>
      <c r="K1031" t="s">
        <v>1622</v>
      </c>
    </row>
    <row r="1032" spans="1:11" x14ac:dyDescent="0.25">
      <c r="A1032" t="s">
        <v>2797</v>
      </c>
      <c r="B1032" t="s">
        <v>1439</v>
      </c>
      <c r="C1032" t="s">
        <v>128</v>
      </c>
      <c r="D1032" t="s">
        <v>142</v>
      </c>
      <c r="E1032" t="s">
        <v>72</v>
      </c>
      <c r="F1032">
        <v>4</v>
      </c>
      <c r="G1032" t="s">
        <v>1618</v>
      </c>
      <c r="H1032">
        <v>69</v>
      </c>
      <c r="I1032">
        <v>67</v>
      </c>
      <c r="K1032" t="s">
        <v>1635</v>
      </c>
    </row>
    <row r="1033" spans="1:11" x14ac:dyDescent="0.25">
      <c r="A1033" t="s">
        <v>2798</v>
      </c>
      <c r="B1033" t="s">
        <v>1440</v>
      </c>
      <c r="C1033" t="s">
        <v>85</v>
      </c>
      <c r="D1033" t="s">
        <v>145</v>
      </c>
      <c r="E1033" t="s">
        <v>1719</v>
      </c>
      <c r="F1033">
        <v>3</v>
      </c>
      <c r="G1033" t="s">
        <v>1618</v>
      </c>
      <c r="H1033">
        <v>79</v>
      </c>
      <c r="K1033" t="s">
        <v>1622</v>
      </c>
    </row>
    <row r="1034" spans="1:11" x14ac:dyDescent="0.25">
      <c r="A1034" t="s">
        <v>2799</v>
      </c>
      <c r="B1034" t="s">
        <v>1441</v>
      </c>
      <c r="C1034" t="s">
        <v>118</v>
      </c>
      <c r="D1034" t="s">
        <v>150</v>
      </c>
      <c r="E1034" t="s">
        <v>1713</v>
      </c>
      <c r="F1034">
        <v>3</v>
      </c>
      <c r="G1034" t="s">
        <v>1618</v>
      </c>
      <c r="H1034">
        <v>74</v>
      </c>
      <c r="K1034" t="s">
        <v>1622</v>
      </c>
    </row>
    <row r="1035" spans="1:11" x14ac:dyDescent="0.25">
      <c r="A1035" t="s">
        <v>2800</v>
      </c>
      <c r="B1035" t="s">
        <v>1442</v>
      </c>
      <c r="C1035" t="s">
        <v>116</v>
      </c>
      <c r="D1035" t="s">
        <v>142</v>
      </c>
      <c r="E1035" t="s">
        <v>2111</v>
      </c>
      <c r="F1035">
        <v>3</v>
      </c>
      <c r="G1035" t="s">
        <v>1618</v>
      </c>
      <c r="H1035">
        <v>60</v>
      </c>
      <c r="K1035" t="s">
        <v>1622</v>
      </c>
    </row>
    <row r="1036" spans="1:11" x14ac:dyDescent="0.25">
      <c r="A1036" t="s">
        <v>2801</v>
      </c>
      <c r="B1036" t="s">
        <v>1443</v>
      </c>
      <c r="C1036" t="s">
        <v>92</v>
      </c>
      <c r="D1036" t="s">
        <v>156</v>
      </c>
      <c r="E1036" t="s">
        <v>64</v>
      </c>
      <c r="F1036">
        <v>2</v>
      </c>
      <c r="G1036" t="s">
        <v>1618</v>
      </c>
      <c r="K1036" t="s">
        <v>1630</v>
      </c>
    </row>
    <row r="1037" spans="1:11" x14ac:dyDescent="0.25">
      <c r="A1037" t="s">
        <v>2802</v>
      </c>
      <c r="B1037" t="s">
        <v>1444</v>
      </c>
      <c r="C1037" t="s">
        <v>113</v>
      </c>
      <c r="D1037" t="s">
        <v>145</v>
      </c>
      <c r="E1037" t="s">
        <v>1689</v>
      </c>
      <c r="F1037">
        <v>5</v>
      </c>
      <c r="G1037" t="s">
        <v>1618</v>
      </c>
      <c r="H1037">
        <v>72</v>
      </c>
      <c r="I1037">
        <v>83</v>
      </c>
      <c r="K1037" t="s">
        <v>1659</v>
      </c>
    </row>
    <row r="1038" spans="1:11" x14ac:dyDescent="0.25">
      <c r="A1038" t="s">
        <v>2803</v>
      </c>
      <c r="B1038" t="s">
        <v>1445</v>
      </c>
      <c r="C1038" t="s">
        <v>90</v>
      </c>
      <c r="D1038" t="s">
        <v>145</v>
      </c>
      <c r="E1038" t="s">
        <v>78</v>
      </c>
      <c r="F1038">
        <v>3</v>
      </c>
      <c r="G1038" t="s">
        <v>1618</v>
      </c>
      <c r="H1038">
        <v>66</v>
      </c>
      <c r="K1038" t="s">
        <v>1622</v>
      </c>
    </row>
    <row r="1039" spans="1:11" x14ac:dyDescent="0.25">
      <c r="A1039" t="s">
        <v>2804</v>
      </c>
      <c r="B1039" t="s">
        <v>1446</v>
      </c>
      <c r="C1039" t="s">
        <v>121</v>
      </c>
      <c r="D1039" t="s">
        <v>156</v>
      </c>
      <c r="E1039" t="s">
        <v>1643</v>
      </c>
      <c r="F1039">
        <v>4</v>
      </c>
      <c r="G1039" t="s">
        <v>1618</v>
      </c>
      <c r="H1039">
        <v>86</v>
      </c>
      <c r="I1039">
        <v>70</v>
      </c>
      <c r="K1039" t="s">
        <v>1635</v>
      </c>
    </row>
    <row r="1040" spans="1:11" x14ac:dyDescent="0.25">
      <c r="A1040" t="s">
        <v>2805</v>
      </c>
      <c r="B1040" t="s">
        <v>1447</v>
      </c>
      <c r="C1040" t="s">
        <v>20</v>
      </c>
      <c r="D1040" t="s">
        <v>158</v>
      </c>
      <c r="E1040" t="s">
        <v>2336</v>
      </c>
      <c r="F1040">
        <v>1</v>
      </c>
      <c r="G1040" t="s">
        <v>1618</v>
      </c>
      <c r="K1040" t="s">
        <v>1619</v>
      </c>
    </row>
    <row r="1041" spans="1:11" x14ac:dyDescent="0.25">
      <c r="A1041" t="s">
        <v>2806</v>
      </c>
      <c r="B1041" t="s">
        <v>1448</v>
      </c>
      <c r="C1041" t="s">
        <v>69</v>
      </c>
      <c r="D1041" t="s">
        <v>142</v>
      </c>
      <c r="E1041" t="s">
        <v>86</v>
      </c>
      <c r="F1041">
        <v>3</v>
      </c>
      <c r="G1041" t="s">
        <v>1618</v>
      </c>
      <c r="H1041">
        <v>62</v>
      </c>
      <c r="K1041" t="s">
        <v>1622</v>
      </c>
    </row>
    <row r="1042" spans="1:11" x14ac:dyDescent="0.25">
      <c r="A1042" t="s">
        <v>2807</v>
      </c>
      <c r="B1042" t="s">
        <v>1449</v>
      </c>
      <c r="C1042" t="s">
        <v>76</v>
      </c>
      <c r="D1042" t="s">
        <v>153</v>
      </c>
      <c r="E1042" t="s">
        <v>1634</v>
      </c>
      <c r="F1042">
        <v>1</v>
      </c>
      <c r="G1042" t="s">
        <v>1618</v>
      </c>
      <c r="K1042" t="s">
        <v>1619</v>
      </c>
    </row>
    <row r="1043" spans="1:11" x14ac:dyDescent="0.25">
      <c r="A1043" t="s">
        <v>2808</v>
      </c>
      <c r="B1043" t="s">
        <v>1450</v>
      </c>
      <c r="C1043" t="s">
        <v>59</v>
      </c>
      <c r="D1043" t="s">
        <v>145</v>
      </c>
      <c r="E1043" t="s">
        <v>75</v>
      </c>
      <c r="F1043">
        <v>1</v>
      </c>
      <c r="G1043" t="s">
        <v>1618</v>
      </c>
      <c r="K1043" t="s">
        <v>1619</v>
      </c>
    </row>
    <row r="1044" spans="1:11" x14ac:dyDescent="0.25">
      <c r="A1044" t="s">
        <v>2809</v>
      </c>
      <c r="B1044" t="s">
        <v>1451</v>
      </c>
      <c r="C1044" t="s">
        <v>14</v>
      </c>
      <c r="D1044" t="s">
        <v>142</v>
      </c>
      <c r="E1044" t="s">
        <v>51</v>
      </c>
      <c r="F1044">
        <v>4</v>
      </c>
      <c r="G1044" t="s">
        <v>1618</v>
      </c>
      <c r="H1044">
        <v>84</v>
      </c>
      <c r="I1044">
        <v>74</v>
      </c>
      <c r="K1044" t="s">
        <v>1659</v>
      </c>
    </row>
    <row r="1045" spans="1:11" x14ac:dyDescent="0.25">
      <c r="A1045" t="s">
        <v>2810</v>
      </c>
      <c r="B1045" t="s">
        <v>1452</v>
      </c>
      <c r="C1045" t="s">
        <v>107</v>
      </c>
      <c r="D1045" t="s">
        <v>150</v>
      </c>
      <c r="E1045" t="s">
        <v>1685</v>
      </c>
      <c r="F1045">
        <v>1</v>
      </c>
      <c r="G1045" t="s">
        <v>1618</v>
      </c>
      <c r="K1045" t="s">
        <v>1619</v>
      </c>
    </row>
    <row r="1046" spans="1:11" x14ac:dyDescent="0.25">
      <c r="A1046" t="s">
        <v>2811</v>
      </c>
      <c r="B1046" t="s">
        <v>1453</v>
      </c>
      <c r="C1046" t="s">
        <v>121</v>
      </c>
      <c r="D1046" t="s">
        <v>156</v>
      </c>
      <c r="E1046" t="s">
        <v>1879</v>
      </c>
      <c r="F1046">
        <v>2</v>
      </c>
      <c r="G1046" t="s">
        <v>1618</v>
      </c>
      <c r="K1046" t="s">
        <v>1625</v>
      </c>
    </row>
    <row r="1047" spans="1:11" x14ac:dyDescent="0.25">
      <c r="A1047" t="s">
        <v>2812</v>
      </c>
      <c r="B1047" t="s">
        <v>1454</v>
      </c>
      <c r="C1047" t="s">
        <v>103</v>
      </c>
      <c r="D1047" t="s">
        <v>153</v>
      </c>
      <c r="E1047" t="s">
        <v>1728</v>
      </c>
      <c r="F1047">
        <v>3</v>
      </c>
      <c r="G1047" t="s">
        <v>1618</v>
      </c>
      <c r="H1047">
        <v>50</v>
      </c>
      <c r="K1047" t="s">
        <v>1622</v>
      </c>
    </row>
    <row r="1048" spans="1:11" x14ac:dyDescent="0.25">
      <c r="A1048" t="s">
        <v>2813</v>
      </c>
      <c r="B1048" t="s">
        <v>1455</v>
      </c>
      <c r="C1048" t="s">
        <v>125</v>
      </c>
      <c r="D1048" t="s">
        <v>153</v>
      </c>
      <c r="E1048" t="s">
        <v>1809</v>
      </c>
      <c r="F1048">
        <v>3</v>
      </c>
      <c r="G1048" t="s">
        <v>1618</v>
      </c>
      <c r="H1048">
        <v>73</v>
      </c>
      <c r="K1048" t="s">
        <v>1622</v>
      </c>
    </row>
    <row r="1049" spans="1:11" x14ac:dyDescent="0.25">
      <c r="A1049" t="s">
        <v>2814</v>
      </c>
      <c r="B1049" t="s">
        <v>1456</v>
      </c>
      <c r="C1049" t="s">
        <v>105</v>
      </c>
      <c r="D1049" t="s">
        <v>142</v>
      </c>
      <c r="E1049" t="s">
        <v>86</v>
      </c>
      <c r="F1049">
        <v>2</v>
      </c>
      <c r="G1049" t="s">
        <v>1618</v>
      </c>
      <c r="K1049" t="s">
        <v>1630</v>
      </c>
    </row>
    <row r="1050" spans="1:11" x14ac:dyDescent="0.25">
      <c r="A1050" t="s">
        <v>2815</v>
      </c>
      <c r="B1050" t="s">
        <v>1457</v>
      </c>
      <c r="C1050" t="s">
        <v>134</v>
      </c>
      <c r="D1050" t="s">
        <v>150</v>
      </c>
      <c r="E1050" t="s">
        <v>1807</v>
      </c>
      <c r="F1050">
        <v>2</v>
      </c>
      <c r="G1050" t="s">
        <v>1618</v>
      </c>
      <c r="K1050" t="s">
        <v>1630</v>
      </c>
    </row>
    <row r="1051" spans="1:11" x14ac:dyDescent="0.25">
      <c r="A1051" t="s">
        <v>2816</v>
      </c>
      <c r="B1051" t="s">
        <v>1458</v>
      </c>
      <c r="C1051" t="s">
        <v>31</v>
      </c>
      <c r="D1051" t="s">
        <v>145</v>
      </c>
      <c r="E1051" t="s">
        <v>1760</v>
      </c>
      <c r="F1051">
        <v>3</v>
      </c>
      <c r="G1051" t="s">
        <v>1618</v>
      </c>
      <c r="H1051">
        <v>61</v>
      </c>
      <c r="K1051" t="s">
        <v>1622</v>
      </c>
    </row>
    <row r="1052" spans="1:11" x14ac:dyDescent="0.25">
      <c r="A1052" t="s">
        <v>2817</v>
      </c>
      <c r="B1052" t="s">
        <v>1459</v>
      </c>
      <c r="C1052" t="s">
        <v>97</v>
      </c>
      <c r="D1052" t="s">
        <v>158</v>
      </c>
      <c r="E1052" t="s">
        <v>1709</v>
      </c>
      <c r="F1052">
        <v>2</v>
      </c>
      <c r="G1052" t="s">
        <v>1618</v>
      </c>
      <c r="K1052" t="s">
        <v>1625</v>
      </c>
    </row>
    <row r="1053" spans="1:11" x14ac:dyDescent="0.25">
      <c r="A1053" t="s">
        <v>2818</v>
      </c>
      <c r="B1053" t="s">
        <v>1460</v>
      </c>
      <c r="C1053" t="s">
        <v>121</v>
      </c>
      <c r="D1053" t="s">
        <v>156</v>
      </c>
      <c r="E1053" t="s">
        <v>91</v>
      </c>
      <c r="F1053">
        <v>4</v>
      </c>
      <c r="G1053" t="s">
        <v>1618</v>
      </c>
      <c r="H1053">
        <v>71</v>
      </c>
      <c r="I1053">
        <v>74</v>
      </c>
      <c r="K1053" t="s">
        <v>1635</v>
      </c>
    </row>
    <row r="1054" spans="1:11" x14ac:dyDescent="0.25">
      <c r="A1054" t="s">
        <v>2819</v>
      </c>
      <c r="B1054" t="s">
        <v>1461</v>
      </c>
      <c r="C1054" t="s">
        <v>85</v>
      </c>
      <c r="D1054" t="s">
        <v>145</v>
      </c>
      <c r="E1054" t="s">
        <v>1879</v>
      </c>
      <c r="F1054">
        <v>3</v>
      </c>
      <c r="G1054" t="s">
        <v>1618</v>
      </c>
      <c r="H1054">
        <v>54</v>
      </c>
      <c r="K1054" t="s">
        <v>1622</v>
      </c>
    </row>
    <row r="1055" spans="1:11" x14ac:dyDescent="0.25">
      <c r="A1055" t="s">
        <v>2820</v>
      </c>
      <c r="B1055" t="s">
        <v>1462</v>
      </c>
      <c r="C1055" t="s">
        <v>92</v>
      </c>
      <c r="D1055" t="s">
        <v>156</v>
      </c>
      <c r="E1055" t="s">
        <v>1726</v>
      </c>
      <c r="F1055">
        <v>1</v>
      </c>
      <c r="G1055" t="s">
        <v>1618</v>
      </c>
      <c r="K1055" t="s">
        <v>1619</v>
      </c>
    </row>
    <row r="1056" spans="1:11" x14ac:dyDescent="0.25">
      <c r="A1056" t="s">
        <v>2821</v>
      </c>
      <c r="B1056" t="s">
        <v>1463</v>
      </c>
      <c r="C1056" t="s">
        <v>105</v>
      </c>
      <c r="D1056" t="s">
        <v>158</v>
      </c>
      <c r="E1056" t="s">
        <v>1655</v>
      </c>
      <c r="F1056">
        <v>2</v>
      </c>
      <c r="G1056" t="s">
        <v>1618</v>
      </c>
      <c r="K1056" t="s">
        <v>1630</v>
      </c>
    </row>
    <row r="1057" spans="1:11" x14ac:dyDescent="0.25">
      <c r="A1057" t="s">
        <v>2822</v>
      </c>
      <c r="B1057" t="s">
        <v>1464</v>
      </c>
      <c r="C1057" t="s">
        <v>34</v>
      </c>
      <c r="D1057" t="s">
        <v>145</v>
      </c>
      <c r="E1057" t="s">
        <v>1711</v>
      </c>
      <c r="F1057">
        <v>3</v>
      </c>
      <c r="G1057" t="s">
        <v>1618</v>
      </c>
      <c r="H1057">
        <v>62</v>
      </c>
      <c r="K1057" t="s">
        <v>1622</v>
      </c>
    </row>
    <row r="1058" spans="1:11" x14ac:dyDescent="0.25">
      <c r="A1058" t="s">
        <v>2823</v>
      </c>
      <c r="B1058" t="s">
        <v>1465</v>
      </c>
      <c r="C1058" t="s">
        <v>94</v>
      </c>
      <c r="D1058" t="s">
        <v>150</v>
      </c>
      <c r="E1058" t="s">
        <v>2456</v>
      </c>
      <c r="F1058">
        <v>1</v>
      </c>
      <c r="G1058" t="s">
        <v>1618</v>
      </c>
      <c r="K1058" t="s">
        <v>1630</v>
      </c>
    </row>
    <row r="1059" spans="1:11" x14ac:dyDescent="0.25">
      <c r="A1059" t="s">
        <v>2824</v>
      </c>
      <c r="B1059" t="s">
        <v>1466</v>
      </c>
      <c r="C1059" t="s">
        <v>46</v>
      </c>
      <c r="D1059" t="s">
        <v>147</v>
      </c>
      <c r="E1059" t="s">
        <v>1857</v>
      </c>
      <c r="F1059">
        <v>1</v>
      </c>
      <c r="G1059" t="s">
        <v>1618</v>
      </c>
      <c r="K1059" t="s">
        <v>1625</v>
      </c>
    </row>
    <row r="1060" spans="1:11" x14ac:dyDescent="0.25">
      <c r="A1060" t="s">
        <v>2825</v>
      </c>
      <c r="B1060" t="s">
        <v>1467</v>
      </c>
      <c r="C1060" t="s">
        <v>37</v>
      </c>
      <c r="D1060" t="s">
        <v>147</v>
      </c>
      <c r="E1060" t="s">
        <v>1704</v>
      </c>
      <c r="F1060">
        <v>2</v>
      </c>
      <c r="G1060" t="s">
        <v>1618</v>
      </c>
      <c r="K1060" t="s">
        <v>1625</v>
      </c>
    </row>
    <row r="1061" spans="1:11" x14ac:dyDescent="0.25">
      <c r="A1061" t="s">
        <v>2826</v>
      </c>
      <c r="B1061" t="s">
        <v>1468</v>
      </c>
      <c r="C1061" t="s">
        <v>103</v>
      </c>
      <c r="D1061" t="s">
        <v>153</v>
      </c>
      <c r="E1061" t="s">
        <v>96</v>
      </c>
      <c r="F1061">
        <v>1</v>
      </c>
      <c r="G1061" t="s">
        <v>1618</v>
      </c>
      <c r="K1061" t="s">
        <v>1630</v>
      </c>
    </row>
    <row r="1062" spans="1:11" x14ac:dyDescent="0.25">
      <c r="A1062" t="s">
        <v>2827</v>
      </c>
      <c r="B1062" t="s">
        <v>1469</v>
      </c>
      <c r="C1062" t="s">
        <v>56</v>
      </c>
      <c r="D1062" t="s">
        <v>153</v>
      </c>
      <c r="E1062" t="s">
        <v>22</v>
      </c>
      <c r="F1062">
        <v>1</v>
      </c>
      <c r="G1062" t="s">
        <v>1618</v>
      </c>
      <c r="K1062" t="s">
        <v>1619</v>
      </c>
    </row>
    <row r="1063" spans="1:11" x14ac:dyDescent="0.25">
      <c r="A1063" t="s">
        <v>2828</v>
      </c>
      <c r="B1063" t="s">
        <v>1470</v>
      </c>
      <c r="C1063" t="s">
        <v>113</v>
      </c>
      <c r="D1063" t="s">
        <v>145</v>
      </c>
      <c r="E1063" t="s">
        <v>22</v>
      </c>
      <c r="F1063">
        <v>2</v>
      </c>
      <c r="G1063" t="s">
        <v>1618</v>
      </c>
      <c r="K1063" t="s">
        <v>1630</v>
      </c>
    </row>
    <row r="1064" spans="1:11" x14ac:dyDescent="0.25">
      <c r="A1064" t="s">
        <v>2829</v>
      </c>
      <c r="B1064" t="s">
        <v>1471</v>
      </c>
      <c r="C1064" t="s">
        <v>130</v>
      </c>
      <c r="D1064" t="s">
        <v>142</v>
      </c>
      <c r="E1064" t="s">
        <v>1754</v>
      </c>
      <c r="F1064">
        <v>2</v>
      </c>
      <c r="G1064" t="s">
        <v>1618</v>
      </c>
      <c r="K1064" t="s">
        <v>1625</v>
      </c>
    </row>
    <row r="1065" spans="1:11" x14ac:dyDescent="0.25">
      <c r="A1065" t="s">
        <v>2830</v>
      </c>
      <c r="B1065" t="s">
        <v>1472</v>
      </c>
      <c r="C1065" t="s">
        <v>92</v>
      </c>
      <c r="D1065" t="s">
        <v>156</v>
      </c>
      <c r="E1065" t="s">
        <v>1751</v>
      </c>
      <c r="F1065">
        <v>1</v>
      </c>
      <c r="G1065" t="s">
        <v>1618</v>
      </c>
      <c r="K1065" t="s">
        <v>1619</v>
      </c>
    </row>
    <row r="1066" spans="1:11" x14ac:dyDescent="0.25">
      <c r="A1066" t="s">
        <v>2831</v>
      </c>
      <c r="B1066" t="s">
        <v>1473</v>
      </c>
      <c r="C1066" t="s">
        <v>83</v>
      </c>
      <c r="D1066" t="s">
        <v>142</v>
      </c>
      <c r="E1066" t="s">
        <v>1649</v>
      </c>
      <c r="F1066">
        <v>1</v>
      </c>
      <c r="G1066" t="s">
        <v>1618</v>
      </c>
      <c r="K1066" t="s">
        <v>1619</v>
      </c>
    </row>
    <row r="1067" spans="1:11" x14ac:dyDescent="0.25">
      <c r="A1067" t="s">
        <v>2832</v>
      </c>
      <c r="B1067" t="s">
        <v>1474</v>
      </c>
      <c r="C1067" t="s">
        <v>113</v>
      </c>
      <c r="D1067" t="s">
        <v>145</v>
      </c>
      <c r="E1067" t="s">
        <v>84</v>
      </c>
      <c r="F1067">
        <v>5</v>
      </c>
      <c r="G1067" t="s">
        <v>1618</v>
      </c>
      <c r="H1067">
        <v>74</v>
      </c>
      <c r="I1067">
        <v>77</v>
      </c>
      <c r="K1067" t="s">
        <v>1635</v>
      </c>
    </row>
    <row r="1068" spans="1:11" x14ac:dyDescent="0.25">
      <c r="A1068" t="s">
        <v>2833</v>
      </c>
      <c r="B1068" t="s">
        <v>1475</v>
      </c>
      <c r="C1068" t="s">
        <v>134</v>
      </c>
      <c r="D1068" t="s">
        <v>150</v>
      </c>
      <c r="E1068" t="s">
        <v>30</v>
      </c>
      <c r="F1068">
        <v>1</v>
      </c>
      <c r="G1068" t="s">
        <v>1618</v>
      </c>
      <c r="K1068" t="s">
        <v>1619</v>
      </c>
    </row>
    <row r="1069" spans="1:11" x14ac:dyDescent="0.25">
      <c r="A1069" t="s">
        <v>2834</v>
      </c>
      <c r="B1069" t="s">
        <v>1476</v>
      </c>
      <c r="C1069" t="s">
        <v>8</v>
      </c>
      <c r="D1069" t="s">
        <v>145</v>
      </c>
      <c r="E1069" t="s">
        <v>1779</v>
      </c>
      <c r="F1069">
        <v>1</v>
      </c>
      <c r="G1069" t="s">
        <v>1618</v>
      </c>
      <c r="K1069" t="s">
        <v>1619</v>
      </c>
    </row>
    <row r="1070" spans="1:11" x14ac:dyDescent="0.25">
      <c r="A1070" t="s">
        <v>2835</v>
      </c>
      <c r="B1070" t="s">
        <v>1477</v>
      </c>
      <c r="C1070" t="s">
        <v>128</v>
      </c>
      <c r="D1070" t="s">
        <v>142</v>
      </c>
      <c r="E1070" t="s">
        <v>2344</v>
      </c>
      <c r="F1070">
        <v>2</v>
      </c>
      <c r="G1070" t="s">
        <v>1618</v>
      </c>
      <c r="K1070" t="s">
        <v>1619</v>
      </c>
    </row>
    <row r="1071" spans="1:11" x14ac:dyDescent="0.25">
      <c r="A1071" t="s">
        <v>2836</v>
      </c>
      <c r="B1071" t="s">
        <v>1478</v>
      </c>
      <c r="C1071" t="s">
        <v>107</v>
      </c>
      <c r="D1071" t="s">
        <v>150</v>
      </c>
      <c r="E1071" t="s">
        <v>1704</v>
      </c>
      <c r="F1071">
        <v>2</v>
      </c>
      <c r="G1071" t="s">
        <v>1618</v>
      </c>
      <c r="K1071" t="s">
        <v>1625</v>
      </c>
    </row>
    <row r="1072" spans="1:11" x14ac:dyDescent="0.25">
      <c r="A1072" t="s">
        <v>2837</v>
      </c>
      <c r="B1072" t="s">
        <v>1479</v>
      </c>
      <c r="C1072" t="s">
        <v>39</v>
      </c>
      <c r="D1072" t="s">
        <v>145</v>
      </c>
      <c r="E1072" t="s">
        <v>2042</v>
      </c>
      <c r="F1072">
        <v>2</v>
      </c>
      <c r="G1072" t="s">
        <v>1618</v>
      </c>
      <c r="K1072" t="s">
        <v>1619</v>
      </c>
    </row>
    <row r="1073" spans="1:11" x14ac:dyDescent="0.25">
      <c r="A1073" t="s">
        <v>2838</v>
      </c>
      <c r="B1073" t="s">
        <v>1480</v>
      </c>
      <c r="C1073" t="s">
        <v>105</v>
      </c>
      <c r="D1073" t="s">
        <v>158</v>
      </c>
      <c r="E1073" t="s">
        <v>2751</v>
      </c>
      <c r="F1073">
        <v>7</v>
      </c>
      <c r="G1073" t="s">
        <v>1692</v>
      </c>
      <c r="H1073">
        <v>78</v>
      </c>
      <c r="I1073">
        <v>89</v>
      </c>
      <c r="J1073">
        <v>24</v>
      </c>
      <c r="K1073" t="s">
        <v>1693</v>
      </c>
    </row>
    <row r="1074" spans="1:11" x14ac:dyDescent="0.25">
      <c r="A1074" t="s">
        <v>2839</v>
      </c>
      <c r="B1074" t="s">
        <v>1481</v>
      </c>
      <c r="C1074" t="s">
        <v>110</v>
      </c>
      <c r="D1074" t="s">
        <v>160</v>
      </c>
      <c r="E1074" t="s">
        <v>2786</v>
      </c>
      <c r="F1074">
        <v>2</v>
      </c>
      <c r="G1074" t="s">
        <v>1618</v>
      </c>
      <c r="K1074" t="s">
        <v>1630</v>
      </c>
    </row>
    <row r="1075" spans="1:11" x14ac:dyDescent="0.25">
      <c r="A1075" t="s">
        <v>2840</v>
      </c>
      <c r="B1075" t="s">
        <v>1482</v>
      </c>
      <c r="C1075" t="s">
        <v>118</v>
      </c>
      <c r="D1075" t="s">
        <v>150</v>
      </c>
      <c r="E1075" t="s">
        <v>133</v>
      </c>
      <c r="F1075">
        <v>1</v>
      </c>
      <c r="G1075" t="s">
        <v>1618</v>
      </c>
      <c r="K1075" t="s">
        <v>1630</v>
      </c>
    </row>
    <row r="1076" spans="1:11" x14ac:dyDescent="0.25">
      <c r="A1076" t="s">
        <v>2841</v>
      </c>
      <c r="B1076" t="s">
        <v>1483</v>
      </c>
      <c r="C1076" t="s">
        <v>59</v>
      </c>
      <c r="D1076" t="s">
        <v>160</v>
      </c>
      <c r="E1076" t="s">
        <v>51</v>
      </c>
      <c r="F1076">
        <v>1</v>
      </c>
      <c r="G1076" t="s">
        <v>1618</v>
      </c>
      <c r="K1076" t="s">
        <v>1625</v>
      </c>
    </row>
    <row r="1077" spans="1:11" x14ac:dyDescent="0.25">
      <c r="A1077" t="s">
        <v>2842</v>
      </c>
      <c r="B1077" t="s">
        <v>1484</v>
      </c>
      <c r="C1077" t="s">
        <v>49</v>
      </c>
      <c r="D1077" t="s">
        <v>158</v>
      </c>
      <c r="E1077" t="s">
        <v>1634</v>
      </c>
      <c r="F1077">
        <v>2</v>
      </c>
      <c r="G1077" t="s">
        <v>1618</v>
      </c>
      <c r="K1077" t="s">
        <v>1630</v>
      </c>
    </row>
    <row r="1078" spans="1:11" x14ac:dyDescent="0.25">
      <c r="A1078" t="s">
        <v>2843</v>
      </c>
      <c r="B1078" t="s">
        <v>1485</v>
      </c>
      <c r="C1078" t="s">
        <v>98</v>
      </c>
      <c r="D1078" t="s">
        <v>160</v>
      </c>
      <c r="E1078" t="s">
        <v>1769</v>
      </c>
      <c r="F1078">
        <v>1</v>
      </c>
      <c r="G1078" t="s">
        <v>1618</v>
      </c>
      <c r="K1078" t="s">
        <v>1619</v>
      </c>
    </row>
    <row r="1079" spans="1:11" x14ac:dyDescent="0.25">
      <c r="A1079" t="s">
        <v>2844</v>
      </c>
      <c r="B1079" t="s">
        <v>1486</v>
      </c>
      <c r="C1079" t="s">
        <v>43</v>
      </c>
      <c r="D1079" t="s">
        <v>142</v>
      </c>
      <c r="E1079" t="s">
        <v>120</v>
      </c>
      <c r="F1079">
        <v>7</v>
      </c>
      <c r="G1079" t="s">
        <v>1692</v>
      </c>
      <c r="H1079">
        <v>71</v>
      </c>
      <c r="I1079">
        <v>88</v>
      </c>
      <c r="J1079">
        <v>23</v>
      </c>
      <c r="K1079" t="s">
        <v>1693</v>
      </c>
    </row>
    <row r="1080" spans="1:11" x14ac:dyDescent="0.25">
      <c r="A1080" t="s">
        <v>2845</v>
      </c>
      <c r="B1080" t="s">
        <v>1487</v>
      </c>
      <c r="C1080" t="s">
        <v>100</v>
      </c>
      <c r="D1080" t="s">
        <v>150</v>
      </c>
      <c r="E1080" t="s">
        <v>68</v>
      </c>
      <c r="F1080">
        <v>3</v>
      </c>
      <c r="G1080" t="s">
        <v>1618</v>
      </c>
      <c r="H1080">
        <v>64</v>
      </c>
      <c r="K1080" t="s">
        <v>1622</v>
      </c>
    </row>
    <row r="1081" spans="1:11" x14ac:dyDescent="0.25">
      <c r="A1081" t="s">
        <v>2846</v>
      </c>
      <c r="B1081" t="s">
        <v>1488</v>
      </c>
      <c r="C1081" t="s">
        <v>134</v>
      </c>
      <c r="D1081" t="s">
        <v>150</v>
      </c>
      <c r="E1081" t="s">
        <v>1891</v>
      </c>
      <c r="F1081">
        <v>1</v>
      </c>
      <c r="G1081" t="s">
        <v>1618</v>
      </c>
      <c r="K1081" t="s">
        <v>1625</v>
      </c>
    </row>
    <row r="1082" spans="1:11" x14ac:dyDescent="0.25">
      <c r="A1082" t="s">
        <v>2847</v>
      </c>
      <c r="B1082" t="s">
        <v>1489</v>
      </c>
      <c r="C1082" t="s">
        <v>56</v>
      </c>
      <c r="D1082" t="s">
        <v>153</v>
      </c>
      <c r="E1082" t="s">
        <v>120</v>
      </c>
      <c r="F1082">
        <v>2</v>
      </c>
      <c r="G1082" t="s">
        <v>1618</v>
      </c>
      <c r="K1082" t="s">
        <v>1625</v>
      </c>
    </row>
    <row r="1083" spans="1:11" x14ac:dyDescent="0.25">
      <c r="A1083" t="s">
        <v>2848</v>
      </c>
      <c r="B1083" t="s">
        <v>1490</v>
      </c>
      <c r="C1083" t="s">
        <v>127</v>
      </c>
      <c r="D1083" t="s">
        <v>145</v>
      </c>
      <c r="E1083" t="s">
        <v>111</v>
      </c>
      <c r="F1083">
        <v>7</v>
      </c>
      <c r="G1083" t="s">
        <v>1692</v>
      </c>
      <c r="H1083">
        <v>91</v>
      </c>
      <c r="I1083">
        <v>84</v>
      </c>
      <c r="J1083">
        <v>23</v>
      </c>
      <c r="K1083" t="s">
        <v>1693</v>
      </c>
    </row>
    <row r="1084" spans="1:11" x14ac:dyDescent="0.25">
      <c r="A1084" t="s">
        <v>2849</v>
      </c>
      <c r="B1084" t="s">
        <v>1491</v>
      </c>
      <c r="C1084" t="s">
        <v>79</v>
      </c>
      <c r="D1084" t="s">
        <v>150</v>
      </c>
      <c r="E1084" t="s">
        <v>1621</v>
      </c>
      <c r="F1084">
        <v>2</v>
      </c>
      <c r="G1084" t="s">
        <v>1618</v>
      </c>
      <c r="K1084" t="s">
        <v>1619</v>
      </c>
    </row>
    <row r="1085" spans="1:11" x14ac:dyDescent="0.25">
      <c r="A1085" t="s">
        <v>2850</v>
      </c>
      <c r="B1085" t="s">
        <v>1492</v>
      </c>
      <c r="C1085" t="s">
        <v>52</v>
      </c>
      <c r="D1085" t="s">
        <v>147</v>
      </c>
      <c r="E1085" t="s">
        <v>133</v>
      </c>
      <c r="F1085">
        <v>1</v>
      </c>
      <c r="G1085" t="s">
        <v>1618</v>
      </c>
      <c r="K1085" t="s">
        <v>1630</v>
      </c>
    </row>
    <row r="1086" spans="1:11" x14ac:dyDescent="0.25">
      <c r="A1086" t="s">
        <v>2851</v>
      </c>
      <c r="B1086" t="s">
        <v>1493</v>
      </c>
      <c r="C1086" t="s">
        <v>79</v>
      </c>
      <c r="D1086" t="s">
        <v>150</v>
      </c>
      <c r="E1086" t="s">
        <v>1812</v>
      </c>
      <c r="F1086">
        <v>3</v>
      </c>
      <c r="G1086" t="s">
        <v>1618</v>
      </c>
      <c r="H1086">
        <v>54</v>
      </c>
      <c r="K1086" t="s">
        <v>1622</v>
      </c>
    </row>
    <row r="1087" spans="1:11" x14ac:dyDescent="0.25">
      <c r="A1087" t="s">
        <v>2852</v>
      </c>
      <c r="B1087" t="s">
        <v>1494</v>
      </c>
      <c r="C1087" t="s">
        <v>39</v>
      </c>
      <c r="D1087" t="s">
        <v>160</v>
      </c>
      <c r="E1087" t="s">
        <v>45</v>
      </c>
      <c r="F1087">
        <v>4</v>
      </c>
      <c r="G1087" t="s">
        <v>1618</v>
      </c>
      <c r="H1087">
        <v>70</v>
      </c>
      <c r="I1087">
        <v>83</v>
      </c>
      <c r="K1087" t="s">
        <v>1659</v>
      </c>
    </row>
    <row r="1088" spans="1:11" x14ac:dyDescent="0.25">
      <c r="A1088" t="s">
        <v>2853</v>
      </c>
      <c r="B1088" t="s">
        <v>1495</v>
      </c>
      <c r="C1088" t="s">
        <v>79</v>
      </c>
      <c r="D1088" t="s">
        <v>150</v>
      </c>
      <c r="E1088" t="s">
        <v>1953</v>
      </c>
      <c r="F1088">
        <v>2</v>
      </c>
      <c r="G1088" t="s">
        <v>1618</v>
      </c>
      <c r="K1088" t="s">
        <v>1619</v>
      </c>
    </row>
    <row r="1089" spans="1:11" x14ac:dyDescent="0.25">
      <c r="A1089" t="s">
        <v>2854</v>
      </c>
      <c r="B1089" t="s">
        <v>1496</v>
      </c>
      <c r="C1089" t="s">
        <v>134</v>
      </c>
      <c r="D1089" t="s">
        <v>150</v>
      </c>
      <c r="E1089" t="s">
        <v>30</v>
      </c>
      <c r="F1089">
        <v>3</v>
      </c>
      <c r="G1089" t="s">
        <v>1618</v>
      </c>
      <c r="H1089">
        <v>53</v>
      </c>
      <c r="K1089" t="s">
        <v>1622</v>
      </c>
    </row>
    <row r="1090" spans="1:11" x14ac:dyDescent="0.25">
      <c r="A1090" t="s">
        <v>2855</v>
      </c>
      <c r="B1090" t="s">
        <v>1497</v>
      </c>
      <c r="C1090" t="s">
        <v>103</v>
      </c>
      <c r="D1090" t="s">
        <v>153</v>
      </c>
      <c r="E1090" t="s">
        <v>1624</v>
      </c>
      <c r="F1090">
        <v>2</v>
      </c>
      <c r="G1090" t="s">
        <v>1618</v>
      </c>
      <c r="K1090" t="s">
        <v>1619</v>
      </c>
    </row>
    <row r="1091" spans="1:11" x14ac:dyDescent="0.25">
      <c r="A1091" t="s">
        <v>2856</v>
      </c>
      <c r="B1091" t="s">
        <v>1498</v>
      </c>
      <c r="C1091" t="s">
        <v>92</v>
      </c>
      <c r="D1091" t="s">
        <v>156</v>
      </c>
      <c r="E1091" t="s">
        <v>1781</v>
      </c>
      <c r="F1091">
        <v>7</v>
      </c>
      <c r="G1091" t="s">
        <v>1692</v>
      </c>
      <c r="H1091">
        <v>83</v>
      </c>
      <c r="I1091">
        <v>79</v>
      </c>
      <c r="J1091">
        <v>24</v>
      </c>
      <c r="K1091" t="s">
        <v>1693</v>
      </c>
    </row>
    <row r="1092" spans="1:11" x14ac:dyDescent="0.25">
      <c r="A1092" t="s">
        <v>2857</v>
      </c>
      <c r="B1092" t="s">
        <v>1499</v>
      </c>
      <c r="C1092" t="s">
        <v>27</v>
      </c>
      <c r="D1092" t="s">
        <v>147</v>
      </c>
      <c r="E1092" t="s">
        <v>1891</v>
      </c>
      <c r="F1092">
        <v>2</v>
      </c>
      <c r="G1092" t="s">
        <v>1618</v>
      </c>
      <c r="K1092" t="s">
        <v>1625</v>
      </c>
    </row>
    <row r="1093" spans="1:11" x14ac:dyDescent="0.25">
      <c r="A1093" t="s">
        <v>2858</v>
      </c>
      <c r="B1093" t="s">
        <v>1500</v>
      </c>
      <c r="C1093" t="s">
        <v>97</v>
      </c>
      <c r="D1093" t="s">
        <v>158</v>
      </c>
      <c r="E1093" t="s">
        <v>89</v>
      </c>
      <c r="F1093">
        <v>3</v>
      </c>
      <c r="G1093" t="s">
        <v>1618</v>
      </c>
      <c r="H1093">
        <v>52</v>
      </c>
      <c r="K1093" t="s">
        <v>1622</v>
      </c>
    </row>
    <row r="1094" spans="1:11" x14ac:dyDescent="0.25">
      <c r="A1094" t="s">
        <v>2859</v>
      </c>
      <c r="B1094" t="s">
        <v>1501</v>
      </c>
      <c r="C1094" t="s">
        <v>20</v>
      </c>
      <c r="D1094" t="s">
        <v>158</v>
      </c>
      <c r="E1094" t="s">
        <v>1739</v>
      </c>
      <c r="F1094">
        <v>1</v>
      </c>
      <c r="G1094" t="s">
        <v>1618</v>
      </c>
      <c r="K1094" t="s">
        <v>1619</v>
      </c>
    </row>
    <row r="1095" spans="1:11" x14ac:dyDescent="0.25">
      <c r="A1095" t="s">
        <v>2860</v>
      </c>
      <c r="B1095" t="s">
        <v>1502</v>
      </c>
      <c r="C1095" t="s">
        <v>132</v>
      </c>
      <c r="D1095" t="s">
        <v>153</v>
      </c>
      <c r="E1095" t="s">
        <v>2230</v>
      </c>
      <c r="F1095">
        <v>1</v>
      </c>
      <c r="G1095" t="s">
        <v>1618</v>
      </c>
      <c r="K1095" t="s">
        <v>1630</v>
      </c>
    </row>
    <row r="1096" spans="1:11" x14ac:dyDescent="0.25">
      <c r="A1096" t="s">
        <v>2861</v>
      </c>
      <c r="B1096" t="s">
        <v>1503</v>
      </c>
      <c r="C1096" t="s">
        <v>98</v>
      </c>
      <c r="D1096" t="s">
        <v>160</v>
      </c>
      <c r="E1096" t="s">
        <v>1859</v>
      </c>
      <c r="F1096">
        <v>2</v>
      </c>
      <c r="G1096" t="s">
        <v>1618</v>
      </c>
      <c r="K1096" t="s">
        <v>1630</v>
      </c>
    </row>
    <row r="1097" spans="1:11" x14ac:dyDescent="0.25">
      <c r="A1097" t="s">
        <v>2862</v>
      </c>
      <c r="B1097" t="s">
        <v>1504</v>
      </c>
      <c r="C1097" t="s">
        <v>130</v>
      </c>
      <c r="D1097" t="s">
        <v>158</v>
      </c>
      <c r="E1097" t="s">
        <v>1785</v>
      </c>
      <c r="F1097">
        <v>3</v>
      </c>
      <c r="G1097" t="s">
        <v>1618</v>
      </c>
      <c r="H1097">
        <v>67</v>
      </c>
      <c r="K1097" t="s">
        <v>1622</v>
      </c>
    </row>
    <row r="1098" spans="1:11" x14ac:dyDescent="0.25">
      <c r="A1098" t="s">
        <v>2863</v>
      </c>
      <c r="B1098" t="s">
        <v>1505</v>
      </c>
      <c r="C1098" t="s">
        <v>83</v>
      </c>
      <c r="D1098" t="s">
        <v>158</v>
      </c>
      <c r="E1098" t="s">
        <v>99</v>
      </c>
      <c r="F1098">
        <v>1</v>
      </c>
      <c r="G1098" t="s">
        <v>1618</v>
      </c>
      <c r="K1098" t="s">
        <v>1625</v>
      </c>
    </row>
    <row r="1099" spans="1:11" x14ac:dyDescent="0.25">
      <c r="A1099" t="s">
        <v>2864</v>
      </c>
      <c r="B1099" t="s">
        <v>1506</v>
      </c>
      <c r="C1099" t="s">
        <v>118</v>
      </c>
      <c r="D1099" t="s">
        <v>150</v>
      </c>
      <c r="E1099" t="s">
        <v>1769</v>
      </c>
      <c r="F1099">
        <v>4</v>
      </c>
      <c r="G1099" t="s">
        <v>1618</v>
      </c>
      <c r="H1099">
        <v>81</v>
      </c>
      <c r="I1099">
        <v>77</v>
      </c>
      <c r="K1099" t="s">
        <v>1659</v>
      </c>
    </row>
    <row r="1100" spans="1:11" x14ac:dyDescent="0.25">
      <c r="A1100" t="s">
        <v>2865</v>
      </c>
      <c r="B1100" t="s">
        <v>1507</v>
      </c>
      <c r="C1100" t="s">
        <v>27</v>
      </c>
      <c r="D1100" t="s">
        <v>147</v>
      </c>
      <c r="E1100" t="s">
        <v>2017</v>
      </c>
      <c r="F1100">
        <v>7</v>
      </c>
      <c r="G1100" t="s">
        <v>1692</v>
      </c>
      <c r="H1100">
        <v>83</v>
      </c>
      <c r="I1100">
        <v>85</v>
      </c>
      <c r="J1100">
        <v>23</v>
      </c>
      <c r="K1100" t="s">
        <v>1693</v>
      </c>
    </row>
    <row r="1101" spans="1:11" x14ac:dyDescent="0.25">
      <c r="A1101" t="s">
        <v>2866</v>
      </c>
      <c r="B1101" t="s">
        <v>1508</v>
      </c>
      <c r="C1101" t="s">
        <v>100</v>
      </c>
      <c r="D1101" t="s">
        <v>150</v>
      </c>
      <c r="E1101" t="s">
        <v>68</v>
      </c>
      <c r="F1101">
        <v>2</v>
      </c>
      <c r="G1101" t="s">
        <v>1618</v>
      </c>
      <c r="K1101" t="s">
        <v>1619</v>
      </c>
    </row>
    <row r="1102" spans="1:11" x14ac:dyDescent="0.25">
      <c r="A1102" t="s">
        <v>2867</v>
      </c>
      <c r="B1102" t="s">
        <v>1509</v>
      </c>
      <c r="C1102" t="s">
        <v>56</v>
      </c>
      <c r="D1102" t="s">
        <v>153</v>
      </c>
      <c r="E1102" t="s">
        <v>99</v>
      </c>
      <c r="F1102">
        <v>3</v>
      </c>
      <c r="G1102" t="s">
        <v>1618</v>
      </c>
      <c r="H1102">
        <v>65</v>
      </c>
      <c r="K1102" t="s">
        <v>1622</v>
      </c>
    </row>
    <row r="1103" spans="1:11" x14ac:dyDescent="0.25">
      <c r="A1103" t="s">
        <v>2868</v>
      </c>
      <c r="B1103" t="s">
        <v>1510</v>
      </c>
      <c r="C1103" t="s">
        <v>123</v>
      </c>
      <c r="D1103" t="s">
        <v>160</v>
      </c>
      <c r="E1103" t="s">
        <v>1728</v>
      </c>
      <c r="F1103">
        <v>2</v>
      </c>
      <c r="G1103" t="s">
        <v>1618</v>
      </c>
      <c r="K1103" t="s">
        <v>1619</v>
      </c>
    </row>
    <row r="1104" spans="1:11" x14ac:dyDescent="0.25">
      <c r="A1104" t="s">
        <v>2869</v>
      </c>
      <c r="B1104" t="s">
        <v>1511</v>
      </c>
      <c r="C1104" t="s">
        <v>132</v>
      </c>
      <c r="D1104" t="s">
        <v>153</v>
      </c>
      <c r="E1104" t="s">
        <v>2017</v>
      </c>
      <c r="F1104">
        <v>3</v>
      </c>
      <c r="G1104" t="s">
        <v>1618</v>
      </c>
      <c r="H1104">
        <v>64</v>
      </c>
      <c r="K1104" t="s">
        <v>1622</v>
      </c>
    </row>
    <row r="1105" spans="1:11" x14ac:dyDescent="0.25">
      <c r="A1105" t="s">
        <v>2870</v>
      </c>
      <c r="B1105" t="s">
        <v>1512</v>
      </c>
      <c r="C1105" t="s">
        <v>87</v>
      </c>
      <c r="D1105" t="s">
        <v>160</v>
      </c>
      <c r="E1105" t="s">
        <v>1751</v>
      </c>
      <c r="F1105">
        <v>7</v>
      </c>
      <c r="G1105" t="s">
        <v>1692</v>
      </c>
      <c r="H1105">
        <v>90</v>
      </c>
      <c r="I1105">
        <v>92</v>
      </c>
      <c r="J1105">
        <v>20</v>
      </c>
      <c r="K1105" t="s">
        <v>1693</v>
      </c>
    </row>
    <row r="1106" spans="1:11" x14ac:dyDescent="0.25">
      <c r="A1106" t="s">
        <v>2871</v>
      </c>
      <c r="B1106" t="s">
        <v>1513</v>
      </c>
      <c r="C1106" t="s">
        <v>128</v>
      </c>
      <c r="D1106" t="s">
        <v>142</v>
      </c>
      <c r="E1106" t="s">
        <v>126</v>
      </c>
      <c r="F1106">
        <v>4</v>
      </c>
      <c r="G1106" t="s">
        <v>1618</v>
      </c>
      <c r="H1106">
        <v>84</v>
      </c>
      <c r="I1106">
        <v>72</v>
      </c>
      <c r="K1106" t="s">
        <v>1659</v>
      </c>
    </row>
    <row r="1107" spans="1:11" x14ac:dyDescent="0.25">
      <c r="A1107" t="s">
        <v>2872</v>
      </c>
      <c r="B1107" t="s">
        <v>1514</v>
      </c>
      <c r="C1107" t="s">
        <v>8</v>
      </c>
      <c r="D1107" t="s">
        <v>160</v>
      </c>
      <c r="E1107" t="s">
        <v>1673</v>
      </c>
      <c r="F1107">
        <v>1</v>
      </c>
      <c r="G1107" t="s">
        <v>1618</v>
      </c>
      <c r="K1107" t="s">
        <v>1625</v>
      </c>
    </row>
    <row r="1108" spans="1:11" x14ac:dyDescent="0.25">
      <c r="A1108" t="s">
        <v>2873</v>
      </c>
      <c r="B1108" t="s">
        <v>1515</v>
      </c>
      <c r="C1108" t="s">
        <v>46</v>
      </c>
      <c r="D1108" t="s">
        <v>147</v>
      </c>
      <c r="E1108" t="s">
        <v>1639</v>
      </c>
      <c r="F1108">
        <v>3</v>
      </c>
      <c r="G1108" t="s">
        <v>1618</v>
      </c>
      <c r="H1108">
        <v>58</v>
      </c>
      <c r="K1108" t="s">
        <v>1622</v>
      </c>
    </row>
    <row r="1109" spans="1:11" x14ac:dyDescent="0.25">
      <c r="A1109" t="s">
        <v>2874</v>
      </c>
      <c r="B1109" t="s">
        <v>1516</v>
      </c>
      <c r="C1109" t="s">
        <v>97</v>
      </c>
      <c r="D1109" t="s">
        <v>142</v>
      </c>
      <c r="E1109" t="s">
        <v>2130</v>
      </c>
      <c r="F1109">
        <v>3</v>
      </c>
      <c r="G1109" t="s">
        <v>1618</v>
      </c>
      <c r="H1109">
        <v>59</v>
      </c>
      <c r="K1109" t="s">
        <v>1622</v>
      </c>
    </row>
    <row r="1110" spans="1:11" x14ac:dyDescent="0.25">
      <c r="A1110" t="s">
        <v>2875</v>
      </c>
      <c r="B1110" t="s">
        <v>1517</v>
      </c>
      <c r="C1110" t="s">
        <v>107</v>
      </c>
      <c r="D1110" t="s">
        <v>150</v>
      </c>
      <c r="E1110" t="s">
        <v>2130</v>
      </c>
      <c r="F1110">
        <v>4</v>
      </c>
      <c r="G1110" t="s">
        <v>1618</v>
      </c>
      <c r="H1110">
        <v>73</v>
      </c>
      <c r="I1110">
        <v>77</v>
      </c>
      <c r="K1110" t="s">
        <v>1659</v>
      </c>
    </row>
    <row r="1111" spans="1:11" x14ac:dyDescent="0.25">
      <c r="A1111" t="s">
        <v>2876</v>
      </c>
      <c r="B1111" t="s">
        <v>1518</v>
      </c>
      <c r="C1111" t="s">
        <v>97</v>
      </c>
      <c r="D1111" t="s">
        <v>142</v>
      </c>
      <c r="E1111" t="s">
        <v>1709</v>
      </c>
      <c r="F1111">
        <v>1</v>
      </c>
      <c r="G1111" t="s">
        <v>1618</v>
      </c>
      <c r="K1111" t="s">
        <v>1630</v>
      </c>
    </row>
    <row r="1112" spans="1:11" x14ac:dyDescent="0.25">
      <c r="A1112" t="s">
        <v>2877</v>
      </c>
      <c r="B1112" t="s">
        <v>1519</v>
      </c>
      <c r="C1112" t="s">
        <v>136</v>
      </c>
      <c r="D1112" t="s">
        <v>158</v>
      </c>
      <c r="E1112" t="s">
        <v>1653</v>
      </c>
      <c r="F1112">
        <v>4</v>
      </c>
      <c r="G1112" t="s">
        <v>1618</v>
      </c>
      <c r="H1112">
        <v>91</v>
      </c>
      <c r="I1112">
        <v>66</v>
      </c>
      <c r="K1112" t="s">
        <v>1635</v>
      </c>
    </row>
    <row r="1113" spans="1:11" x14ac:dyDescent="0.25">
      <c r="A1113" t="s">
        <v>2878</v>
      </c>
      <c r="B1113" t="s">
        <v>1520</v>
      </c>
      <c r="C1113" t="s">
        <v>113</v>
      </c>
      <c r="D1113" t="s">
        <v>160</v>
      </c>
      <c r="E1113" t="s">
        <v>1908</v>
      </c>
      <c r="F1113">
        <v>4</v>
      </c>
      <c r="G1113" t="s">
        <v>1618</v>
      </c>
      <c r="H1113">
        <v>91</v>
      </c>
      <c r="I1113">
        <v>79</v>
      </c>
      <c r="K1113" t="s">
        <v>1635</v>
      </c>
    </row>
    <row r="1114" spans="1:11" x14ac:dyDescent="0.25">
      <c r="A1114" t="s">
        <v>2879</v>
      </c>
      <c r="B1114" t="s">
        <v>1521</v>
      </c>
      <c r="C1114" t="s">
        <v>90</v>
      </c>
      <c r="D1114" t="s">
        <v>145</v>
      </c>
      <c r="E1114" t="s">
        <v>1758</v>
      </c>
      <c r="F1114">
        <v>1</v>
      </c>
      <c r="G1114" t="s">
        <v>1618</v>
      </c>
      <c r="K1114" t="s">
        <v>1619</v>
      </c>
    </row>
    <row r="1115" spans="1:11" x14ac:dyDescent="0.25">
      <c r="A1115" t="s">
        <v>2880</v>
      </c>
      <c r="B1115" t="s">
        <v>1522</v>
      </c>
      <c r="C1115" t="s">
        <v>121</v>
      </c>
      <c r="D1115" t="s">
        <v>156</v>
      </c>
      <c r="E1115" t="s">
        <v>1629</v>
      </c>
      <c r="F1115">
        <v>2</v>
      </c>
      <c r="G1115" t="s">
        <v>1618</v>
      </c>
      <c r="K1115" t="s">
        <v>1630</v>
      </c>
    </row>
    <row r="1116" spans="1:11" x14ac:dyDescent="0.25">
      <c r="A1116" t="s">
        <v>2881</v>
      </c>
      <c r="B1116" t="s">
        <v>1523</v>
      </c>
      <c r="C1116" t="s">
        <v>94</v>
      </c>
      <c r="D1116" t="s">
        <v>150</v>
      </c>
      <c r="E1116" t="s">
        <v>2032</v>
      </c>
      <c r="F1116">
        <v>3</v>
      </c>
      <c r="G1116" t="s">
        <v>1618</v>
      </c>
      <c r="H1116">
        <v>50</v>
      </c>
      <c r="K1116" t="s">
        <v>1622</v>
      </c>
    </row>
    <row r="1117" spans="1:11" x14ac:dyDescent="0.25">
      <c r="A1117" t="s">
        <v>2882</v>
      </c>
      <c r="B1117" t="s">
        <v>1524</v>
      </c>
      <c r="C1117" t="s">
        <v>79</v>
      </c>
      <c r="D1117" t="s">
        <v>150</v>
      </c>
      <c r="E1117" t="s">
        <v>1960</v>
      </c>
      <c r="F1117">
        <v>2</v>
      </c>
      <c r="G1117" t="s">
        <v>1618</v>
      </c>
      <c r="K1117" t="s">
        <v>1630</v>
      </c>
    </row>
    <row r="1118" spans="1:11" x14ac:dyDescent="0.25">
      <c r="A1118" t="s">
        <v>2883</v>
      </c>
      <c r="B1118" t="s">
        <v>1525</v>
      </c>
      <c r="C1118" t="s">
        <v>121</v>
      </c>
      <c r="D1118" t="s">
        <v>156</v>
      </c>
      <c r="E1118" t="s">
        <v>89</v>
      </c>
      <c r="F1118">
        <v>2</v>
      </c>
      <c r="G1118" t="s">
        <v>1618</v>
      </c>
      <c r="K1118" t="s">
        <v>1630</v>
      </c>
    </row>
    <row r="1119" spans="1:11" x14ac:dyDescent="0.25">
      <c r="A1119" t="s">
        <v>2884</v>
      </c>
      <c r="B1119" t="s">
        <v>1526</v>
      </c>
      <c r="C1119" t="s">
        <v>134</v>
      </c>
      <c r="D1119" t="s">
        <v>150</v>
      </c>
      <c r="E1119" t="s">
        <v>131</v>
      </c>
      <c r="F1119">
        <v>3</v>
      </c>
      <c r="G1119" t="s">
        <v>1618</v>
      </c>
      <c r="H1119">
        <v>76</v>
      </c>
      <c r="K1119" t="s">
        <v>1622</v>
      </c>
    </row>
    <row r="1120" spans="1:11" x14ac:dyDescent="0.25">
      <c r="A1120" t="s">
        <v>2885</v>
      </c>
      <c r="B1120" t="s">
        <v>1527</v>
      </c>
      <c r="C1120" t="s">
        <v>121</v>
      </c>
      <c r="D1120" t="s">
        <v>156</v>
      </c>
      <c r="E1120" t="s">
        <v>1634</v>
      </c>
      <c r="F1120">
        <v>2</v>
      </c>
      <c r="G1120" t="s">
        <v>1618</v>
      </c>
      <c r="K1120" t="s">
        <v>1619</v>
      </c>
    </row>
    <row r="1121" spans="1:11" x14ac:dyDescent="0.25">
      <c r="A1121" t="s">
        <v>2886</v>
      </c>
      <c r="B1121" t="s">
        <v>1528</v>
      </c>
      <c r="C1121" t="s">
        <v>59</v>
      </c>
      <c r="D1121" t="s">
        <v>160</v>
      </c>
      <c r="E1121" t="s">
        <v>1657</v>
      </c>
      <c r="F1121">
        <v>1</v>
      </c>
      <c r="G1121" t="s">
        <v>1618</v>
      </c>
      <c r="K1121" t="s">
        <v>1619</v>
      </c>
    </row>
    <row r="1122" spans="1:11" x14ac:dyDescent="0.25">
      <c r="A1122" t="s">
        <v>2887</v>
      </c>
      <c r="B1122" t="s">
        <v>1529</v>
      </c>
      <c r="C1122" t="s">
        <v>79</v>
      </c>
      <c r="D1122" t="s">
        <v>150</v>
      </c>
      <c r="E1122" t="s">
        <v>68</v>
      </c>
      <c r="F1122">
        <v>1</v>
      </c>
      <c r="G1122" t="s">
        <v>1618</v>
      </c>
      <c r="K1122" t="s">
        <v>1625</v>
      </c>
    </row>
    <row r="1123" spans="1:11" x14ac:dyDescent="0.25">
      <c r="A1123" t="s">
        <v>2888</v>
      </c>
      <c r="B1123" t="s">
        <v>1530</v>
      </c>
      <c r="C1123" t="s">
        <v>60</v>
      </c>
      <c r="D1123" t="s">
        <v>156</v>
      </c>
      <c r="E1123" t="s">
        <v>1960</v>
      </c>
      <c r="F1123">
        <v>3</v>
      </c>
      <c r="G1123" t="s">
        <v>1618</v>
      </c>
      <c r="H1123">
        <v>67</v>
      </c>
      <c r="K1123" t="s">
        <v>1622</v>
      </c>
    </row>
    <row r="1124" spans="1:11" x14ac:dyDescent="0.25">
      <c r="A1124" t="s">
        <v>2889</v>
      </c>
      <c r="B1124" t="s">
        <v>1531</v>
      </c>
      <c r="C1124" t="s">
        <v>56</v>
      </c>
      <c r="D1124" t="s">
        <v>153</v>
      </c>
      <c r="E1124" t="s">
        <v>1908</v>
      </c>
      <c r="F1124">
        <v>4</v>
      </c>
      <c r="G1124" t="s">
        <v>1618</v>
      </c>
      <c r="H1124">
        <v>83</v>
      </c>
      <c r="I1124">
        <v>64</v>
      </c>
      <c r="K1124" t="s">
        <v>1635</v>
      </c>
    </row>
    <row r="1125" spans="1:11" x14ac:dyDescent="0.25">
      <c r="A1125" t="s">
        <v>2890</v>
      </c>
      <c r="B1125" t="s">
        <v>1532</v>
      </c>
      <c r="C1125" t="s">
        <v>132</v>
      </c>
      <c r="D1125" t="s">
        <v>153</v>
      </c>
      <c r="E1125" t="s">
        <v>1769</v>
      </c>
      <c r="F1125">
        <v>5</v>
      </c>
      <c r="G1125" t="s">
        <v>1618</v>
      </c>
      <c r="H1125">
        <v>71</v>
      </c>
      <c r="I1125">
        <v>79</v>
      </c>
      <c r="K1125" t="s">
        <v>1659</v>
      </c>
    </row>
    <row r="1126" spans="1:11" x14ac:dyDescent="0.25">
      <c r="A1126" t="s">
        <v>2891</v>
      </c>
      <c r="B1126" t="s">
        <v>1533</v>
      </c>
      <c r="C1126" t="s">
        <v>8</v>
      </c>
      <c r="D1126" t="s">
        <v>160</v>
      </c>
      <c r="E1126" t="s">
        <v>1673</v>
      </c>
      <c r="F1126">
        <v>3</v>
      </c>
      <c r="G1126" t="s">
        <v>1618</v>
      </c>
      <c r="H1126">
        <v>58</v>
      </c>
      <c r="K1126" t="s">
        <v>1622</v>
      </c>
    </row>
    <row r="1127" spans="1:11" x14ac:dyDescent="0.25">
      <c r="A1127" t="s">
        <v>2892</v>
      </c>
      <c r="B1127" t="s">
        <v>1534</v>
      </c>
      <c r="C1127" t="s">
        <v>134</v>
      </c>
      <c r="D1127" t="s">
        <v>150</v>
      </c>
      <c r="E1127" t="s">
        <v>1754</v>
      </c>
      <c r="F1127">
        <v>3</v>
      </c>
      <c r="G1127" t="s">
        <v>1618</v>
      </c>
      <c r="H1127">
        <v>73</v>
      </c>
      <c r="K1127" t="s">
        <v>1622</v>
      </c>
    </row>
    <row r="1128" spans="1:11" x14ac:dyDescent="0.25">
      <c r="A1128" t="s">
        <v>2893</v>
      </c>
      <c r="B1128" t="s">
        <v>1535</v>
      </c>
      <c r="C1128" t="s">
        <v>116</v>
      </c>
      <c r="D1128" t="s">
        <v>158</v>
      </c>
      <c r="E1128" t="s">
        <v>129</v>
      </c>
      <c r="F1128">
        <v>2</v>
      </c>
      <c r="G1128" t="s">
        <v>1618</v>
      </c>
      <c r="K1128" t="s">
        <v>1625</v>
      </c>
    </row>
    <row r="1129" spans="1:11" x14ac:dyDescent="0.25">
      <c r="A1129" t="s">
        <v>2894</v>
      </c>
      <c r="B1129" t="s">
        <v>1536</v>
      </c>
      <c r="C1129" t="s">
        <v>132</v>
      </c>
      <c r="D1129" t="s">
        <v>153</v>
      </c>
      <c r="E1129" t="s">
        <v>2017</v>
      </c>
      <c r="F1129">
        <v>1</v>
      </c>
      <c r="G1129" t="s">
        <v>1618</v>
      </c>
      <c r="K1129" t="s">
        <v>1625</v>
      </c>
    </row>
    <row r="1130" spans="1:11" x14ac:dyDescent="0.25">
      <c r="A1130" t="s">
        <v>2895</v>
      </c>
      <c r="B1130" t="s">
        <v>1537</v>
      </c>
      <c r="C1130" t="s">
        <v>98</v>
      </c>
      <c r="D1130" t="s">
        <v>145</v>
      </c>
      <c r="E1130" t="s">
        <v>2470</v>
      </c>
      <c r="F1130">
        <v>3</v>
      </c>
      <c r="G1130" t="s">
        <v>1618</v>
      </c>
      <c r="H1130">
        <v>56</v>
      </c>
      <c r="K1130" t="s">
        <v>1622</v>
      </c>
    </row>
    <row r="1131" spans="1:11" x14ac:dyDescent="0.25">
      <c r="A1131" t="s">
        <v>2896</v>
      </c>
      <c r="B1131" t="s">
        <v>1538</v>
      </c>
      <c r="C1131" t="s">
        <v>83</v>
      </c>
      <c r="D1131" t="s">
        <v>158</v>
      </c>
      <c r="E1131" t="s">
        <v>1673</v>
      </c>
      <c r="F1131">
        <v>4</v>
      </c>
      <c r="G1131" t="s">
        <v>1618</v>
      </c>
      <c r="H1131">
        <v>71</v>
      </c>
      <c r="I1131">
        <v>64</v>
      </c>
      <c r="K1131" t="s">
        <v>1635</v>
      </c>
    </row>
    <row r="1132" spans="1:11" x14ac:dyDescent="0.25">
      <c r="A1132" t="s">
        <v>2897</v>
      </c>
      <c r="B1132" t="s">
        <v>1539</v>
      </c>
      <c r="C1132" t="s">
        <v>66</v>
      </c>
      <c r="D1132" t="s">
        <v>160</v>
      </c>
      <c r="E1132" t="s">
        <v>1639</v>
      </c>
      <c r="F1132">
        <v>2</v>
      </c>
      <c r="G1132" t="s">
        <v>1618</v>
      </c>
      <c r="K1132" t="s">
        <v>1625</v>
      </c>
    </row>
    <row r="1133" spans="1:11" x14ac:dyDescent="0.25">
      <c r="A1133" t="s">
        <v>2898</v>
      </c>
      <c r="B1133" t="s">
        <v>1540</v>
      </c>
      <c r="C1133" t="s">
        <v>49</v>
      </c>
      <c r="D1133" t="s">
        <v>158</v>
      </c>
      <c r="E1133" t="s">
        <v>1624</v>
      </c>
      <c r="F1133">
        <v>1</v>
      </c>
      <c r="G1133" t="s">
        <v>1618</v>
      </c>
      <c r="K1133" t="s">
        <v>1625</v>
      </c>
    </row>
    <row r="1134" spans="1:11" x14ac:dyDescent="0.25">
      <c r="A1134" t="s">
        <v>2899</v>
      </c>
      <c r="B1134" t="s">
        <v>1541</v>
      </c>
      <c r="C1134" t="s">
        <v>52</v>
      </c>
      <c r="D1134" t="s">
        <v>147</v>
      </c>
      <c r="E1134" t="s">
        <v>72</v>
      </c>
      <c r="F1134">
        <v>4</v>
      </c>
      <c r="G1134" t="s">
        <v>1618</v>
      </c>
      <c r="H1134">
        <v>70</v>
      </c>
      <c r="I1134">
        <v>72</v>
      </c>
      <c r="K1134" t="s">
        <v>1659</v>
      </c>
    </row>
    <row r="1135" spans="1:11" x14ac:dyDescent="0.25">
      <c r="A1135" t="s">
        <v>2900</v>
      </c>
      <c r="B1135" t="s">
        <v>1542</v>
      </c>
      <c r="C1135" t="s">
        <v>121</v>
      </c>
      <c r="D1135" t="s">
        <v>156</v>
      </c>
      <c r="E1135" t="s">
        <v>48</v>
      </c>
      <c r="F1135">
        <v>3</v>
      </c>
      <c r="G1135" t="s">
        <v>1618</v>
      </c>
      <c r="H1135">
        <v>64</v>
      </c>
      <c r="K1135" t="s">
        <v>1622</v>
      </c>
    </row>
    <row r="1136" spans="1:11" x14ac:dyDescent="0.25">
      <c r="A1136" t="s">
        <v>2901</v>
      </c>
      <c r="B1136" t="s">
        <v>1543</v>
      </c>
      <c r="C1136" t="s">
        <v>79</v>
      </c>
      <c r="D1136" t="s">
        <v>150</v>
      </c>
      <c r="E1136" t="s">
        <v>78</v>
      </c>
      <c r="F1136">
        <v>2</v>
      </c>
      <c r="G1136" t="s">
        <v>1618</v>
      </c>
      <c r="K1136" t="s">
        <v>1630</v>
      </c>
    </row>
    <row r="1137" spans="1:11" x14ac:dyDescent="0.25">
      <c r="A1137" t="s">
        <v>2902</v>
      </c>
      <c r="B1137" t="s">
        <v>1544</v>
      </c>
      <c r="C1137" t="s">
        <v>107</v>
      </c>
      <c r="D1137" t="s">
        <v>150</v>
      </c>
      <c r="E1137" t="s">
        <v>1779</v>
      </c>
      <c r="F1137">
        <v>4</v>
      </c>
      <c r="G1137" t="s">
        <v>1618</v>
      </c>
      <c r="H1137">
        <v>77</v>
      </c>
      <c r="I1137">
        <v>95</v>
      </c>
      <c r="K1137" t="s">
        <v>1659</v>
      </c>
    </row>
    <row r="1138" spans="1:11" x14ac:dyDescent="0.25">
      <c r="A1138" t="s">
        <v>2903</v>
      </c>
      <c r="B1138" t="s">
        <v>1545</v>
      </c>
      <c r="C1138" t="s">
        <v>100</v>
      </c>
      <c r="D1138" t="s">
        <v>150</v>
      </c>
      <c r="E1138" t="s">
        <v>1634</v>
      </c>
      <c r="F1138">
        <v>1</v>
      </c>
      <c r="G1138" t="s">
        <v>1618</v>
      </c>
      <c r="K1138" t="s">
        <v>1619</v>
      </c>
    </row>
    <row r="1139" spans="1:11" x14ac:dyDescent="0.25">
      <c r="A1139" t="s">
        <v>2904</v>
      </c>
      <c r="B1139" t="s">
        <v>1546</v>
      </c>
      <c r="C1139" t="s">
        <v>94</v>
      </c>
      <c r="D1139" t="s">
        <v>150</v>
      </c>
      <c r="E1139" t="s">
        <v>1956</v>
      </c>
      <c r="F1139">
        <v>1</v>
      </c>
      <c r="G1139" t="s">
        <v>1618</v>
      </c>
      <c r="K1139" t="s">
        <v>1619</v>
      </c>
    </row>
    <row r="1140" spans="1:11" x14ac:dyDescent="0.25">
      <c r="A1140" t="s">
        <v>2905</v>
      </c>
      <c r="B1140" t="s">
        <v>1547</v>
      </c>
      <c r="C1140" t="s">
        <v>110</v>
      </c>
      <c r="D1140" t="s">
        <v>160</v>
      </c>
      <c r="E1140" t="s">
        <v>1629</v>
      </c>
      <c r="F1140">
        <v>1</v>
      </c>
      <c r="G1140" t="s">
        <v>1618</v>
      </c>
      <c r="K1140" t="s">
        <v>1619</v>
      </c>
    </row>
    <row r="1141" spans="1:11" x14ac:dyDescent="0.25">
      <c r="A1141" t="s">
        <v>2906</v>
      </c>
      <c r="B1141" t="s">
        <v>1548</v>
      </c>
      <c r="C1141" t="s">
        <v>92</v>
      </c>
      <c r="D1141" t="s">
        <v>156</v>
      </c>
      <c r="E1141" t="s">
        <v>1634</v>
      </c>
      <c r="F1141">
        <v>4</v>
      </c>
      <c r="G1141" t="s">
        <v>1618</v>
      </c>
      <c r="H1141">
        <v>76</v>
      </c>
      <c r="I1141">
        <v>68</v>
      </c>
      <c r="K1141" t="s">
        <v>1635</v>
      </c>
    </row>
    <row r="1142" spans="1:11" x14ac:dyDescent="0.25">
      <c r="A1142" t="s">
        <v>2907</v>
      </c>
      <c r="B1142" t="s">
        <v>1549</v>
      </c>
      <c r="C1142" t="s">
        <v>134</v>
      </c>
      <c r="D1142" t="s">
        <v>150</v>
      </c>
      <c r="E1142" t="s">
        <v>1739</v>
      </c>
      <c r="F1142">
        <v>7</v>
      </c>
      <c r="G1142" t="s">
        <v>1692</v>
      </c>
      <c r="H1142">
        <v>78</v>
      </c>
      <c r="I1142">
        <v>76</v>
      </c>
      <c r="J1142">
        <v>21</v>
      </c>
      <c r="K1142" t="s">
        <v>1693</v>
      </c>
    </row>
    <row r="1143" spans="1:11" x14ac:dyDescent="0.25">
      <c r="A1143" t="s">
        <v>2908</v>
      </c>
      <c r="B1143" t="s">
        <v>1550</v>
      </c>
      <c r="C1143" t="s">
        <v>46</v>
      </c>
      <c r="D1143" t="s">
        <v>147</v>
      </c>
      <c r="E1143" t="s">
        <v>1815</v>
      </c>
      <c r="F1143">
        <v>2</v>
      </c>
      <c r="G1143" t="s">
        <v>1618</v>
      </c>
      <c r="K1143" t="s">
        <v>1630</v>
      </c>
    </row>
    <row r="1144" spans="1:11" x14ac:dyDescent="0.25">
      <c r="A1144" t="s">
        <v>2909</v>
      </c>
      <c r="B1144" t="s">
        <v>1551</v>
      </c>
      <c r="C1144" t="s">
        <v>66</v>
      </c>
      <c r="D1144" t="s">
        <v>145</v>
      </c>
      <c r="E1144" t="s">
        <v>1820</v>
      </c>
      <c r="F1144">
        <v>1</v>
      </c>
      <c r="G1144" t="s">
        <v>1618</v>
      </c>
      <c r="K1144" t="s">
        <v>1625</v>
      </c>
    </row>
    <row r="1145" spans="1:11" x14ac:dyDescent="0.25">
      <c r="A1145" t="s">
        <v>2910</v>
      </c>
      <c r="B1145" t="s">
        <v>1552</v>
      </c>
      <c r="C1145" t="s">
        <v>87</v>
      </c>
      <c r="D1145" t="s">
        <v>160</v>
      </c>
      <c r="E1145" t="s">
        <v>2003</v>
      </c>
      <c r="F1145">
        <v>3</v>
      </c>
      <c r="G1145" t="s">
        <v>1618</v>
      </c>
      <c r="H1145">
        <v>89</v>
      </c>
      <c r="K1145" t="s">
        <v>1622</v>
      </c>
    </row>
    <row r="1146" spans="1:11" x14ac:dyDescent="0.25">
      <c r="A1146" t="s">
        <v>2911</v>
      </c>
      <c r="B1146" t="s">
        <v>1553</v>
      </c>
      <c r="C1146" t="s">
        <v>118</v>
      </c>
      <c r="D1146" t="s">
        <v>150</v>
      </c>
      <c r="E1146" t="s">
        <v>1724</v>
      </c>
      <c r="F1146">
        <v>2</v>
      </c>
      <c r="G1146" t="s">
        <v>1618</v>
      </c>
      <c r="K1146" t="s">
        <v>1625</v>
      </c>
    </row>
    <row r="1147" spans="1:11" x14ac:dyDescent="0.25">
      <c r="A1147" t="s">
        <v>2912</v>
      </c>
      <c r="B1147" t="s">
        <v>1554</v>
      </c>
      <c r="C1147" t="s">
        <v>101</v>
      </c>
      <c r="D1147" t="s">
        <v>153</v>
      </c>
      <c r="E1147" t="s">
        <v>1803</v>
      </c>
      <c r="F1147">
        <v>2</v>
      </c>
      <c r="G1147" t="s">
        <v>1618</v>
      </c>
      <c r="K1147" t="s">
        <v>1625</v>
      </c>
    </row>
    <row r="1148" spans="1:11" x14ac:dyDescent="0.25">
      <c r="A1148" t="s">
        <v>2913</v>
      </c>
      <c r="B1148" t="s">
        <v>1555</v>
      </c>
      <c r="C1148" t="s">
        <v>87</v>
      </c>
      <c r="D1148" t="s">
        <v>160</v>
      </c>
      <c r="E1148" t="s">
        <v>1862</v>
      </c>
      <c r="F1148">
        <v>3</v>
      </c>
      <c r="G1148" t="s">
        <v>1618</v>
      </c>
      <c r="H1148">
        <v>67</v>
      </c>
      <c r="K1148" t="s">
        <v>1622</v>
      </c>
    </row>
    <row r="1149" spans="1:11" x14ac:dyDescent="0.25">
      <c r="A1149" t="s">
        <v>2914</v>
      </c>
      <c r="B1149" t="s">
        <v>1556</v>
      </c>
      <c r="C1149" t="s">
        <v>37</v>
      </c>
      <c r="D1149" t="s">
        <v>147</v>
      </c>
      <c r="E1149" t="s">
        <v>1809</v>
      </c>
      <c r="F1149">
        <v>3</v>
      </c>
      <c r="G1149" t="s">
        <v>1618</v>
      </c>
      <c r="H1149">
        <v>79</v>
      </c>
      <c r="K1149" t="s">
        <v>1622</v>
      </c>
    </row>
    <row r="1150" spans="1:11" x14ac:dyDescent="0.25">
      <c r="A1150" t="s">
        <v>2915</v>
      </c>
      <c r="B1150" t="s">
        <v>1557</v>
      </c>
      <c r="C1150" t="s">
        <v>76</v>
      </c>
      <c r="D1150" t="s">
        <v>153</v>
      </c>
      <c r="E1150" t="s">
        <v>1639</v>
      </c>
      <c r="F1150">
        <v>2</v>
      </c>
      <c r="G1150" t="s">
        <v>1618</v>
      </c>
      <c r="K1150" t="s">
        <v>1619</v>
      </c>
    </row>
    <row r="1151" spans="1:11" x14ac:dyDescent="0.25">
      <c r="A1151" t="s">
        <v>2916</v>
      </c>
      <c r="B1151" t="s">
        <v>1558</v>
      </c>
      <c r="C1151" t="s">
        <v>101</v>
      </c>
      <c r="D1151" t="s">
        <v>153</v>
      </c>
      <c r="E1151" t="s">
        <v>72</v>
      </c>
      <c r="F1151">
        <v>1</v>
      </c>
      <c r="G1151" t="s">
        <v>1618</v>
      </c>
      <c r="K1151" t="s">
        <v>1619</v>
      </c>
    </row>
    <row r="1152" spans="1:11" x14ac:dyDescent="0.25">
      <c r="A1152" t="s">
        <v>2917</v>
      </c>
      <c r="B1152" t="s">
        <v>1559</v>
      </c>
      <c r="C1152" t="s">
        <v>127</v>
      </c>
      <c r="D1152" t="s">
        <v>145</v>
      </c>
      <c r="E1152" t="s">
        <v>1820</v>
      </c>
      <c r="F1152">
        <v>3</v>
      </c>
      <c r="G1152" t="s">
        <v>1618</v>
      </c>
      <c r="H1152">
        <v>67</v>
      </c>
      <c r="K1152" t="s">
        <v>1622</v>
      </c>
    </row>
    <row r="1153" spans="1:11" x14ac:dyDescent="0.25">
      <c r="A1153" t="s">
        <v>2918</v>
      </c>
      <c r="B1153" t="s">
        <v>1560</v>
      </c>
      <c r="C1153" t="s">
        <v>130</v>
      </c>
      <c r="D1153" t="s">
        <v>158</v>
      </c>
      <c r="E1153" t="s">
        <v>36</v>
      </c>
      <c r="F1153">
        <v>3</v>
      </c>
      <c r="G1153" t="s">
        <v>1618</v>
      </c>
      <c r="H1153">
        <v>67</v>
      </c>
      <c r="K1153" t="s">
        <v>1622</v>
      </c>
    </row>
    <row r="1154" spans="1:11" x14ac:dyDescent="0.25">
      <c r="A1154" t="s">
        <v>2919</v>
      </c>
      <c r="B1154" t="s">
        <v>1561</v>
      </c>
      <c r="C1154" t="s">
        <v>20</v>
      </c>
      <c r="D1154" t="s">
        <v>158</v>
      </c>
      <c r="E1154" t="s">
        <v>84</v>
      </c>
      <c r="F1154">
        <v>3</v>
      </c>
      <c r="G1154" t="s">
        <v>1618</v>
      </c>
      <c r="H1154">
        <v>52</v>
      </c>
      <c r="K1154" t="s">
        <v>1622</v>
      </c>
    </row>
    <row r="1155" spans="1:11" x14ac:dyDescent="0.25">
      <c r="A1155" t="s">
        <v>2920</v>
      </c>
      <c r="B1155" t="s">
        <v>1562</v>
      </c>
      <c r="C1155" t="s">
        <v>60</v>
      </c>
      <c r="D1155" t="s">
        <v>156</v>
      </c>
      <c r="E1155" t="s">
        <v>111</v>
      </c>
      <c r="F1155">
        <v>4</v>
      </c>
      <c r="G1155" t="s">
        <v>1618</v>
      </c>
      <c r="H1155">
        <v>71</v>
      </c>
      <c r="I1155">
        <v>73</v>
      </c>
      <c r="K1155" t="s">
        <v>1659</v>
      </c>
    </row>
    <row r="1156" spans="1:11" x14ac:dyDescent="0.25">
      <c r="A1156" t="s">
        <v>2921</v>
      </c>
      <c r="B1156" t="s">
        <v>1563</v>
      </c>
      <c r="C1156" t="s">
        <v>127</v>
      </c>
      <c r="D1156" t="s">
        <v>160</v>
      </c>
      <c r="E1156" t="s">
        <v>1678</v>
      </c>
      <c r="F1156">
        <v>3</v>
      </c>
      <c r="G1156" t="s">
        <v>1618</v>
      </c>
      <c r="H1156">
        <v>50</v>
      </c>
      <c r="K1156" t="s">
        <v>1622</v>
      </c>
    </row>
    <row r="1157" spans="1:11" x14ac:dyDescent="0.25">
      <c r="A1157" t="s">
        <v>2922</v>
      </c>
      <c r="B1157" t="s">
        <v>1564</v>
      </c>
      <c r="C1157" t="s">
        <v>85</v>
      </c>
      <c r="D1157" t="s">
        <v>160</v>
      </c>
      <c r="E1157" t="s">
        <v>82</v>
      </c>
      <c r="F1157">
        <v>3</v>
      </c>
      <c r="G1157" t="s">
        <v>1618</v>
      </c>
      <c r="H1157">
        <v>61</v>
      </c>
      <c r="K1157" t="s">
        <v>1622</v>
      </c>
    </row>
    <row r="1158" spans="1:11" x14ac:dyDescent="0.25">
      <c r="A1158" t="s">
        <v>2923</v>
      </c>
      <c r="B1158" t="s">
        <v>1565</v>
      </c>
      <c r="C1158" t="s">
        <v>127</v>
      </c>
      <c r="D1158" t="s">
        <v>160</v>
      </c>
      <c r="E1158" t="s">
        <v>1639</v>
      </c>
      <c r="F1158">
        <v>2</v>
      </c>
      <c r="G1158" t="s">
        <v>1618</v>
      </c>
      <c r="K1158" t="s">
        <v>1619</v>
      </c>
    </row>
    <row r="1159" spans="1:11" x14ac:dyDescent="0.25">
      <c r="A1159" t="s">
        <v>2924</v>
      </c>
      <c r="B1159" t="s">
        <v>1566</v>
      </c>
      <c r="C1159" t="s">
        <v>73</v>
      </c>
      <c r="D1159" t="s">
        <v>153</v>
      </c>
      <c r="E1159" t="s">
        <v>1923</v>
      </c>
      <c r="F1159">
        <v>3</v>
      </c>
      <c r="G1159" t="s">
        <v>1618</v>
      </c>
      <c r="H1159">
        <v>55</v>
      </c>
      <c r="K1159" t="s">
        <v>1622</v>
      </c>
    </row>
    <row r="1160" spans="1:11" x14ac:dyDescent="0.25">
      <c r="A1160" t="s">
        <v>2925</v>
      </c>
      <c r="B1160" t="s">
        <v>1567</v>
      </c>
      <c r="C1160" t="s">
        <v>59</v>
      </c>
      <c r="D1160" t="s">
        <v>160</v>
      </c>
      <c r="E1160" t="s">
        <v>1741</v>
      </c>
      <c r="F1160">
        <v>1</v>
      </c>
      <c r="G1160" t="s">
        <v>1618</v>
      </c>
      <c r="K1160" t="s">
        <v>1625</v>
      </c>
    </row>
    <row r="1161" spans="1:11" x14ac:dyDescent="0.25">
      <c r="A1161" t="s">
        <v>2926</v>
      </c>
      <c r="B1161" t="s">
        <v>1568</v>
      </c>
      <c r="C1161" t="s">
        <v>118</v>
      </c>
      <c r="D1161" t="s">
        <v>150</v>
      </c>
      <c r="E1161" t="s">
        <v>1627</v>
      </c>
      <c r="F1161">
        <v>3</v>
      </c>
      <c r="G1161" t="s">
        <v>1618</v>
      </c>
      <c r="H1161">
        <v>87</v>
      </c>
      <c r="K1161" t="s">
        <v>1622</v>
      </c>
    </row>
    <row r="1162" spans="1:11" x14ac:dyDescent="0.25">
      <c r="A1162" t="s">
        <v>2927</v>
      </c>
      <c r="B1162" t="s">
        <v>1569</v>
      </c>
      <c r="C1162" t="s">
        <v>100</v>
      </c>
      <c r="D1162" t="s">
        <v>150</v>
      </c>
      <c r="E1162" t="s">
        <v>89</v>
      </c>
      <c r="F1162">
        <v>5</v>
      </c>
      <c r="G1162" t="s">
        <v>1618</v>
      </c>
      <c r="H1162">
        <v>72</v>
      </c>
      <c r="I1162">
        <v>87</v>
      </c>
      <c r="K1162" t="s">
        <v>1635</v>
      </c>
    </row>
    <row r="1163" spans="1:11" x14ac:dyDescent="0.25">
      <c r="A1163" t="s">
        <v>2928</v>
      </c>
      <c r="B1163" t="s">
        <v>1570</v>
      </c>
      <c r="C1163" t="s">
        <v>94</v>
      </c>
      <c r="D1163" t="s">
        <v>150</v>
      </c>
      <c r="E1163" t="s">
        <v>1634</v>
      </c>
      <c r="F1163">
        <v>4</v>
      </c>
      <c r="G1163" t="s">
        <v>1618</v>
      </c>
      <c r="H1163">
        <v>73</v>
      </c>
      <c r="I1163">
        <v>88</v>
      </c>
      <c r="K1163" t="s">
        <v>1635</v>
      </c>
    </row>
    <row r="1164" spans="1:11" x14ac:dyDescent="0.25">
      <c r="A1164" t="s">
        <v>2929</v>
      </c>
      <c r="B1164" t="s">
        <v>1571</v>
      </c>
      <c r="C1164" t="s">
        <v>127</v>
      </c>
      <c r="D1164" t="s">
        <v>160</v>
      </c>
      <c r="E1164" t="s">
        <v>1657</v>
      </c>
      <c r="F1164">
        <v>2</v>
      </c>
      <c r="G1164" t="s">
        <v>1618</v>
      </c>
      <c r="K1164" t="s">
        <v>1630</v>
      </c>
    </row>
    <row r="1165" spans="1:11" x14ac:dyDescent="0.25">
      <c r="A1165" t="s">
        <v>2930</v>
      </c>
      <c r="B1165" t="s">
        <v>1572</v>
      </c>
      <c r="C1165" t="s">
        <v>34</v>
      </c>
      <c r="D1165" t="s">
        <v>160</v>
      </c>
      <c r="E1165" t="s">
        <v>1676</v>
      </c>
      <c r="F1165">
        <v>4</v>
      </c>
      <c r="G1165" t="s">
        <v>1618</v>
      </c>
      <c r="H1165">
        <v>72</v>
      </c>
      <c r="I1165">
        <v>86</v>
      </c>
      <c r="K1165" t="s">
        <v>1635</v>
      </c>
    </row>
    <row r="1166" spans="1:11" x14ac:dyDescent="0.25">
      <c r="A1166" t="s">
        <v>2931</v>
      </c>
      <c r="B1166" t="s">
        <v>1573</v>
      </c>
      <c r="C1166" t="s">
        <v>60</v>
      </c>
      <c r="D1166" t="s">
        <v>156</v>
      </c>
      <c r="E1166" t="s">
        <v>1643</v>
      </c>
      <c r="F1166">
        <v>2</v>
      </c>
      <c r="G1166" t="s">
        <v>1618</v>
      </c>
      <c r="K1166" t="s">
        <v>1625</v>
      </c>
    </row>
    <row r="1167" spans="1:11" x14ac:dyDescent="0.25">
      <c r="A1167" t="s">
        <v>2932</v>
      </c>
      <c r="B1167" t="s">
        <v>1574</v>
      </c>
      <c r="C1167" t="s">
        <v>71</v>
      </c>
      <c r="D1167" t="s">
        <v>142</v>
      </c>
      <c r="E1167" t="s">
        <v>1951</v>
      </c>
      <c r="F1167">
        <v>2</v>
      </c>
      <c r="G1167" t="s">
        <v>1618</v>
      </c>
      <c r="K1167" t="s">
        <v>1619</v>
      </c>
    </row>
    <row r="1168" spans="1:11" x14ac:dyDescent="0.25">
      <c r="A1168" t="s">
        <v>2933</v>
      </c>
      <c r="B1168" t="s">
        <v>1575</v>
      </c>
      <c r="C1168" t="s">
        <v>94</v>
      </c>
      <c r="D1168" t="s">
        <v>150</v>
      </c>
      <c r="E1168" t="s">
        <v>1781</v>
      </c>
      <c r="F1168">
        <v>2</v>
      </c>
      <c r="G1168" t="s">
        <v>1618</v>
      </c>
      <c r="K1168" t="s">
        <v>1625</v>
      </c>
    </row>
    <row r="1169" spans="1:11" x14ac:dyDescent="0.25">
      <c r="A1169" t="s">
        <v>2934</v>
      </c>
      <c r="B1169" t="s">
        <v>1576</v>
      </c>
      <c r="C1169" t="s">
        <v>92</v>
      </c>
      <c r="D1169" t="s">
        <v>156</v>
      </c>
      <c r="E1169" t="s">
        <v>1953</v>
      </c>
      <c r="F1169">
        <v>4</v>
      </c>
      <c r="G1169" t="s">
        <v>1618</v>
      </c>
      <c r="H1169">
        <v>82</v>
      </c>
      <c r="I1169">
        <v>78</v>
      </c>
      <c r="K1169" t="s">
        <v>1635</v>
      </c>
    </row>
    <row r="1170" spans="1:11" x14ac:dyDescent="0.25">
      <c r="A1170" t="s">
        <v>2935</v>
      </c>
      <c r="B1170" t="s">
        <v>1577</v>
      </c>
      <c r="C1170" t="s">
        <v>56</v>
      </c>
      <c r="D1170" t="s">
        <v>153</v>
      </c>
      <c r="E1170" t="s">
        <v>1787</v>
      </c>
      <c r="F1170">
        <v>6</v>
      </c>
      <c r="G1170" t="s">
        <v>1746</v>
      </c>
      <c r="H1170">
        <v>82</v>
      </c>
      <c r="I1170">
        <v>87</v>
      </c>
      <c r="K1170" t="s">
        <v>1747</v>
      </c>
    </row>
    <row r="1171" spans="1:11" x14ac:dyDescent="0.25">
      <c r="A1171" t="s">
        <v>2936</v>
      </c>
      <c r="B1171" t="s">
        <v>1578</v>
      </c>
      <c r="C1171" t="s">
        <v>130</v>
      </c>
      <c r="D1171" t="s">
        <v>158</v>
      </c>
      <c r="E1171" t="s">
        <v>1809</v>
      </c>
      <c r="F1171">
        <v>2</v>
      </c>
      <c r="G1171" t="s">
        <v>1618</v>
      </c>
      <c r="K1171" t="s">
        <v>1625</v>
      </c>
    </row>
    <row r="1172" spans="1:11" x14ac:dyDescent="0.25">
      <c r="A1172" t="s">
        <v>2937</v>
      </c>
      <c r="B1172" t="s">
        <v>1579</v>
      </c>
      <c r="C1172" t="s">
        <v>121</v>
      </c>
      <c r="D1172" t="s">
        <v>156</v>
      </c>
      <c r="E1172" t="s">
        <v>1645</v>
      </c>
      <c r="F1172">
        <v>1</v>
      </c>
      <c r="G1172" t="s">
        <v>1618</v>
      </c>
      <c r="K1172" t="s">
        <v>1625</v>
      </c>
    </row>
    <row r="1173" spans="1:11" x14ac:dyDescent="0.25">
      <c r="A1173" t="s">
        <v>2938</v>
      </c>
      <c r="B1173" t="s">
        <v>1580</v>
      </c>
      <c r="C1173" t="s">
        <v>39</v>
      </c>
      <c r="D1173" t="s">
        <v>160</v>
      </c>
      <c r="E1173" t="s">
        <v>126</v>
      </c>
      <c r="F1173">
        <v>4</v>
      </c>
      <c r="G1173" t="s">
        <v>1618</v>
      </c>
      <c r="H1173">
        <v>81</v>
      </c>
      <c r="I1173">
        <v>73</v>
      </c>
      <c r="K1173" t="s">
        <v>1635</v>
      </c>
    </row>
    <row r="1174" spans="1:11" x14ac:dyDescent="0.25">
      <c r="A1174" t="s">
        <v>2939</v>
      </c>
      <c r="B1174" t="s">
        <v>1581</v>
      </c>
      <c r="C1174" t="s">
        <v>87</v>
      </c>
      <c r="D1174" t="s">
        <v>160</v>
      </c>
      <c r="E1174" t="s">
        <v>1960</v>
      </c>
      <c r="F1174">
        <v>3</v>
      </c>
      <c r="G1174" t="s">
        <v>1618</v>
      </c>
      <c r="H1174">
        <v>87</v>
      </c>
      <c r="K1174" t="s">
        <v>1622</v>
      </c>
    </row>
    <row r="1175" spans="1:11" x14ac:dyDescent="0.25">
      <c r="A1175" t="s">
        <v>2940</v>
      </c>
      <c r="B1175" t="s">
        <v>1582</v>
      </c>
      <c r="C1175" t="s">
        <v>71</v>
      </c>
      <c r="D1175" t="s">
        <v>142</v>
      </c>
      <c r="E1175" t="s">
        <v>1785</v>
      </c>
      <c r="F1175">
        <v>2</v>
      </c>
      <c r="G1175" t="s">
        <v>1618</v>
      </c>
      <c r="K1175" t="s">
        <v>1625</v>
      </c>
    </row>
    <row r="1176" spans="1:11" x14ac:dyDescent="0.25">
      <c r="A1176" t="s">
        <v>2941</v>
      </c>
      <c r="B1176" t="s">
        <v>1583</v>
      </c>
      <c r="C1176" t="s">
        <v>130</v>
      </c>
      <c r="D1176" t="s">
        <v>158</v>
      </c>
      <c r="E1176" t="s">
        <v>2217</v>
      </c>
      <c r="F1176">
        <v>3</v>
      </c>
      <c r="G1176" t="s">
        <v>1618</v>
      </c>
      <c r="H1176">
        <v>61</v>
      </c>
      <c r="K1176" t="s">
        <v>1622</v>
      </c>
    </row>
    <row r="1177" spans="1:11" x14ac:dyDescent="0.25">
      <c r="A1177" t="s">
        <v>2942</v>
      </c>
      <c r="B1177" t="s">
        <v>1584</v>
      </c>
      <c r="C1177" t="s">
        <v>83</v>
      </c>
      <c r="D1177" t="s">
        <v>142</v>
      </c>
      <c r="E1177" t="s">
        <v>1809</v>
      </c>
      <c r="F1177">
        <v>7</v>
      </c>
      <c r="G1177" t="s">
        <v>1692</v>
      </c>
      <c r="H1177">
        <v>82</v>
      </c>
      <c r="I1177">
        <v>88</v>
      </c>
      <c r="J1177">
        <v>17</v>
      </c>
      <c r="K1177" t="s">
        <v>1693</v>
      </c>
    </row>
    <row r="1178" spans="1:11" x14ac:dyDescent="0.25">
      <c r="A1178" t="s">
        <v>2943</v>
      </c>
      <c r="B1178" t="s">
        <v>1585</v>
      </c>
      <c r="C1178" t="s">
        <v>69</v>
      </c>
      <c r="D1178" t="s">
        <v>142</v>
      </c>
      <c r="E1178" t="s">
        <v>2038</v>
      </c>
      <c r="F1178">
        <v>7</v>
      </c>
      <c r="G1178" t="s">
        <v>1692</v>
      </c>
      <c r="H1178">
        <v>87</v>
      </c>
      <c r="I1178">
        <v>82</v>
      </c>
      <c r="J1178">
        <v>26</v>
      </c>
      <c r="K1178" t="s">
        <v>1693</v>
      </c>
    </row>
    <row r="1179" spans="1:11" x14ac:dyDescent="0.25">
      <c r="A1179" t="s">
        <v>2944</v>
      </c>
      <c r="B1179" t="s">
        <v>1586</v>
      </c>
      <c r="C1179" t="s">
        <v>98</v>
      </c>
      <c r="D1179" t="s">
        <v>145</v>
      </c>
      <c r="E1179" t="s">
        <v>33</v>
      </c>
      <c r="F1179">
        <v>7</v>
      </c>
      <c r="G1179" t="s">
        <v>1692</v>
      </c>
      <c r="H1179">
        <v>68</v>
      </c>
      <c r="I1179">
        <v>78</v>
      </c>
      <c r="J1179">
        <v>20</v>
      </c>
      <c r="K1179" t="s">
        <v>1693</v>
      </c>
    </row>
    <row r="1180" spans="1:11" x14ac:dyDescent="0.25">
      <c r="A1180" t="s">
        <v>2945</v>
      </c>
      <c r="B1180" t="s">
        <v>1587</v>
      </c>
      <c r="C1180" t="s">
        <v>112</v>
      </c>
      <c r="D1180" t="s">
        <v>150</v>
      </c>
      <c r="E1180" t="s">
        <v>1713</v>
      </c>
      <c r="F1180">
        <v>2</v>
      </c>
      <c r="G1180" t="s">
        <v>1618</v>
      </c>
      <c r="K1180" t="s">
        <v>1619</v>
      </c>
    </row>
    <row r="1181" spans="1:11" x14ac:dyDescent="0.25">
      <c r="A1181" t="s">
        <v>2946</v>
      </c>
      <c r="B1181" t="s">
        <v>1588</v>
      </c>
      <c r="C1181" t="s">
        <v>39</v>
      </c>
      <c r="D1181" t="s">
        <v>145</v>
      </c>
      <c r="E1181" t="s">
        <v>2106</v>
      </c>
      <c r="F1181">
        <v>3</v>
      </c>
      <c r="G1181" t="s">
        <v>1618</v>
      </c>
      <c r="H1181">
        <v>53</v>
      </c>
      <c r="K1181" t="s">
        <v>1622</v>
      </c>
    </row>
    <row r="1182" spans="1:11" x14ac:dyDescent="0.25">
      <c r="A1182" t="s">
        <v>2947</v>
      </c>
      <c r="B1182" t="s">
        <v>1589</v>
      </c>
      <c r="C1182" t="s">
        <v>43</v>
      </c>
      <c r="D1182" t="s">
        <v>158</v>
      </c>
      <c r="E1182" t="s">
        <v>38</v>
      </c>
      <c r="F1182">
        <v>2</v>
      </c>
      <c r="G1182" t="s">
        <v>1618</v>
      </c>
      <c r="K1182" t="s">
        <v>1619</v>
      </c>
    </row>
    <row r="1183" spans="1:11" x14ac:dyDescent="0.25">
      <c r="A1183" t="s">
        <v>2948</v>
      </c>
      <c r="B1183" t="s">
        <v>1590</v>
      </c>
      <c r="C1183" t="s">
        <v>60</v>
      </c>
      <c r="D1183" t="s">
        <v>156</v>
      </c>
      <c r="E1183" t="s">
        <v>2032</v>
      </c>
      <c r="F1183">
        <v>4</v>
      </c>
      <c r="G1183" t="s">
        <v>1618</v>
      </c>
      <c r="H1183">
        <v>89</v>
      </c>
      <c r="I1183">
        <v>85</v>
      </c>
      <c r="K1183" t="s">
        <v>1635</v>
      </c>
    </row>
    <row r="1184" spans="1:11" x14ac:dyDescent="0.25">
      <c r="A1184" t="s">
        <v>2949</v>
      </c>
      <c r="B1184" t="s">
        <v>1591</v>
      </c>
      <c r="C1184" t="s">
        <v>97</v>
      </c>
      <c r="D1184" t="s">
        <v>142</v>
      </c>
      <c r="E1184" t="s">
        <v>106</v>
      </c>
      <c r="F1184">
        <v>5</v>
      </c>
      <c r="G1184" t="s">
        <v>1618</v>
      </c>
      <c r="H1184">
        <v>68</v>
      </c>
      <c r="I1184">
        <v>90</v>
      </c>
      <c r="K1184" t="s">
        <v>1635</v>
      </c>
    </row>
    <row r="1185" spans="1:11" x14ac:dyDescent="0.25">
      <c r="A1185" t="s">
        <v>2950</v>
      </c>
      <c r="B1185" t="s">
        <v>1592</v>
      </c>
      <c r="C1185" t="s">
        <v>136</v>
      </c>
      <c r="D1185" t="s">
        <v>158</v>
      </c>
      <c r="E1185" t="s">
        <v>1637</v>
      </c>
      <c r="F1185">
        <v>2</v>
      </c>
      <c r="G1185" t="s">
        <v>1618</v>
      </c>
      <c r="K1185" t="s">
        <v>1625</v>
      </c>
    </row>
    <row r="1186" spans="1:11" x14ac:dyDescent="0.25">
      <c r="A1186" t="s">
        <v>2951</v>
      </c>
      <c r="B1186" t="s">
        <v>1593</v>
      </c>
      <c r="C1186" t="s">
        <v>23</v>
      </c>
      <c r="D1186" t="s">
        <v>145</v>
      </c>
      <c r="E1186" t="s">
        <v>1908</v>
      </c>
      <c r="F1186">
        <v>2</v>
      </c>
      <c r="G1186" t="s">
        <v>1618</v>
      </c>
      <c r="K1186" t="s">
        <v>1619</v>
      </c>
    </row>
    <row r="1187" spans="1:11" x14ac:dyDescent="0.25">
      <c r="A1187" t="s">
        <v>2952</v>
      </c>
      <c r="B1187" t="s">
        <v>1594</v>
      </c>
      <c r="C1187" t="s">
        <v>98</v>
      </c>
      <c r="D1187" t="s">
        <v>145</v>
      </c>
      <c r="E1187" t="s">
        <v>1707</v>
      </c>
      <c r="F1187">
        <v>3</v>
      </c>
      <c r="G1187" t="s">
        <v>1618</v>
      </c>
      <c r="H1187">
        <v>61</v>
      </c>
      <c r="K1187" t="s">
        <v>1622</v>
      </c>
    </row>
    <row r="1188" spans="1:11" x14ac:dyDescent="0.25">
      <c r="A1188" t="s">
        <v>2953</v>
      </c>
      <c r="B1188" t="s">
        <v>1595</v>
      </c>
      <c r="C1188" t="s">
        <v>43</v>
      </c>
      <c r="D1188" t="s">
        <v>142</v>
      </c>
      <c r="E1188" t="s">
        <v>1739</v>
      </c>
      <c r="F1188">
        <v>2</v>
      </c>
      <c r="G1188" t="s">
        <v>1618</v>
      </c>
      <c r="K1188" t="s">
        <v>1625</v>
      </c>
    </row>
    <row r="1189" spans="1:11" x14ac:dyDescent="0.25">
      <c r="A1189" t="s">
        <v>2954</v>
      </c>
      <c r="B1189" t="s">
        <v>1596</v>
      </c>
      <c r="C1189" t="s">
        <v>125</v>
      </c>
      <c r="D1189" t="s">
        <v>153</v>
      </c>
      <c r="E1189" t="s">
        <v>30</v>
      </c>
      <c r="F1189">
        <v>1</v>
      </c>
      <c r="G1189" t="s">
        <v>1618</v>
      </c>
      <c r="K1189" t="s">
        <v>1630</v>
      </c>
    </row>
    <row r="1190" spans="1:11" x14ac:dyDescent="0.25">
      <c r="A1190" t="s">
        <v>2955</v>
      </c>
      <c r="B1190" t="s">
        <v>1597</v>
      </c>
      <c r="C1190" t="s">
        <v>8</v>
      </c>
      <c r="D1190" t="s">
        <v>145</v>
      </c>
      <c r="E1190" t="s">
        <v>1891</v>
      </c>
      <c r="F1190">
        <v>3</v>
      </c>
      <c r="G1190" t="s">
        <v>1618</v>
      </c>
      <c r="H1190">
        <v>51</v>
      </c>
      <c r="K1190" t="s">
        <v>1622</v>
      </c>
    </row>
    <row r="1191" spans="1:11" x14ac:dyDescent="0.25">
      <c r="A1191" t="s">
        <v>2956</v>
      </c>
      <c r="B1191" t="s">
        <v>1598</v>
      </c>
      <c r="C1191" t="s">
        <v>20</v>
      </c>
      <c r="D1191" t="s">
        <v>158</v>
      </c>
      <c r="E1191" t="s">
        <v>131</v>
      </c>
      <c r="F1191">
        <v>2</v>
      </c>
      <c r="G1191" t="s">
        <v>1618</v>
      </c>
      <c r="K1191" t="s">
        <v>1630</v>
      </c>
    </row>
    <row r="1192" spans="1:11" x14ac:dyDescent="0.25">
      <c r="A1192" t="s">
        <v>2957</v>
      </c>
      <c r="B1192" t="s">
        <v>1599</v>
      </c>
      <c r="C1192" t="s">
        <v>34</v>
      </c>
      <c r="D1192" t="s">
        <v>145</v>
      </c>
      <c r="E1192" t="s">
        <v>1685</v>
      </c>
      <c r="F1192">
        <v>1</v>
      </c>
      <c r="G1192" t="s">
        <v>1618</v>
      </c>
      <c r="K1192" t="s">
        <v>1625</v>
      </c>
    </row>
    <row r="1193" spans="1:11" x14ac:dyDescent="0.25">
      <c r="A1193" t="s">
        <v>2958</v>
      </c>
      <c r="B1193" t="s">
        <v>1600</v>
      </c>
      <c r="C1193" t="s">
        <v>66</v>
      </c>
      <c r="D1193" t="s">
        <v>145</v>
      </c>
      <c r="E1193" t="s">
        <v>1953</v>
      </c>
      <c r="F1193">
        <v>1</v>
      </c>
      <c r="G1193" t="s">
        <v>1618</v>
      </c>
      <c r="K1193" t="s">
        <v>1625</v>
      </c>
    </row>
    <row r="1194" spans="1:11" x14ac:dyDescent="0.25">
      <c r="A1194" t="s">
        <v>2959</v>
      </c>
      <c r="B1194" t="s">
        <v>1601</v>
      </c>
      <c r="C1194" t="s">
        <v>105</v>
      </c>
      <c r="D1194" t="s">
        <v>158</v>
      </c>
      <c r="E1194" t="s">
        <v>1812</v>
      </c>
      <c r="F1194">
        <v>5</v>
      </c>
      <c r="G1194" t="s">
        <v>1618</v>
      </c>
      <c r="H1194">
        <v>83</v>
      </c>
      <c r="I1194">
        <v>78</v>
      </c>
      <c r="K1194" t="s">
        <v>1659</v>
      </c>
    </row>
    <row r="1195" spans="1:11" x14ac:dyDescent="0.25">
      <c r="A1195" t="s">
        <v>2960</v>
      </c>
      <c r="B1195" t="s">
        <v>1602</v>
      </c>
      <c r="C1195" t="s">
        <v>132</v>
      </c>
      <c r="D1195" t="s">
        <v>153</v>
      </c>
      <c r="E1195" t="s">
        <v>2038</v>
      </c>
      <c r="F1195">
        <v>3</v>
      </c>
      <c r="G1195" t="s">
        <v>1618</v>
      </c>
      <c r="H1195">
        <v>67</v>
      </c>
      <c r="K1195" t="s">
        <v>1622</v>
      </c>
    </row>
    <row r="1196" spans="1:11" x14ac:dyDescent="0.25">
      <c r="A1196" t="s">
        <v>2961</v>
      </c>
      <c r="B1196" t="s">
        <v>1603</v>
      </c>
      <c r="C1196" t="s">
        <v>100</v>
      </c>
      <c r="D1196" t="s">
        <v>150</v>
      </c>
      <c r="E1196" t="s">
        <v>1634</v>
      </c>
      <c r="F1196">
        <v>4</v>
      </c>
      <c r="G1196" t="s">
        <v>1618</v>
      </c>
      <c r="H1196">
        <v>78</v>
      </c>
      <c r="I1196">
        <v>73</v>
      </c>
      <c r="K1196" t="s">
        <v>1635</v>
      </c>
    </row>
    <row r="1197" spans="1:11" x14ac:dyDescent="0.25">
      <c r="A1197" t="s">
        <v>2962</v>
      </c>
      <c r="B1197" t="s">
        <v>1604</v>
      </c>
      <c r="C1197" t="s">
        <v>128</v>
      </c>
      <c r="D1197" t="s">
        <v>158</v>
      </c>
      <c r="E1197" t="s">
        <v>126</v>
      </c>
      <c r="F1197">
        <v>1</v>
      </c>
      <c r="G1197" t="s">
        <v>1618</v>
      </c>
      <c r="K1197" t="s">
        <v>1619</v>
      </c>
    </row>
    <row r="1198" spans="1:11" x14ac:dyDescent="0.25">
      <c r="A1198" t="s">
        <v>2963</v>
      </c>
      <c r="B1198" t="s">
        <v>1605</v>
      </c>
      <c r="C1198" t="s">
        <v>31</v>
      </c>
      <c r="D1198" t="s">
        <v>160</v>
      </c>
      <c r="E1198" t="s">
        <v>1704</v>
      </c>
      <c r="F1198">
        <v>3</v>
      </c>
      <c r="G1198" t="s">
        <v>1618</v>
      </c>
      <c r="H1198">
        <v>51</v>
      </c>
      <c r="K1198" t="s">
        <v>1622</v>
      </c>
    </row>
    <row r="1199" spans="1:11" x14ac:dyDescent="0.25">
      <c r="A1199" t="s">
        <v>2964</v>
      </c>
      <c r="B1199" t="s">
        <v>1606</v>
      </c>
      <c r="C1199" t="s">
        <v>49</v>
      </c>
      <c r="D1199" t="s">
        <v>158</v>
      </c>
      <c r="E1199" t="s">
        <v>1639</v>
      </c>
      <c r="F1199">
        <v>1</v>
      </c>
      <c r="G1199" t="s">
        <v>1618</v>
      </c>
      <c r="K1199" t="s">
        <v>1619</v>
      </c>
    </row>
    <row r="1200" spans="1:11" x14ac:dyDescent="0.25">
      <c r="A1200" t="s">
        <v>2965</v>
      </c>
      <c r="B1200" t="s">
        <v>1607</v>
      </c>
      <c r="C1200" t="s">
        <v>134</v>
      </c>
      <c r="D1200" t="s">
        <v>150</v>
      </c>
      <c r="E1200" t="s">
        <v>137</v>
      </c>
      <c r="F1200">
        <v>3</v>
      </c>
      <c r="G1200" t="s">
        <v>1618</v>
      </c>
      <c r="H1200">
        <v>56</v>
      </c>
      <c r="K1200" t="s">
        <v>1622</v>
      </c>
    </row>
    <row r="1201" spans="1:11" x14ac:dyDescent="0.25">
      <c r="A1201" t="s">
        <v>2966</v>
      </c>
      <c r="B1201" t="s">
        <v>1608</v>
      </c>
      <c r="C1201" t="s">
        <v>71</v>
      </c>
      <c r="D1201" t="s">
        <v>142</v>
      </c>
      <c r="E1201" t="s">
        <v>2071</v>
      </c>
      <c r="F1201">
        <v>3</v>
      </c>
      <c r="G1201" t="s">
        <v>1618</v>
      </c>
      <c r="H1201">
        <v>67</v>
      </c>
      <c r="K1201" t="s">
        <v>1622</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160"/>
  <sheetViews>
    <sheetView workbookViewId="0">
      <selection activeCell="I27" sqref="I27"/>
    </sheetView>
  </sheetViews>
  <sheetFormatPr defaultRowHeight="15" x14ac:dyDescent="0.25"/>
  <cols>
    <col min="1" max="1" width="15.140625" customWidth="1"/>
    <col min="2" max="2" width="14" customWidth="1"/>
    <col min="4" max="4" width="9.85546875" customWidth="1"/>
    <col min="5" max="5" width="18.85546875" customWidth="1"/>
    <col min="6" max="6" width="14.42578125" customWidth="1"/>
  </cols>
  <sheetData>
    <row r="1" spans="1:6" x14ac:dyDescent="0.25">
      <c r="A1" t="s">
        <v>1609</v>
      </c>
      <c r="B1" t="s">
        <v>172</v>
      </c>
      <c r="C1" t="s">
        <v>0</v>
      </c>
      <c r="D1" t="s">
        <v>162</v>
      </c>
      <c r="E1" t="s">
        <v>2967</v>
      </c>
      <c r="F1" t="s">
        <v>2968</v>
      </c>
    </row>
    <row r="2" spans="1:6" x14ac:dyDescent="0.25">
      <c r="A2" t="s">
        <v>1617</v>
      </c>
      <c r="B2" t="s">
        <v>177</v>
      </c>
      <c r="C2" t="s">
        <v>85</v>
      </c>
      <c r="D2">
        <v>1</v>
      </c>
      <c r="E2" t="s">
        <v>82</v>
      </c>
      <c r="F2" t="s">
        <v>2969</v>
      </c>
    </row>
    <row r="3" spans="1:6" x14ac:dyDescent="0.25">
      <c r="A3" t="s">
        <v>1617</v>
      </c>
      <c r="B3" t="s">
        <v>177</v>
      </c>
      <c r="C3" t="s">
        <v>85</v>
      </c>
      <c r="D3">
        <v>2</v>
      </c>
      <c r="E3" t="s">
        <v>1709</v>
      </c>
      <c r="F3" t="s">
        <v>2969</v>
      </c>
    </row>
    <row r="4" spans="1:6" x14ac:dyDescent="0.25">
      <c r="A4" t="s">
        <v>1620</v>
      </c>
      <c r="B4" t="s">
        <v>181</v>
      </c>
      <c r="C4" t="s">
        <v>94</v>
      </c>
      <c r="D4">
        <v>1</v>
      </c>
      <c r="E4" t="s">
        <v>1621</v>
      </c>
      <c r="F4" t="s">
        <v>2969</v>
      </c>
    </row>
    <row r="5" spans="1:6" x14ac:dyDescent="0.25">
      <c r="A5" t="s">
        <v>1620</v>
      </c>
      <c r="B5" t="s">
        <v>181</v>
      </c>
      <c r="C5" t="s">
        <v>94</v>
      </c>
      <c r="D5">
        <v>2</v>
      </c>
      <c r="E5" t="s">
        <v>2003</v>
      </c>
      <c r="F5" t="s">
        <v>2969</v>
      </c>
    </row>
    <row r="6" spans="1:6" x14ac:dyDescent="0.25">
      <c r="A6" t="s">
        <v>1620</v>
      </c>
      <c r="B6" t="s">
        <v>181</v>
      </c>
      <c r="C6" t="s">
        <v>94</v>
      </c>
      <c r="D6">
        <v>3</v>
      </c>
      <c r="E6" t="s">
        <v>1923</v>
      </c>
      <c r="F6" t="s">
        <v>2969</v>
      </c>
    </row>
    <row r="7" spans="1:6" x14ac:dyDescent="0.25">
      <c r="A7" t="s">
        <v>1623</v>
      </c>
      <c r="B7" t="s">
        <v>184</v>
      </c>
      <c r="C7" t="s">
        <v>87</v>
      </c>
      <c r="D7">
        <v>1</v>
      </c>
      <c r="E7" t="s">
        <v>1624</v>
      </c>
      <c r="F7" t="s">
        <v>2969</v>
      </c>
    </row>
    <row r="8" spans="1:6" x14ac:dyDescent="0.25">
      <c r="A8" t="s">
        <v>1626</v>
      </c>
      <c r="B8" t="s">
        <v>186</v>
      </c>
      <c r="C8" t="s">
        <v>125</v>
      </c>
      <c r="D8">
        <v>1</v>
      </c>
      <c r="E8" t="s">
        <v>1627</v>
      </c>
      <c r="F8" t="s">
        <v>2969</v>
      </c>
    </row>
    <row r="9" spans="1:6" x14ac:dyDescent="0.25">
      <c r="A9" t="s">
        <v>1626</v>
      </c>
      <c r="B9" t="s">
        <v>186</v>
      </c>
      <c r="C9" t="s">
        <v>125</v>
      </c>
      <c r="D9">
        <v>2</v>
      </c>
      <c r="E9" t="s">
        <v>1948</v>
      </c>
      <c r="F9" t="s">
        <v>2969</v>
      </c>
    </row>
    <row r="10" spans="1:6" x14ac:dyDescent="0.25">
      <c r="A10" t="s">
        <v>1628</v>
      </c>
      <c r="B10" t="s">
        <v>189</v>
      </c>
      <c r="C10" t="s">
        <v>103</v>
      </c>
      <c r="D10">
        <v>1</v>
      </c>
      <c r="E10" t="s">
        <v>1629</v>
      </c>
      <c r="F10" t="s">
        <v>2969</v>
      </c>
    </row>
    <row r="11" spans="1:6" x14ac:dyDescent="0.25">
      <c r="A11" t="s">
        <v>1631</v>
      </c>
      <c r="B11" t="s">
        <v>192</v>
      </c>
      <c r="C11" t="s">
        <v>23</v>
      </c>
      <c r="D11">
        <v>1</v>
      </c>
      <c r="E11" t="s">
        <v>1632</v>
      </c>
      <c r="F11" t="s">
        <v>2969</v>
      </c>
    </row>
    <row r="12" spans="1:6" x14ac:dyDescent="0.25">
      <c r="A12" t="s">
        <v>1631</v>
      </c>
      <c r="B12" t="s">
        <v>192</v>
      </c>
      <c r="C12" t="s">
        <v>23</v>
      </c>
      <c r="D12">
        <v>2</v>
      </c>
      <c r="E12" t="s">
        <v>1795</v>
      </c>
      <c r="F12" t="s">
        <v>2969</v>
      </c>
    </row>
    <row r="13" spans="1:6" x14ac:dyDescent="0.25">
      <c r="A13" t="s">
        <v>1633</v>
      </c>
      <c r="B13" t="s">
        <v>194</v>
      </c>
      <c r="C13" t="s">
        <v>60</v>
      </c>
      <c r="D13">
        <v>1</v>
      </c>
      <c r="E13" t="s">
        <v>1634</v>
      </c>
      <c r="F13" t="s">
        <v>2969</v>
      </c>
    </row>
    <row r="14" spans="1:6" x14ac:dyDescent="0.25">
      <c r="A14" t="s">
        <v>1633</v>
      </c>
      <c r="B14" t="s">
        <v>194</v>
      </c>
      <c r="C14" t="s">
        <v>60</v>
      </c>
      <c r="D14">
        <v>2</v>
      </c>
      <c r="E14" t="s">
        <v>1639</v>
      </c>
      <c r="F14" t="s">
        <v>2969</v>
      </c>
    </row>
    <row r="15" spans="1:6" x14ac:dyDescent="0.25">
      <c r="A15" t="s">
        <v>1633</v>
      </c>
      <c r="B15" t="s">
        <v>194</v>
      </c>
      <c r="C15" t="s">
        <v>60</v>
      </c>
      <c r="D15">
        <v>3</v>
      </c>
      <c r="E15" t="s">
        <v>1643</v>
      </c>
      <c r="F15" t="s">
        <v>2969</v>
      </c>
    </row>
    <row r="16" spans="1:6" x14ac:dyDescent="0.25">
      <c r="A16" t="s">
        <v>1633</v>
      </c>
      <c r="B16" t="s">
        <v>194</v>
      </c>
      <c r="C16" t="s">
        <v>60</v>
      </c>
      <c r="D16">
        <v>4</v>
      </c>
      <c r="E16" t="s">
        <v>1781</v>
      </c>
      <c r="F16" t="s">
        <v>2969</v>
      </c>
    </row>
    <row r="17" spans="1:6" x14ac:dyDescent="0.25">
      <c r="A17" t="s">
        <v>1636</v>
      </c>
      <c r="B17" t="s">
        <v>197</v>
      </c>
      <c r="C17" t="s">
        <v>97</v>
      </c>
      <c r="D17">
        <v>1</v>
      </c>
      <c r="E17" t="s">
        <v>1637</v>
      </c>
      <c r="F17" t="s">
        <v>2969</v>
      </c>
    </row>
    <row r="18" spans="1:6" x14ac:dyDescent="0.25">
      <c r="A18" t="s">
        <v>1636</v>
      </c>
      <c r="B18" t="s">
        <v>197</v>
      </c>
      <c r="C18" t="s">
        <v>97</v>
      </c>
      <c r="D18">
        <v>2</v>
      </c>
      <c r="E18" t="s">
        <v>1904</v>
      </c>
      <c r="F18" t="s">
        <v>2969</v>
      </c>
    </row>
    <row r="19" spans="1:6" x14ac:dyDescent="0.25">
      <c r="A19" t="s">
        <v>1636</v>
      </c>
      <c r="B19" t="s">
        <v>197</v>
      </c>
      <c r="C19" t="s">
        <v>97</v>
      </c>
      <c r="D19">
        <v>3</v>
      </c>
      <c r="E19" t="s">
        <v>1709</v>
      </c>
      <c r="F19" t="s">
        <v>2969</v>
      </c>
    </row>
    <row r="20" spans="1:6" x14ac:dyDescent="0.25">
      <c r="A20" t="s">
        <v>1636</v>
      </c>
      <c r="B20" t="s">
        <v>197</v>
      </c>
      <c r="C20" t="s">
        <v>97</v>
      </c>
      <c r="D20">
        <v>4</v>
      </c>
      <c r="E20" t="s">
        <v>1741</v>
      </c>
      <c r="F20" t="s">
        <v>2969</v>
      </c>
    </row>
    <row r="21" spans="1:6" x14ac:dyDescent="0.25">
      <c r="A21" t="s">
        <v>1638</v>
      </c>
      <c r="B21" t="s">
        <v>200</v>
      </c>
      <c r="C21" t="s">
        <v>94</v>
      </c>
      <c r="D21">
        <v>1</v>
      </c>
      <c r="E21" t="s">
        <v>1639</v>
      </c>
      <c r="F21" t="s">
        <v>2969</v>
      </c>
    </row>
    <row r="22" spans="1:6" x14ac:dyDescent="0.25">
      <c r="A22" t="s">
        <v>1638</v>
      </c>
      <c r="B22" t="s">
        <v>200</v>
      </c>
      <c r="C22" t="s">
        <v>94</v>
      </c>
      <c r="D22">
        <v>2</v>
      </c>
      <c r="E22" t="s">
        <v>1629</v>
      </c>
      <c r="F22" t="s">
        <v>2969</v>
      </c>
    </row>
    <row r="23" spans="1:6" x14ac:dyDescent="0.25">
      <c r="A23" t="s">
        <v>1640</v>
      </c>
      <c r="B23" t="s">
        <v>202</v>
      </c>
      <c r="C23" t="s">
        <v>60</v>
      </c>
      <c r="D23">
        <v>1</v>
      </c>
      <c r="E23" t="s">
        <v>96</v>
      </c>
      <c r="F23" t="s">
        <v>2969</v>
      </c>
    </row>
    <row r="24" spans="1:6" x14ac:dyDescent="0.25">
      <c r="A24" t="s">
        <v>1641</v>
      </c>
      <c r="B24" t="s">
        <v>204</v>
      </c>
      <c r="C24" t="s">
        <v>127</v>
      </c>
      <c r="D24">
        <v>1</v>
      </c>
      <c r="E24" t="s">
        <v>111</v>
      </c>
      <c r="F24" t="s">
        <v>2969</v>
      </c>
    </row>
    <row r="25" spans="1:6" x14ac:dyDescent="0.25">
      <c r="A25" t="s">
        <v>1642</v>
      </c>
      <c r="B25" t="s">
        <v>206</v>
      </c>
      <c r="C25" t="s">
        <v>79</v>
      </c>
      <c r="D25">
        <v>1</v>
      </c>
      <c r="E25" t="s">
        <v>1643</v>
      </c>
      <c r="F25" t="s">
        <v>2969</v>
      </c>
    </row>
    <row r="26" spans="1:6" x14ac:dyDescent="0.25">
      <c r="A26" t="s">
        <v>1644</v>
      </c>
      <c r="B26" t="s">
        <v>207</v>
      </c>
      <c r="C26" t="s">
        <v>65</v>
      </c>
      <c r="D26">
        <v>1</v>
      </c>
      <c r="E26" t="s">
        <v>1645</v>
      </c>
      <c r="F26" t="s">
        <v>2969</v>
      </c>
    </row>
    <row r="27" spans="1:6" x14ac:dyDescent="0.25">
      <c r="A27" t="s">
        <v>1644</v>
      </c>
      <c r="B27" t="s">
        <v>207</v>
      </c>
      <c r="C27" t="s">
        <v>65</v>
      </c>
      <c r="D27">
        <v>2</v>
      </c>
      <c r="E27" t="s">
        <v>1634</v>
      </c>
      <c r="F27" t="s">
        <v>2969</v>
      </c>
    </row>
    <row r="28" spans="1:6" x14ac:dyDescent="0.25">
      <c r="A28" t="s">
        <v>1646</v>
      </c>
      <c r="B28" t="s">
        <v>209</v>
      </c>
      <c r="C28" t="s">
        <v>39</v>
      </c>
      <c r="D28">
        <v>1</v>
      </c>
      <c r="E28" t="s">
        <v>1647</v>
      </c>
      <c r="F28" t="s">
        <v>2969</v>
      </c>
    </row>
    <row r="29" spans="1:6" x14ac:dyDescent="0.25">
      <c r="A29" t="s">
        <v>1646</v>
      </c>
      <c r="B29" t="s">
        <v>209</v>
      </c>
      <c r="C29" t="s">
        <v>39</v>
      </c>
      <c r="D29">
        <v>2</v>
      </c>
      <c r="E29" t="s">
        <v>1931</v>
      </c>
      <c r="F29" t="s">
        <v>2969</v>
      </c>
    </row>
    <row r="30" spans="1:6" x14ac:dyDescent="0.25">
      <c r="A30" t="s">
        <v>1646</v>
      </c>
      <c r="B30" t="s">
        <v>209</v>
      </c>
      <c r="C30" t="s">
        <v>39</v>
      </c>
      <c r="D30">
        <v>3</v>
      </c>
      <c r="E30" t="s">
        <v>2111</v>
      </c>
      <c r="F30" t="s">
        <v>2969</v>
      </c>
    </row>
    <row r="31" spans="1:6" x14ac:dyDescent="0.25">
      <c r="A31" t="s">
        <v>1648</v>
      </c>
      <c r="B31" t="s">
        <v>211</v>
      </c>
      <c r="C31" t="s">
        <v>52</v>
      </c>
      <c r="D31">
        <v>1</v>
      </c>
      <c r="E31" t="s">
        <v>1649</v>
      </c>
      <c r="F31" t="s">
        <v>2969</v>
      </c>
    </row>
    <row r="32" spans="1:6" x14ac:dyDescent="0.25">
      <c r="A32" t="s">
        <v>1650</v>
      </c>
      <c r="B32" t="s">
        <v>213</v>
      </c>
      <c r="C32" t="s">
        <v>20</v>
      </c>
      <c r="D32">
        <v>1</v>
      </c>
      <c r="E32" t="s">
        <v>1651</v>
      </c>
      <c r="F32" t="s">
        <v>2969</v>
      </c>
    </row>
    <row r="33" spans="1:6" x14ac:dyDescent="0.25">
      <c r="A33" t="s">
        <v>1652</v>
      </c>
      <c r="B33" t="s">
        <v>215</v>
      </c>
      <c r="C33" t="s">
        <v>97</v>
      </c>
      <c r="D33">
        <v>1</v>
      </c>
      <c r="E33" t="s">
        <v>1653</v>
      </c>
      <c r="F33" t="s">
        <v>2969</v>
      </c>
    </row>
    <row r="34" spans="1:6" x14ac:dyDescent="0.25">
      <c r="A34" t="s">
        <v>1654</v>
      </c>
      <c r="B34" t="s">
        <v>217</v>
      </c>
      <c r="C34" t="s">
        <v>97</v>
      </c>
      <c r="D34">
        <v>1</v>
      </c>
      <c r="E34" t="s">
        <v>1655</v>
      </c>
      <c r="F34" t="s">
        <v>2969</v>
      </c>
    </row>
    <row r="35" spans="1:6" x14ac:dyDescent="0.25">
      <c r="A35" t="s">
        <v>1654</v>
      </c>
      <c r="B35" t="s">
        <v>217</v>
      </c>
      <c r="C35" t="s">
        <v>97</v>
      </c>
      <c r="D35">
        <v>2</v>
      </c>
      <c r="E35" t="s">
        <v>1711</v>
      </c>
      <c r="F35" t="s">
        <v>2969</v>
      </c>
    </row>
    <row r="36" spans="1:6" x14ac:dyDescent="0.25">
      <c r="A36" t="s">
        <v>1654</v>
      </c>
      <c r="B36" t="s">
        <v>217</v>
      </c>
      <c r="C36" t="s">
        <v>97</v>
      </c>
      <c r="D36">
        <v>3</v>
      </c>
      <c r="E36" t="s">
        <v>1758</v>
      </c>
      <c r="F36" t="s">
        <v>2969</v>
      </c>
    </row>
    <row r="37" spans="1:6" x14ac:dyDescent="0.25">
      <c r="A37" t="s">
        <v>1656</v>
      </c>
      <c r="B37" t="s">
        <v>220</v>
      </c>
      <c r="C37" t="s">
        <v>127</v>
      </c>
      <c r="D37">
        <v>1</v>
      </c>
      <c r="E37" t="s">
        <v>1657</v>
      </c>
      <c r="F37" t="s">
        <v>2969</v>
      </c>
    </row>
    <row r="38" spans="1:6" x14ac:dyDescent="0.25">
      <c r="A38" t="s">
        <v>1656</v>
      </c>
      <c r="B38" t="s">
        <v>220</v>
      </c>
      <c r="C38" t="s">
        <v>127</v>
      </c>
      <c r="D38">
        <v>2</v>
      </c>
      <c r="E38" t="s">
        <v>1862</v>
      </c>
      <c r="F38" t="s">
        <v>2969</v>
      </c>
    </row>
    <row r="39" spans="1:6" x14ac:dyDescent="0.25">
      <c r="A39" t="s">
        <v>1656</v>
      </c>
      <c r="B39" t="s">
        <v>220</v>
      </c>
      <c r="C39" t="s">
        <v>127</v>
      </c>
      <c r="D39">
        <v>3</v>
      </c>
      <c r="E39" t="s">
        <v>2751</v>
      </c>
      <c r="F39" t="s">
        <v>2969</v>
      </c>
    </row>
    <row r="40" spans="1:6" x14ac:dyDescent="0.25">
      <c r="A40" t="s">
        <v>1658</v>
      </c>
      <c r="B40" t="s">
        <v>222</v>
      </c>
      <c r="C40" t="s">
        <v>73</v>
      </c>
      <c r="D40">
        <v>1</v>
      </c>
      <c r="E40" t="s">
        <v>1645</v>
      </c>
      <c r="F40" t="s">
        <v>2969</v>
      </c>
    </row>
    <row r="41" spans="1:6" x14ac:dyDescent="0.25">
      <c r="A41" t="s">
        <v>1658</v>
      </c>
      <c r="B41" t="s">
        <v>222</v>
      </c>
      <c r="C41" t="s">
        <v>73</v>
      </c>
      <c r="D41">
        <v>2</v>
      </c>
      <c r="E41" t="s">
        <v>96</v>
      </c>
      <c r="F41" t="s">
        <v>2969</v>
      </c>
    </row>
    <row r="42" spans="1:6" x14ac:dyDescent="0.25">
      <c r="A42" t="s">
        <v>1658</v>
      </c>
      <c r="B42" t="s">
        <v>222</v>
      </c>
      <c r="C42" t="s">
        <v>73</v>
      </c>
      <c r="D42">
        <v>3</v>
      </c>
      <c r="E42" t="s">
        <v>1643</v>
      </c>
      <c r="F42" t="s">
        <v>2969</v>
      </c>
    </row>
    <row r="43" spans="1:6" x14ac:dyDescent="0.25">
      <c r="A43" t="s">
        <v>1658</v>
      </c>
      <c r="B43" t="s">
        <v>222</v>
      </c>
      <c r="C43" t="s">
        <v>73</v>
      </c>
      <c r="D43">
        <v>4</v>
      </c>
      <c r="E43" t="s">
        <v>1781</v>
      </c>
      <c r="F43" t="s">
        <v>2969</v>
      </c>
    </row>
    <row r="44" spans="1:6" x14ac:dyDescent="0.25">
      <c r="A44" t="s">
        <v>1660</v>
      </c>
      <c r="B44" t="s">
        <v>224</v>
      </c>
      <c r="C44" t="s">
        <v>8</v>
      </c>
      <c r="D44">
        <v>1</v>
      </c>
      <c r="E44" t="s">
        <v>1661</v>
      </c>
      <c r="F44" t="s">
        <v>2969</v>
      </c>
    </row>
    <row r="45" spans="1:6" x14ac:dyDescent="0.25">
      <c r="A45" t="s">
        <v>1662</v>
      </c>
      <c r="B45" t="s">
        <v>226</v>
      </c>
      <c r="C45" t="s">
        <v>43</v>
      </c>
      <c r="D45">
        <v>1</v>
      </c>
      <c r="E45" t="s">
        <v>1663</v>
      </c>
      <c r="F45" t="s">
        <v>2969</v>
      </c>
    </row>
    <row r="46" spans="1:6" x14ac:dyDescent="0.25">
      <c r="A46" t="s">
        <v>1662</v>
      </c>
      <c r="B46" t="s">
        <v>226</v>
      </c>
      <c r="C46" t="s">
        <v>43</v>
      </c>
      <c r="D46">
        <v>2</v>
      </c>
      <c r="E46" t="s">
        <v>2071</v>
      </c>
      <c r="F46" t="s">
        <v>2969</v>
      </c>
    </row>
    <row r="47" spans="1:6" x14ac:dyDescent="0.25">
      <c r="A47" t="s">
        <v>1664</v>
      </c>
      <c r="B47" t="s">
        <v>228</v>
      </c>
      <c r="C47" t="s">
        <v>112</v>
      </c>
      <c r="D47">
        <v>1</v>
      </c>
      <c r="E47" t="s">
        <v>120</v>
      </c>
      <c r="F47" t="s">
        <v>2969</v>
      </c>
    </row>
    <row r="48" spans="1:6" x14ac:dyDescent="0.25">
      <c r="A48" t="s">
        <v>1664</v>
      </c>
      <c r="B48" t="s">
        <v>228</v>
      </c>
      <c r="C48" t="s">
        <v>112</v>
      </c>
      <c r="D48">
        <v>2</v>
      </c>
      <c r="E48" t="s">
        <v>1833</v>
      </c>
      <c r="F48" t="s">
        <v>2969</v>
      </c>
    </row>
    <row r="49" spans="1:6" x14ac:dyDescent="0.25">
      <c r="A49" t="s">
        <v>1664</v>
      </c>
      <c r="B49" t="s">
        <v>228</v>
      </c>
      <c r="C49" t="s">
        <v>112</v>
      </c>
      <c r="D49">
        <v>3</v>
      </c>
      <c r="E49" t="s">
        <v>1627</v>
      </c>
      <c r="F49" t="s">
        <v>2969</v>
      </c>
    </row>
    <row r="50" spans="1:6" x14ac:dyDescent="0.25">
      <c r="A50" t="s">
        <v>1664</v>
      </c>
      <c r="B50" t="s">
        <v>228</v>
      </c>
      <c r="C50" t="s">
        <v>112</v>
      </c>
      <c r="D50">
        <v>4</v>
      </c>
      <c r="E50" t="s">
        <v>1707</v>
      </c>
      <c r="F50" t="s">
        <v>2969</v>
      </c>
    </row>
    <row r="51" spans="1:6" x14ac:dyDescent="0.25">
      <c r="A51" t="s">
        <v>1665</v>
      </c>
      <c r="B51" t="s">
        <v>230</v>
      </c>
      <c r="C51" t="s">
        <v>8</v>
      </c>
      <c r="D51">
        <v>1</v>
      </c>
      <c r="E51" t="s">
        <v>36</v>
      </c>
      <c r="F51" t="s">
        <v>2969</v>
      </c>
    </row>
    <row r="52" spans="1:6" x14ac:dyDescent="0.25">
      <c r="A52" t="s">
        <v>1665</v>
      </c>
      <c r="B52" t="s">
        <v>230</v>
      </c>
      <c r="C52" t="s">
        <v>8</v>
      </c>
      <c r="D52">
        <v>2</v>
      </c>
      <c r="E52" t="s">
        <v>1695</v>
      </c>
      <c r="F52" t="s">
        <v>2969</v>
      </c>
    </row>
    <row r="53" spans="1:6" x14ac:dyDescent="0.25">
      <c r="A53" t="s">
        <v>1666</v>
      </c>
      <c r="B53" t="s">
        <v>232</v>
      </c>
      <c r="C53" t="s">
        <v>123</v>
      </c>
      <c r="D53">
        <v>1</v>
      </c>
      <c r="E53" t="s">
        <v>1667</v>
      </c>
      <c r="F53" t="s">
        <v>2969</v>
      </c>
    </row>
    <row r="54" spans="1:6" x14ac:dyDescent="0.25">
      <c r="A54" t="s">
        <v>1666</v>
      </c>
      <c r="B54" t="s">
        <v>232</v>
      </c>
      <c r="C54" t="s">
        <v>123</v>
      </c>
      <c r="D54">
        <v>2</v>
      </c>
      <c r="E54" t="s">
        <v>1857</v>
      </c>
      <c r="F54" t="s">
        <v>2969</v>
      </c>
    </row>
    <row r="55" spans="1:6" x14ac:dyDescent="0.25">
      <c r="A55" t="s">
        <v>1668</v>
      </c>
      <c r="B55" t="s">
        <v>235</v>
      </c>
      <c r="C55" t="s">
        <v>128</v>
      </c>
      <c r="D55">
        <v>1</v>
      </c>
      <c r="E55" t="s">
        <v>38</v>
      </c>
      <c r="F55" t="s">
        <v>2969</v>
      </c>
    </row>
    <row r="56" spans="1:6" x14ac:dyDescent="0.25">
      <c r="A56" t="s">
        <v>1668</v>
      </c>
      <c r="B56" t="s">
        <v>235</v>
      </c>
      <c r="C56" t="s">
        <v>128</v>
      </c>
      <c r="D56">
        <v>2</v>
      </c>
      <c r="E56" t="s">
        <v>1689</v>
      </c>
      <c r="F56" t="s">
        <v>2969</v>
      </c>
    </row>
    <row r="57" spans="1:6" x14ac:dyDescent="0.25">
      <c r="A57" t="s">
        <v>1668</v>
      </c>
      <c r="B57" t="s">
        <v>235</v>
      </c>
      <c r="C57" t="s">
        <v>128</v>
      </c>
      <c r="D57">
        <v>3</v>
      </c>
      <c r="E57" t="s">
        <v>1951</v>
      </c>
      <c r="F57" t="s">
        <v>2969</v>
      </c>
    </row>
    <row r="58" spans="1:6" x14ac:dyDescent="0.25">
      <c r="A58" t="s">
        <v>1669</v>
      </c>
      <c r="B58" t="s">
        <v>237</v>
      </c>
      <c r="C58" t="s">
        <v>23</v>
      </c>
      <c r="D58">
        <v>1</v>
      </c>
      <c r="E58" t="s">
        <v>1670</v>
      </c>
      <c r="F58" t="s">
        <v>2969</v>
      </c>
    </row>
    <row r="59" spans="1:6" x14ac:dyDescent="0.25">
      <c r="A59" t="s">
        <v>1671</v>
      </c>
      <c r="B59" t="s">
        <v>239</v>
      </c>
      <c r="C59" t="s">
        <v>59</v>
      </c>
      <c r="D59">
        <v>1</v>
      </c>
      <c r="E59" t="s">
        <v>75</v>
      </c>
      <c r="F59" t="s">
        <v>2969</v>
      </c>
    </row>
    <row r="60" spans="1:6" x14ac:dyDescent="0.25">
      <c r="A60" t="s">
        <v>1671</v>
      </c>
      <c r="B60" t="s">
        <v>239</v>
      </c>
      <c r="C60" t="s">
        <v>59</v>
      </c>
      <c r="D60">
        <v>2</v>
      </c>
      <c r="E60" t="s">
        <v>89</v>
      </c>
      <c r="F60" t="s">
        <v>2969</v>
      </c>
    </row>
    <row r="61" spans="1:6" x14ac:dyDescent="0.25">
      <c r="A61" t="s">
        <v>1671</v>
      </c>
      <c r="B61" t="s">
        <v>239</v>
      </c>
      <c r="C61" t="s">
        <v>59</v>
      </c>
      <c r="D61">
        <v>3</v>
      </c>
      <c r="E61" t="s">
        <v>78</v>
      </c>
      <c r="F61" t="s">
        <v>2969</v>
      </c>
    </row>
    <row r="62" spans="1:6" x14ac:dyDescent="0.25">
      <c r="A62" t="s">
        <v>1671</v>
      </c>
      <c r="B62" t="s">
        <v>239</v>
      </c>
      <c r="C62" t="s">
        <v>59</v>
      </c>
      <c r="D62">
        <v>4</v>
      </c>
      <c r="E62" t="s">
        <v>1645</v>
      </c>
      <c r="F62" t="s">
        <v>2969</v>
      </c>
    </row>
    <row r="63" spans="1:6" x14ac:dyDescent="0.25">
      <c r="A63" t="s">
        <v>1672</v>
      </c>
      <c r="B63" t="s">
        <v>241</v>
      </c>
      <c r="C63" t="s">
        <v>8</v>
      </c>
      <c r="D63">
        <v>1</v>
      </c>
      <c r="E63" t="s">
        <v>1673</v>
      </c>
      <c r="F63" t="s">
        <v>2969</v>
      </c>
    </row>
    <row r="64" spans="1:6" x14ac:dyDescent="0.25">
      <c r="A64" t="s">
        <v>1672</v>
      </c>
      <c r="B64" t="s">
        <v>241</v>
      </c>
      <c r="C64" t="s">
        <v>8</v>
      </c>
      <c r="D64">
        <v>2</v>
      </c>
      <c r="E64" t="s">
        <v>1769</v>
      </c>
      <c r="F64" t="s">
        <v>2969</v>
      </c>
    </row>
    <row r="65" spans="1:6" x14ac:dyDescent="0.25">
      <c r="A65" t="s">
        <v>1674</v>
      </c>
      <c r="B65" t="s">
        <v>243</v>
      </c>
      <c r="C65" t="s">
        <v>56</v>
      </c>
      <c r="D65">
        <v>1</v>
      </c>
      <c r="E65" t="s">
        <v>13</v>
      </c>
      <c r="F65" t="s">
        <v>2969</v>
      </c>
    </row>
    <row r="66" spans="1:6" x14ac:dyDescent="0.25">
      <c r="A66" t="s">
        <v>1674</v>
      </c>
      <c r="B66" t="s">
        <v>243</v>
      </c>
      <c r="C66" t="s">
        <v>56</v>
      </c>
      <c r="D66">
        <v>2</v>
      </c>
      <c r="E66" t="s">
        <v>1651</v>
      </c>
      <c r="F66" t="s">
        <v>2969</v>
      </c>
    </row>
    <row r="67" spans="1:6" x14ac:dyDescent="0.25">
      <c r="A67" t="s">
        <v>1675</v>
      </c>
      <c r="B67" t="s">
        <v>245</v>
      </c>
      <c r="C67" t="s">
        <v>79</v>
      </c>
      <c r="D67">
        <v>1</v>
      </c>
      <c r="E67" t="s">
        <v>1676</v>
      </c>
      <c r="F67" t="s">
        <v>2969</v>
      </c>
    </row>
    <row r="68" spans="1:6" x14ac:dyDescent="0.25">
      <c r="A68" t="s">
        <v>1675</v>
      </c>
      <c r="B68" t="s">
        <v>245</v>
      </c>
      <c r="C68" t="s">
        <v>79</v>
      </c>
      <c r="D68">
        <v>2</v>
      </c>
      <c r="E68" t="s">
        <v>1741</v>
      </c>
      <c r="F68" t="s">
        <v>2969</v>
      </c>
    </row>
    <row r="69" spans="1:6" x14ac:dyDescent="0.25">
      <c r="A69" t="s">
        <v>1675</v>
      </c>
      <c r="B69" t="s">
        <v>245</v>
      </c>
      <c r="C69" t="s">
        <v>79</v>
      </c>
      <c r="D69">
        <v>3</v>
      </c>
      <c r="E69" t="s">
        <v>1812</v>
      </c>
      <c r="F69" t="s">
        <v>2969</v>
      </c>
    </row>
    <row r="70" spans="1:6" x14ac:dyDescent="0.25">
      <c r="A70" t="s">
        <v>1675</v>
      </c>
      <c r="B70" t="s">
        <v>245</v>
      </c>
      <c r="C70" t="s">
        <v>79</v>
      </c>
      <c r="D70">
        <v>4</v>
      </c>
      <c r="E70" t="s">
        <v>64</v>
      </c>
      <c r="F70" t="s">
        <v>2969</v>
      </c>
    </row>
    <row r="71" spans="1:6" x14ac:dyDescent="0.25">
      <c r="A71" t="s">
        <v>1677</v>
      </c>
      <c r="B71" t="s">
        <v>247</v>
      </c>
      <c r="C71" t="s">
        <v>87</v>
      </c>
      <c r="D71">
        <v>1</v>
      </c>
      <c r="E71" t="s">
        <v>1678</v>
      </c>
      <c r="F71" t="s">
        <v>2969</v>
      </c>
    </row>
    <row r="72" spans="1:6" x14ac:dyDescent="0.25">
      <c r="A72" t="s">
        <v>1677</v>
      </c>
      <c r="B72" t="s">
        <v>247</v>
      </c>
      <c r="C72" t="s">
        <v>87</v>
      </c>
      <c r="D72">
        <v>2</v>
      </c>
      <c r="E72" t="s">
        <v>2088</v>
      </c>
      <c r="F72" t="s">
        <v>2969</v>
      </c>
    </row>
    <row r="73" spans="1:6" x14ac:dyDescent="0.25">
      <c r="A73" t="s">
        <v>1677</v>
      </c>
      <c r="B73" t="s">
        <v>247</v>
      </c>
      <c r="C73" t="s">
        <v>87</v>
      </c>
      <c r="D73">
        <v>3</v>
      </c>
      <c r="E73" t="s">
        <v>2115</v>
      </c>
      <c r="F73" t="s">
        <v>2969</v>
      </c>
    </row>
    <row r="74" spans="1:6" x14ac:dyDescent="0.25">
      <c r="A74" t="s">
        <v>1679</v>
      </c>
      <c r="B74" t="s">
        <v>249</v>
      </c>
      <c r="C74" t="s">
        <v>27</v>
      </c>
      <c r="D74">
        <v>1</v>
      </c>
      <c r="E74" t="s">
        <v>1680</v>
      </c>
      <c r="F74" t="s">
        <v>2969</v>
      </c>
    </row>
    <row r="75" spans="1:6" x14ac:dyDescent="0.25">
      <c r="A75" t="s">
        <v>1681</v>
      </c>
      <c r="B75" t="s">
        <v>251</v>
      </c>
      <c r="C75" t="s">
        <v>105</v>
      </c>
      <c r="D75">
        <v>1</v>
      </c>
      <c r="E75" t="s">
        <v>1639</v>
      </c>
      <c r="F75" t="s">
        <v>2969</v>
      </c>
    </row>
    <row r="76" spans="1:6" x14ac:dyDescent="0.25">
      <c r="A76" t="s">
        <v>1681</v>
      </c>
      <c r="B76" t="s">
        <v>251</v>
      </c>
      <c r="C76" t="s">
        <v>105</v>
      </c>
      <c r="D76">
        <v>2</v>
      </c>
      <c r="E76" t="s">
        <v>1624</v>
      </c>
      <c r="F76" t="s">
        <v>2969</v>
      </c>
    </row>
    <row r="77" spans="1:6" x14ac:dyDescent="0.25">
      <c r="A77" t="s">
        <v>1681</v>
      </c>
      <c r="B77" t="s">
        <v>251</v>
      </c>
      <c r="C77" t="s">
        <v>105</v>
      </c>
      <c r="D77">
        <v>3</v>
      </c>
      <c r="E77" t="s">
        <v>2003</v>
      </c>
      <c r="F77" t="s">
        <v>2969</v>
      </c>
    </row>
    <row r="78" spans="1:6" x14ac:dyDescent="0.25">
      <c r="A78" t="s">
        <v>1682</v>
      </c>
      <c r="B78" t="s">
        <v>253</v>
      </c>
      <c r="C78" t="s">
        <v>49</v>
      </c>
      <c r="D78">
        <v>1</v>
      </c>
      <c r="E78" t="s">
        <v>1683</v>
      </c>
      <c r="F78" t="s">
        <v>2969</v>
      </c>
    </row>
    <row r="79" spans="1:6" x14ac:dyDescent="0.25">
      <c r="A79" t="s">
        <v>1682</v>
      </c>
      <c r="B79" t="s">
        <v>253</v>
      </c>
      <c r="C79" t="s">
        <v>49</v>
      </c>
      <c r="D79">
        <v>2</v>
      </c>
      <c r="E79" t="s">
        <v>2128</v>
      </c>
      <c r="F79" t="s">
        <v>2969</v>
      </c>
    </row>
    <row r="80" spans="1:6" x14ac:dyDescent="0.25">
      <c r="A80" t="s">
        <v>1684</v>
      </c>
      <c r="B80" t="s">
        <v>254</v>
      </c>
      <c r="C80" t="s">
        <v>31</v>
      </c>
      <c r="D80">
        <v>1</v>
      </c>
      <c r="E80" t="s">
        <v>1685</v>
      </c>
      <c r="F80" t="s">
        <v>2969</v>
      </c>
    </row>
    <row r="81" spans="1:6" x14ac:dyDescent="0.25">
      <c r="A81" t="s">
        <v>1686</v>
      </c>
      <c r="B81" t="s">
        <v>256</v>
      </c>
      <c r="C81" t="s">
        <v>31</v>
      </c>
      <c r="D81">
        <v>1</v>
      </c>
      <c r="E81" t="s">
        <v>1687</v>
      </c>
      <c r="F81" t="s">
        <v>2969</v>
      </c>
    </row>
    <row r="82" spans="1:6" x14ac:dyDescent="0.25">
      <c r="A82" t="s">
        <v>1688</v>
      </c>
      <c r="B82" t="s">
        <v>258</v>
      </c>
      <c r="C82" t="s">
        <v>56</v>
      </c>
      <c r="D82">
        <v>1</v>
      </c>
      <c r="E82" t="s">
        <v>1689</v>
      </c>
      <c r="F82" t="s">
        <v>2969</v>
      </c>
    </row>
    <row r="83" spans="1:6" x14ac:dyDescent="0.25">
      <c r="A83" t="s">
        <v>1688</v>
      </c>
      <c r="B83" t="s">
        <v>258</v>
      </c>
      <c r="C83" t="s">
        <v>56</v>
      </c>
      <c r="D83">
        <v>2</v>
      </c>
      <c r="E83" t="s">
        <v>1951</v>
      </c>
      <c r="F83" t="s">
        <v>2969</v>
      </c>
    </row>
    <row r="84" spans="1:6" x14ac:dyDescent="0.25">
      <c r="A84" t="s">
        <v>1690</v>
      </c>
      <c r="B84" t="s">
        <v>260</v>
      </c>
      <c r="C84" t="s">
        <v>134</v>
      </c>
      <c r="D84">
        <v>1</v>
      </c>
      <c r="E84" t="s">
        <v>1691</v>
      </c>
      <c r="F84" t="s">
        <v>2969</v>
      </c>
    </row>
    <row r="85" spans="1:6" x14ac:dyDescent="0.25">
      <c r="A85" t="s">
        <v>1690</v>
      </c>
      <c r="B85" t="s">
        <v>260</v>
      </c>
      <c r="C85" t="s">
        <v>134</v>
      </c>
      <c r="D85">
        <v>2</v>
      </c>
      <c r="E85" t="s">
        <v>1807</v>
      </c>
      <c r="F85" t="s">
        <v>2969</v>
      </c>
    </row>
    <row r="86" spans="1:6" x14ac:dyDescent="0.25">
      <c r="A86" t="s">
        <v>1690</v>
      </c>
      <c r="B86" t="s">
        <v>260</v>
      </c>
      <c r="C86" t="s">
        <v>134</v>
      </c>
      <c r="D86">
        <v>3</v>
      </c>
      <c r="E86" t="s">
        <v>2038</v>
      </c>
      <c r="F86" t="s">
        <v>2969</v>
      </c>
    </row>
    <row r="87" spans="1:6" x14ac:dyDescent="0.25">
      <c r="A87" t="s">
        <v>1690</v>
      </c>
      <c r="B87" t="s">
        <v>260</v>
      </c>
      <c r="C87" t="s">
        <v>134</v>
      </c>
      <c r="D87">
        <v>4</v>
      </c>
      <c r="E87" t="s">
        <v>1637</v>
      </c>
      <c r="F87" t="s">
        <v>2969</v>
      </c>
    </row>
    <row r="88" spans="1:6" x14ac:dyDescent="0.25">
      <c r="A88" t="s">
        <v>1690</v>
      </c>
      <c r="B88" t="s">
        <v>260</v>
      </c>
      <c r="C88" t="s">
        <v>134</v>
      </c>
      <c r="D88">
        <v>5</v>
      </c>
      <c r="E88" t="s">
        <v>86</v>
      </c>
      <c r="F88" t="s">
        <v>2969</v>
      </c>
    </row>
    <row r="89" spans="1:6" x14ac:dyDescent="0.25">
      <c r="A89" t="s">
        <v>1690</v>
      </c>
      <c r="B89" t="s">
        <v>260</v>
      </c>
      <c r="C89" t="s">
        <v>134</v>
      </c>
      <c r="D89">
        <v>6</v>
      </c>
      <c r="E89" t="s">
        <v>104</v>
      </c>
      <c r="F89" t="s">
        <v>2969</v>
      </c>
    </row>
    <row r="90" spans="1:6" x14ac:dyDescent="0.25">
      <c r="A90" t="s">
        <v>1690</v>
      </c>
      <c r="B90" t="s">
        <v>260</v>
      </c>
      <c r="C90" t="s">
        <v>134</v>
      </c>
      <c r="D90">
        <v>7</v>
      </c>
      <c r="E90" t="s">
        <v>1655</v>
      </c>
      <c r="F90" t="s">
        <v>1692</v>
      </c>
    </row>
    <row r="91" spans="1:6" x14ac:dyDescent="0.25">
      <c r="A91" t="s">
        <v>1694</v>
      </c>
      <c r="B91" t="s">
        <v>261</v>
      </c>
      <c r="C91" t="s">
        <v>118</v>
      </c>
      <c r="D91">
        <v>1</v>
      </c>
      <c r="E91" t="s">
        <v>1695</v>
      </c>
      <c r="F91" t="s">
        <v>2969</v>
      </c>
    </row>
    <row r="92" spans="1:6" x14ac:dyDescent="0.25">
      <c r="A92" t="s">
        <v>1694</v>
      </c>
      <c r="B92" t="s">
        <v>261</v>
      </c>
      <c r="C92" t="s">
        <v>118</v>
      </c>
      <c r="D92">
        <v>2</v>
      </c>
      <c r="E92" t="s">
        <v>70</v>
      </c>
      <c r="F92" t="s">
        <v>2969</v>
      </c>
    </row>
    <row r="93" spans="1:6" x14ac:dyDescent="0.25">
      <c r="A93" t="s">
        <v>1696</v>
      </c>
      <c r="B93" t="s">
        <v>263</v>
      </c>
      <c r="C93" t="s">
        <v>20</v>
      </c>
      <c r="D93">
        <v>1</v>
      </c>
      <c r="E93" t="s">
        <v>1697</v>
      </c>
      <c r="F93" t="s">
        <v>2969</v>
      </c>
    </row>
    <row r="94" spans="1:6" x14ac:dyDescent="0.25">
      <c r="A94" t="s">
        <v>1696</v>
      </c>
      <c r="B94" t="s">
        <v>263</v>
      </c>
      <c r="C94" t="s">
        <v>20</v>
      </c>
      <c r="D94">
        <v>2</v>
      </c>
      <c r="E94" t="s">
        <v>1707</v>
      </c>
      <c r="F94" t="s">
        <v>2969</v>
      </c>
    </row>
    <row r="95" spans="1:6" x14ac:dyDescent="0.25">
      <c r="A95" t="s">
        <v>1698</v>
      </c>
      <c r="B95" t="s">
        <v>265</v>
      </c>
      <c r="C95" t="s">
        <v>39</v>
      </c>
      <c r="D95">
        <v>1</v>
      </c>
      <c r="E95" t="s">
        <v>1699</v>
      </c>
      <c r="F95" t="s">
        <v>2969</v>
      </c>
    </row>
    <row r="96" spans="1:6" x14ac:dyDescent="0.25">
      <c r="A96" t="s">
        <v>1698</v>
      </c>
      <c r="B96" t="s">
        <v>265</v>
      </c>
      <c r="C96" t="s">
        <v>39</v>
      </c>
      <c r="D96">
        <v>2</v>
      </c>
      <c r="E96" t="s">
        <v>1795</v>
      </c>
      <c r="F96" t="s">
        <v>2969</v>
      </c>
    </row>
    <row r="97" spans="1:6" x14ac:dyDescent="0.25">
      <c r="A97" t="s">
        <v>1700</v>
      </c>
      <c r="B97" t="s">
        <v>267</v>
      </c>
      <c r="C97" t="s">
        <v>52</v>
      </c>
      <c r="D97">
        <v>1</v>
      </c>
      <c r="E97" t="s">
        <v>1701</v>
      </c>
      <c r="F97" t="s">
        <v>2969</v>
      </c>
    </row>
    <row r="98" spans="1:6" x14ac:dyDescent="0.25">
      <c r="A98" t="s">
        <v>1700</v>
      </c>
      <c r="B98" t="s">
        <v>267</v>
      </c>
      <c r="C98" t="s">
        <v>52</v>
      </c>
      <c r="D98">
        <v>2</v>
      </c>
      <c r="E98" t="s">
        <v>131</v>
      </c>
      <c r="F98" t="s">
        <v>2969</v>
      </c>
    </row>
    <row r="99" spans="1:6" x14ac:dyDescent="0.25">
      <c r="A99" t="s">
        <v>1700</v>
      </c>
      <c r="B99" t="s">
        <v>267</v>
      </c>
      <c r="C99" t="s">
        <v>52</v>
      </c>
      <c r="D99">
        <v>3</v>
      </c>
      <c r="E99" t="s">
        <v>1704</v>
      </c>
      <c r="F99" t="s">
        <v>2969</v>
      </c>
    </row>
    <row r="100" spans="1:6" x14ac:dyDescent="0.25">
      <c r="A100" t="s">
        <v>1702</v>
      </c>
      <c r="B100" t="s">
        <v>269</v>
      </c>
      <c r="C100" t="s">
        <v>134</v>
      </c>
      <c r="D100">
        <v>1</v>
      </c>
      <c r="E100" t="s">
        <v>36</v>
      </c>
      <c r="F100" t="s">
        <v>2969</v>
      </c>
    </row>
    <row r="101" spans="1:6" x14ac:dyDescent="0.25">
      <c r="A101" t="s">
        <v>1702</v>
      </c>
      <c r="B101" t="s">
        <v>269</v>
      </c>
      <c r="C101" t="s">
        <v>134</v>
      </c>
      <c r="D101">
        <v>2</v>
      </c>
      <c r="E101" t="s">
        <v>70</v>
      </c>
      <c r="F101" t="s">
        <v>2969</v>
      </c>
    </row>
    <row r="102" spans="1:6" x14ac:dyDescent="0.25">
      <c r="A102" t="s">
        <v>1702</v>
      </c>
      <c r="B102" t="s">
        <v>269</v>
      </c>
      <c r="C102" t="s">
        <v>134</v>
      </c>
      <c r="D102">
        <v>3</v>
      </c>
      <c r="E102" t="s">
        <v>1754</v>
      </c>
      <c r="F102" t="s">
        <v>2969</v>
      </c>
    </row>
    <row r="103" spans="1:6" x14ac:dyDescent="0.25">
      <c r="A103" t="s">
        <v>1703</v>
      </c>
      <c r="B103" t="s">
        <v>271</v>
      </c>
      <c r="C103" t="s">
        <v>52</v>
      </c>
      <c r="D103">
        <v>1</v>
      </c>
      <c r="E103" t="s">
        <v>1704</v>
      </c>
      <c r="F103" t="s">
        <v>2969</v>
      </c>
    </row>
    <row r="104" spans="1:6" x14ac:dyDescent="0.25">
      <c r="A104" t="s">
        <v>1703</v>
      </c>
      <c r="B104" t="s">
        <v>271</v>
      </c>
      <c r="C104" t="s">
        <v>52</v>
      </c>
      <c r="D104">
        <v>2</v>
      </c>
      <c r="E104" t="s">
        <v>13</v>
      </c>
      <c r="F104" t="s">
        <v>2969</v>
      </c>
    </row>
    <row r="105" spans="1:6" x14ac:dyDescent="0.25">
      <c r="A105" t="s">
        <v>1703</v>
      </c>
      <c r="B105" t="s">
        <v>271</v>
      </c>
      <c r="C105" t="s">
        <v>52</v>
      </c>
      <c r="D105">
        <v>3</v>
      </c>
      <c r="E105" t="s">
        <v>1739</v>
      </c>
      <c r="F105" t="s">
        <v>2969</v>
      </c>
    </row>
    <row r="106" spans="1:6" x14ac:dyDescent="0.25">
      <c r="A106" t="s">
        <v>1703</v>
      </c>
      <c r="B106" t="s">
        <v>271</v>
      </c>
      <c r="C106" t="s">
        <v>52</v>
      </c>
      <c r="D106">
        <v>4</v>
      </c>
      <c r="E106" t="s">
        <v>1891</v>
      </c>
      <c r="F106" t="s">
        <v>2969</v>
      </c>
    </row>
    <row r="107" spans="1:6" x14ac:dyDescent="0.25">
      <c r="A107" t="s">
        <v>1703</v>
      </c>
      <c r="B107" t="s">
        <v>271</v>
      </c>
      <c r="C107" t="s">
        <v>52</v>
      </c>
      <c r="D107">
        <v>5</v>
      </c>
      <c r="E107" t="s">
        <v>1754</v>
      </c>
      <c r="F107" t="s">
        <v>2969</v>
      </c>
    </row>
    <row r="108" spans="1:6" x14ac:dyDescent="0.25">
      <c r="A108" t="s">
        <v>1703</v>
      </c>
      <c r="B108" t="s">
        <v>271</v>
      </c>
      <c r="C108" t="s">
        <v>52</v>
      </c>
      <c r="D108">
        <v>6</v>
      </c>
      <c r="E108" t="s">
        <v>2122</v>
      </c>
      <c r="F108" t="s">
        <v>2969</v>
      </c>
    </row>
    <row r="109" spans="1:6" x14ac:dyDescent="0.25">
      <c r="A109" t="s">
        <v>1703</v>
      </c>
      <c r="B109" t="s">
        <v>271</v>
      </c>
      <c r="C109" t="s">
        <v>52</v>
      </c>
      <c r="D109">
        <v>7</v>
      </c>
      <c r="E109" t="s">
        <v>2017</v>
      </c>
      <c r="F109" t="s">
        <v>1692</v>
      </c>
    </row>
    <row r="110" spans="1:6" x14ac:dyDescent="0.25">
      <c r="A110" t="s">
        <v>1705</v>
      </c>
      <c r="B110" t="s">
        <v>273</v>
      </c>
      <c r="C110" t="s">
        <v>59</v>
      </c>
      <c r="D110">
        <v>1</v>
      </c>
      <c r="E110" t="s">
        <v>86</v>
      </c>
      <c r="F110" t="s">
        <v>2969</v>
      </c>
    </row>
    <row r="111" spans="1:6" x14ac:dyDescent="0.25">
      <c r="A111" t="s">
        <v>1706</v>
      </c>
      <c r="B111" t="s">
        <v>275</v>
      </c>
      <c r="C111" t="s">
        <v>98</v>
      </c>
      <c r="D111">
        <v>1</v>
      </c>
      <c r="E111" t="s">
        <v>1707</v>
      </c>
      <c r="F111" t="s">
        <v>2969</v>
      </c>
    </row>
    <row r="112" spans="1:6" x14ac:dyDescent="0.25">
      <c r="A112" t="s">
        <v>1706</v>
      </c>
      <c r="B112" t="s">
        <v>275</v>
      </c>
      <c r="C112" t="s">
        <v>98</v>
      </c>
      <c r="D112">
        <v>2</v>
      </c>
      <c r="E112" t="s">
        <v>135</v>
      </c>
      <c r="F112" t="s">
        <v>2969</v>
      </c>
    </row>
    <row r="113" spans="1:6" x14ac:dyDescent="0.25">
      <c r="A113" t="s">
        <v>1706</v>
      </c>
      <c r="B113" t="s">
        <v>275</v>
      </c>
      <c r="C113" t="s">
        <v>98</v>
      </c>
      <c r="D113">
        <v>3</v>
      </c>
      <c r="E113" t="s">
        <v>133</v>
      </c>
      <c r="F113" t="s">
        <v>2969</v>
      </c>
    </row>
    <row r="114" spans="1:6" x14ac:dyDescent="0.25">
      <c r="A114" t="s">
        <v>1708</v>
      </c>
      <c r="B114" t="s">
        <v>277</v>
      </c>
      <c r="C114" t="s">
        <v>103</v>
      </c>
      <c r="D114">
        <v>1</v>
      </c>
      <c r="E114" t="s">
        <v>1709</v>
      </c>
      <c r="F114" t="s">
        <v>2969</v>
      </c>
    </row>
    <row r="115" spans="1:6" x14ac:dyDescent="0.25">
      <c r="A115" t="s">
        <v>1708</v>
      </c>
      <c r="B115" t="s">
        <v>277</v>
      </c>
      <c r="C115" t="s">
        <v>103</v>
      </c>
      <c r="D115">
        <v>2</v>
      </c>
      <c r="E115" t="s">
        <v>91</v>
      </c>
      <c r="F115" t="s">
        <v>2969</v>
      </c>
    </row>
    <row r="116" spans="1:6" x14ac:dyDescent="0.25">
      <c r="A116" t="s">
        <v>1710</v>
      </c>
      <c r="B116" t="s">
        <v>279</v>
      </c>
      <c r="C116" t="s">
        <v>69</v>
      </c>
      <c r="D116">
        <v>1</v>
      </c>
      <c r="E116" t="s">
        <v>1711</v>
      </c>
      <c r="F116" t="s">
        <v>2969</v>
      </c>
    </row>
    <row r="117" spans="1:6" x14ac:dyDescent="0.25">
      <c r="A117" t="s">
        <v>1710</v>
      </c>
      <c r="B117" t="s">
        <v>279</v>
      </c>
      <c r="C117" t="s">
        <v>69</v>
      </c>
      <c r="D117">
        <v>2</v>
      </c>
      <c r="E117" t="s">
        <v>1676</v>
      </c>
      <c r="F117" t="s">
        <v>2969</v>
      </c>
    </row>
    <row r="118" spans="1:6" x14ac:dyDescent="0.25">
      <c r="A118" t="s">
        <v>1710</v>
      </c>
      <c r="B118" t="s">
        <v>279</v>
      </c>
      <c r="C118" t="s">
        <v>69</v>
      </c>
      <c r="D118">
        <v>3</v>
      </c>
      <c r="E118" t="s">
        <v>1741</v>
      </c>
      <c r="F118" t="s">
        <v>2969</v>
      </c>
    </row>
    <row r="119" spans="1:6" x14ac:dyDescent="0.25">
      <c r="A119" t="s">
        <v>1712</v>
      </c>
      <c r="B119" t="s">
        <v>281</v>
      </c>
      <c r="C119" t="s">
        <v>125</v>
      </c>
      <c r="D119">
        <v>1</v>
      </c>
      <c r="E119" t="s">
        <v>1713</v>
      </c>
      <c r="F119" t="s">
        <v>2969</v>
      </c>
    </row>
    <row r="120" spans="1:6" x14ac:dyDescent="0.25">
      <c r="A120" t="s">
        <v>1712</v>
      </c>
      <c r="B120" t="s">
        <v>281</v>
      </c>
      <c r="C120" t="s">
        <v>125</v>
      </c>
      <c r="D120">
        <v>2</v>
      </c>
      <c r="E120" t="s">
        <v>33</v>
      </c>
      <c r="F120" t="s">
        <v>2969</v>
      </c>
    </row>
    <row r="121" spans="1:6" x14ac:dyDescent="0.25">
      <c r="A121" t="s">
        <v>1714</v>
      </c>
      <c r="B121" t="s">
        <v>283</v>
      </c>
      <c r="C121" t="s">
        <v>85</v>
      </c>
      <c r="D121">
        <v>1</v>
      </c>
      <c r="E121" t="s">
        <v>48</v>
      </c>
      <c r="F121" t="s">
        <v>2969</v>
      </c>
    </row>
    <row r="122" spans="1:6" x14ac:dyDescent="0.25">
      <c r="A122" t="s">
        <v>1714</v>
      </c>
      <c r="B122" t="s">
        <v>283</v>
      </c>
      <c r="C122" t="s">
        <v>85</v>
      </c>
      <c r="D122">
        <v>2</v>
      </c>
      <c r="E122" t="s">
        <v>1653</v>
      </c>
      <c r="F122" t="s">
        <v>2969</v>
      </c>
    </row>
    <row r="123" spans="1:6" x14ac:dyDescent="0.25">
      <c r="A123" t="s">
        <v>1715</v>
      </c>
      <c r="B123" t="s">
        <v>285</v>
      </c>
      <c r="C123" t="s">
        <v>98</v>
      </c>
      <c r="D123">
        <v>1</v>
      </c>
      <c r="E123" t="s">
        <v>120</v>
      </c>
      <c r="F123" t="s">
        <v>2969</v>
      </c>
    </row>
    <row r="124" spans="1:6" x14ac:dyDescent="0.25">
      <c r="A124" t="s">
        <v>1716</v>
      </c>
      <c r="B124" t="s">
        <v>286</v>
      </c>
      <c r="C124" t="s">
        <v>97</v>
      </c>
      <c r="D124">
        <v>1</v>
      </c>
      <c r="E124" t="s">
        <v>1657</v>
      </c>
      <c r="F124" t="s">
        <v>2969</v>
      </c>
    </row>
    <row r="125" spans="1:6" x14ac:dyDescent="0.25">
      <c r="A125" t="s">
        <v>1716</v>
      </c>
      <c r="B125" t="s">
        <v>286</v>
      </c>
      <c r="C125" t="s">
        <v>97</v>
      </c>
      <c r="D125">
        <v>2</v>
      </c>
      <c r="E125" t="s">
        <v>68</v>
      </c>
      <c r="F125" t="s">
        <v>2969</v>
      </c>
    </row>
    <row r="126" spans="1:6" x14ac:dyDescent="0.25">
      <c r="A126" t="s">
        <v>1716</v>
      </c>
      <c r="B126" t="s">
        <v>286</v>
      </c>
      <c r="C126" t="s">
        <v>97</v>
      </c>
      <c r="D126">
        <v>3</v>
      </c>
      <c r="E126" t="s">
        <v>1645</v>
      </c>
      <c r="F126" t="s">
        <v>2969</v>
      </c>
    </row>
    <row r="127" spans="1:6" x14ac:dyDescent="0.25">
      <c r="A127" t="s">
        <v>1717</v>
      </c>
      <c r="B127" t="s">
        <v>288</v>
      </c>
      <c r="C127" t="s">
        <v>71</v>
      </c>
      <c r="D127">
        <v>1</v>
      </c>
      <c r="E127" t="s">
        <v>1673</v>
      </c>
      <c r="F127" t="s">
        <v>2969</v>
      </c>
    </row>
    <row r="128" spans="1:6" x14ac:dyDescent="0.25">
      <c r="A128" t="s">
        <v>1717</v>
      </c>
      <c r="B128" t="s">
        <v>288</v>
      </c>
      <c r="C128" t="s">
        <v>71</v>
      </c>
      <c r="D128">
        <v>2</v>
      </c>
      <c r="E128" t="s">
        <v>2470</v>
      </c>
      <c r="F128" t="s">
        <v>2969</v>
      </c>
    </row>
    <row r="129" spans="1:6" x14ac:dyDescent="0.25">
      <c r="A129" t="s">
        <v>1718</v>
      </c>
      <c r="B129" t="s">
        <v>290</v>
      </c>
      <c r="C129" t="s">
        <v>92</v>
      </c>
      <c r="D129">
        <v>1</v>
      </c>
      <c r="E129" t="s">
        <v>1719</v>
      </c>
      <c r="F129" t="s">
        <v>2969</v>
      </c>
    </row>
    <row r="130" spans="1:6" x14ac:dyDescent="0.25">
      <c r="A130" t="s">
        <v>1718</v>
      </c>
      <c r="B130" t="s">
        <v>290</v>
      </c>
      <c r="C130" t="s">
        <v>92</v>
      </c>
      <c r="D130">
        <v>2</v>
      </c>
      <c r="E130" t="s">
        <v>1643</v>
      </c>
      <c r="F130" t="s">
        <v>2969</v>
      </c>
    </row>
    <row r="131" spans="1:6" x14ac:dyDescent="0.25">
      <c r="A131" t="s">
        <v>1720</v>
      </c>
      <c r="B131" t="s">
        <v>292</v>
      </c>
      <c r="C131" t="s">
        <v>105</v>
      </c>
      <c r="D131">
        <v>1</v>
      </c>
      <c r="E131" t="s">
        <v>1721</v>
      </c>
      <c r="F131" t="s">
        <v>2969</v>
      </c>
    </row>
    <row r="132" spans="1:6" x14ac:dyDescent="0.25">
      <c r="A132" t="s">
        <v>1720</v>
      </c>
      <c r="B132" t="s">
        <v>292</v>
      </c>
      <c r="C132" t="s">
        <v>105</v>
      </c>
      <c r="D132">
        <v>2</v>
      </c>
      <c r="E132" t="s">
        <v>1879</v>
      </c>
      <c r="F132" t="s">
        <v>2969</v>
      </c>
    </row>
    <row r="133" spans="1:6" x14ac:dyDescent="0.25">
      <c r="A133" t="s">
        <v>1720</v>
      </c>
      <c r="B133" t="s">
        <v>292</v>
      </c>
      <c r="C133" t="s">
        <v>105</v>
      </c>
      <c r="D133">
        <v>3</v>
      </c>
      <c r="E133" t="s">
        <v>1653</v>
      </c>
      <c r="F133" t="s">
        <v>2969</v>
      </c>
    </row>
    <row r="134" spans="1:6" x14ac:dyDescent="0.25">
      <c r="A134" t="s">
        <v>1722</v>
      </c>
      <c r="B134" t="s">
        <v>294</v>
      </c>
      <c r="C134" t="s">
        <v>66</v>
      </c>
      <c r="D134">
        <v>1</v>
      </c>
      <c r="E134" t="s">
        <v>1719</v>
      </c>
      <c r="F134" t="s">
        <v>2969</v>
      </c>
    </row>
    <row r="135" spans="1:6" x14ac:dyDescent="0.25">
      <c r="A135" t="s">
        <v>1722</v>
      </c>
      <c r="B135" t="s">
        <v>294</v>
      </c>
      <c r="C135" t="s">
        <v>66</v>
      </c>
      <c r="D135">
        <v>2</v>
      </c>
      <c r="E135" t="s">
        <v>1629</v>
      </c>
      <c r="F135" t="s">
        <v>2969</v>
      </c>
    </row>
    <row r="136" spans="1:6" x14ac:dyDescent="0.25">
      <c r="A136" t="s">
        <v>1722</v>
      </c>
      <c r="B136" t="s">
        <v>294</v>
      </c>
      <c r="C136" t="s">
        <v>66</v>
      </c>
      <c r="D136">
        <v>3</v>
      </c>
      <c r="E136" t="s">
        <v>1621</v>
      </c>
      <c r="F136" t="s">
        <v>2969</v>
      </c>
    </row>
    <row r="137" spans="1:6" x14ac:dyDescent="0.25">
      <c r="A137" t="s">
        <v>1722</v>
      </c>
      <c r="B137" t="s">
        <v>294</v>
      </c>
      <c r="C137" t="s">
        <v>66</v>
      </c>
      <c r="D137">
        <v>4</v>
      </c>
      <c r="E137" t="s">
        <v>1678</v>
      </c>
      <c r="F137" t="s">
        <v>2969</v>
      </c>
    </row>
    <row r="138" spans="1:6" x14ac:dyDescent="0.25">
      <c r="A138" t="s">
        <v>1722</v>
      </c>
      <c r="B138" t="s">
        <v>294</v>
      </c>
      <c r="C138" t="s">
        <v>66</v>
      </c>
      <c r="D138">
        <v>5</v>
      </c>
      <c r="E138" t="s">
        <v>1820</v>
      </c>
      <c r="F138" t="s">
        <v>2969</v>
      </c>
    </row>
    <row r="139" spans="1:6" x14ac:dyDescent="0.25">
      <c r="A139" t="s">
        <v>1722</v>
      </c>
      <c r="B139" t="s">
        <v>294</v>
      </c>
      <c r="C139" t="s">
        <v>66</v>
      </c>
      <c r="D139">
        <v>6</v>
      </c>
      <c r="E139" t="s">
        <v>2516</v>
      </c>
      <c r="F139" t="s">
        <v>2969</v>
      </c>
    </row>
    <row r="140" spans="1:6" x14ac:dyDescent="0.25">
      <c r="A140" t="s">
        <v>1722</v>
      </c>
      <c r="B140" t="s">
        <v>294</v>
      </c>
      <c r="C140" t="s">
        <v>66</v>
      </c>
      <c r="D140">
        <v>7</v>
      </c>
      <c r="E140" t="s">
        <v>2456</v>
      </c>
      <c r="F140" t="s">
        <v>1692</v>
      </c>
    </row>
    <row r="141" spans="1:6" x14ac:dyDescent="0.25">
      <c r="A141" t="s">
        <v>1723</v>
      </c>
      <c r="B141" t="s">
        <v>296</v>
      </c>
      <c r="C141" t="s">
        <v>98</v>
      </c>
      <c r="D141">
        <v>1</v>
      </c>
      <c r="E141" t="s">
        <v>1724</v>
      </c>
      <c r="F141" t="s">
        <v>2969</v>
      </c>
    </row>
    <row r="142" spans="1:6" x14ac:dyDescent="0.25">
      <c r="A142" t="s">
        <v>1725</v>
      </c>
      <c r="B142" t="s">
        <v>298</v>
      </c>
      <c r="C142" t="s">
        <v>87</v>
      </c>
      <c r="D142">
        <v>1</v>
      </c>
      <c r="E142" t="s">
        <v>1726</v>
      </c>
      <c r="F142" t="s">
        <v>2969</v>
      </c>
    </row>
    <row r="143" spans="1:6" x14ac:dyDescent="0.25">
      <c r="A143" t="s">
        <v>1727</v>
      </c>
      <c r="B143" t="s">
        <v>299</v>
      </c>
      <c r="C143" t="s">
        <v>105</v>
      </c>
      <c r="D143">
        <v>1</v>
      </c>
      <c r="E143" t="s">
        <v>1728</v>
      </c>
      <c r="F143" t="s">
        <v>2969</v>
      </c>
    </row>
    <row r="144" spans="1:6" x14ac:dyDescent="0.25">
      <c r="A144" t="s">
        <v>1727</v>
      </c>
      <c r="B144" t="s">
        <v>299</v>
      </c>
      <c r="C144" t="s">
        <v>105</v>
      </c>
      <c r="D144">
        <v>2</v>
      </c>
      <c r="E144" t="s">
        <v>1772</v>
      </c>
      <c r="F144" t="s">
        <v>2969</v>
      </c>
    </row>
    <row r="145" spans="1:6" x14ac:dyDescent="0.25">
      <c r="A145" t="s">
        <v>1729</v>
      </c>
      <c r="B145" t="s">
        <v>300</v>
      </c>
      <c r="C145" t="s">
        <v>14</v>
      </c>
      <c r="D145">
        <v>1</v>
      </c>
      <c r="E145" t="s">
        <v>1726</v>
      </c>
      <c r="F145" t="s">
        <v>2969</v>
      </c>
    </row>
    <row r="146" spans="1:6" x14ac:dyDescent="0.25">
      <c r="A146" t="s">
        <v>1730</v>
      </c>
      <c r="B146" t="s">
        <v>302</v>
      </c>
      <c r="C146" t="s">
        <v>125</v>
      </c>
      <c r="D146">
        <v>1</v>
      </c>
      <c r="E146" t="s">
        <v>1731</v>
      </c>
      <c r="F146" t="s">
        <v>2969</v>
      </c>
    </row>
    <row r="147" spans="1:6" x14ac:dyDescent="0.25">
      <c r="A147" t="s">
        <v>1730</v>
      </c>
      <c r="B147" t="s">
        <v>302</v>
      </c>
      <c r="C147" t="s">
        <v>125</v>
      </c>
      <c r="D147">
        <v>2</v>
      </c>
      <c r="E147" t="s">
        <v>2071</v>
      </c>
      <c r="F147" t="s">
        <v>2969</v>
      </c>
    </row>
    <row r="148" spans="1:6" x14ac:dyDescent="0.25">
      <c r="A148" t="s">
        <v>1730</v>
      </c>
      <c r="B148" t="s">
        <v>302</v>
      </c>
      <c r="C148" t="s">
        <v>125</v>
      </c>
      <c r="D148">
        <v>3</v>
      </c>
      <c r="E148" t="s">
        <v>2336</v>
      </c>
      <c r="F148" t="s">
        <v>2969</v>
      </c>
    </row>
    <row r="149" spans="1:6" x14ac:dyDescent="0.25">
      <c r="A149" t="s">
        <v>1730</v>
      </c>
      <c r="B149" t="s">
        <v>302</v>
      </c>
      <c r="C149" t="s">
        <v>125</v>
      </c>
      <c r="D149">
        <v>4</v>
      </c>
      <c r="E149" t="s">
        <v>1787</v>
      </c>
      <c r="F149" t="s">
        <v>2969</v>
      </c>
    </row>
    <row r="150" spans="1:6" x14ac:dyDescent="0.25">
      <c r="A150" t="s">
        <v>1732</v>
      </c>
      <c r="B150" t="s">
        <v>304</v>
      </c>
      <c r="C150" t="s">
        <v>105</v>
      </c>
      <c r="D150">
        <v>1</v>
      </c>
      <c r="E150" t="s">
        <v>104</v>
      </c>
      <c r="F150" t="s">
        <v>2969</v>
      </c>
    </row>
    <row r="151" spans="1:6" x14ac:dyDescent="0.25">
      <c r="A151" t="s">
        <v>1732</v>
      </c>
      <c r="B151" t="s">
        <v>304</v>
      </c>
      <c r="C151" t="s">
        <v>105</v>
      </c>
      <c r="D151">
        <v>2</v>
      </c>
      <c r="E151" t="s">
        <v>1655</v>
      </c>
      <c r="F151" t="s">
        <v>2969</v>
      </c>
    </row>
    <row r="152" spans="1:6" x14ac:dyDescent="0.25">
      <c r="A152" t="s">
        <v>1733</v>
      </c>
      <c r="B152" t="s">
        <v>305</v>
      </c>
      <c r="C152" t="s">
        <v>92</v>
      </c>
      <c r="D152">
        <v>1</v>
      </c>
      <c r="E152" t="s">
        <v>1621</v>
      </c>
      <c r="F152" t="s">
        <v>2969</v>
      </c>
    </row>
    <row r="153" spans="1:6" x14ac:dyDescent="0.25">
      <c r="A153" t="s">
        <v>1733</v>
      </c>
      <c r="B153" t="s">
        <v>305</v>
      </c>
      <c r="C153" t="s">
        <v>92</v>
      </c>
      <c r="D153">
        <v>2</v>
      </c>
      <c r="E153" t="s">
        <v>1781</v>
      </c>
      <c r="F153" t="s">
        <v>2969</v>
      </c>
    </row>
    <row r="154" spans="1:6" x14ac:dyDescent="0.25">
      <c r="A154" t="s">
        <v>1733</v>
      </c>
      <c r="B154" t="s">
        <v>305</v>
      </c>
      <c r="C154" t="s">
        <v>92</v>
      </c>
      <c r="D154">
        <v>3</v>
      </c>
      <c r="E154" t="s">
        <v>2088</v>
      </c>
      <c r="F154" t="s">
        <v>2969</v>
      </c>
    </row>
    <row r="155" spans="1:6" x14ac:dyDescent="0.25">
      <c r="A155" t="s">
        <v>1733</v>
      </c>
      <c r="B155" t="s">
        <v>305</v>
      </c>
      <c r="C155" t="s">
        <v>92</v>
      </c>
      <c r="D155">
        <v>4</v>
      </c>
      <c r="E155" t="s">
        <v>2064</v>
      </c>
      <c r="F155" t="s">
        <v>2969</v>
      </c>
    </row>
    <row r="156" spans="1:6" x14ac:dyDescent="0.25">
      <c r="A156" t="s">
        <v>1733</v>
      </c>
      <c r="B156" t="s">
        <v>305</v>
      </c>
      <c r="C156" t="s">
        <v>92</v>
      </c>
      <c r="D156">
        <v>5</v>
      </c>
      <c r="E156" t="s">
        <v>2029</v>
      </c>
      <c r="F156" t="s">
        <v>2969</v>
      </c>
    </row>
    <row r="157" spans="1:6" x14ac:dyDescent="0.25">
      <c r="A157" t="s">
        <v>1733</v>
      </c>
      <c r="B157" t="s">
        <v>305</v>
      </c>
      <c r="C157" t="s">
        <v>92</v>
      </c>
      <c r="D157">
        <v>6</v>
      </c>
      <c r="E157" t="s">
        <v>1983</v>
      </c>
      <c r="F157" t="s">
        <v>2969</v>
      </c>
    </row>
    <row r="158" spans="1:6" x14ac:dyDescent="0.25">
      <c r="A158" t="s">
        <v>1733</v>
      </c>
      <c r="B158" t="s">
        <v>305</v>
      </c>
      <c r="C158" t="s">
        <v>92</v>
      </c>
      <c r="D158">
        <v>7</v>
      </c>
      <c r="E158" t="s">
        <v>2970</v>
      </c>
      <c r="F158" t="s">
        <v>1692</v>
      </c>
    </row>
    <row r="159" spans="1:6" x14ac:dyDescent="0.25">
      <c r="A159" t="s">
        <v>1734</v>
      </c>
      <c r="B159" t="s">
        <v>307</v>
      </c>
      <c r="C159" t="s">
        <v>56</v>
      </c>
      <c r="D159">
        <v>1</v>
      </c>
      <c r="E159" t="s">
        <v>131</v>
      </c>
      <c r="F159" t="s">
        <v>2969</v>
      </c>
    </row>
    <row r="160" spans="1:6" x14ac:dyDescent="0.25">
      <c r="A160" t="s">
        <v>1734</v>
      </c>
      <c r="B160" t="s">
        <v>307</v>
      </c>
      <c r="C160" t="s">
        <v>56</v>
      </c>
      <c r="D160">
        <v>2</v>
      </c>
      <c r="E160" t="s">
        <v>133</v>
      </c>
      <c r="F160" t="s">
        <v>2969</v>
      </c>
    </row>
    <row r="161" spans="1:6" x14ac:dyDescent="0.25">
      <c r="A161" t="s">
        <v>1734</v>
      </c>
      <c r="B161" t="s">
        <v>307</v>
      </c>
      <c r="C161" t="s">
        <v>56</v>
      </c>
      <c r="D161">
        <v>3</v>
      </c>
      <c r="E161" t="s">
        <v>1704</v>
      </c>
      <c r="F161" t="s">
        <v>2969</v>
      </c>
    </row>
    <row r="162" spans="1:6" x14ac:dyDescent="0.25">
      <c r="A162" t="s">
        <v>1734</v>
      </c>
      <c r="B162" t="s">
        <v>307</v>
      </c>
      <c r="C162" t="s">
        <v>56</v>
      </c>
      <c r="D162">
        <v>4</v>
      </c>
      <c r="E162" t="s">
        <v>1769</v>
      </c>
      <c r="F162" t="s">
        <v>2969</v>
      </c>
    </row>
    <row r="163" spans="1:6" x14ac:dyDescent="0.25">
      <c r="A163" t="s">
        <v>1734</v>
      </c>
      <c r="B163" t="s">
        <v>307</v>
      </c>
      <c r="C163" t="s">
        <v>56</v>
      </c>
      <c r="D163">
        <v>5</v>
      </c>
      <c r="E163" t="s">
        <v>36</v>
      </c>
      <c r="F163" t="s">
        <v>2969</v>
      </c>
    </row>
    <row r="164" spans="1:6" x14ac:dyDescent="0.25">
      <c r="A164" t="s">
        <v>1735</v>
      </c>
      <c r="B164" t="s">
        <v>309</v>
      </c>
      <c r="C164" t="s">
        <v>56</v>
      </c>
      <c r="D164">
        <v>1</v>
      </c>
      <c r="E164" t="s">
        <v>1680</v>
      </c>
      <c r="F164" t="s">
        <v>2969</v>
      </c>
    </row>
    <row r="165" spans="1:6" x14ac:dyDescent="0.25">
      <c r="A165" t="s">
        <v>1735</v>
      </c>
      <c r="B165" t="s">
        <v>309</v>
      </c>
      <c r="C165" t="s">
        <v>56</v>
      </c>
      <c r="D165">
        <v>2</v>
      </c>
      <c r="E165" t="s">
        <v>109</v>
      </c>
      <c r="F165" t="s">
        <v>2969</v>
      </c>
    </row>
    <row r="166" spans="1:6" x14ac:dyDescent="0.25">
      <c r="A166" t="s">
        <v>1735</v>
      </c>
      <c r="B166" t="s">
        <v>309</v>
      </c>
      <c r="C166" t="s">
        <v>56</v>
      </c>
      <c r="D166">
        <v>3</v>
      </c>
      <c r="E166" t="s">
        <v>13</v>
      </c>
      <c r="F166" t="s">
        <v>2969</v>
      </c>
    </row>
    <row r="167" spans="1:6" x14ac:dyDescent="0.25">
      <c r="A167" t="s">
        <v>1736</v>
      </c>
      <c r="B167" t="s">
        <v>310</v>
      </c>
      <c r="C167" t="s">
        <v>60</v>
      </c>
      <c r="D167">
        <v>1</v>
      </c>
      <c r="E167" t="s">
        <v>111</v>
      </c>
      <c r="F167" t="s">
        <v>2969</v>
      </c>
    </row>
    <row r="168" spans="1:6" x14ac:dyDescent="0.25">
      <c r="A168" t="s">
        <v>1736</v>
      </c>
      <c r="B168" t="s">
        <v>310</v>
      </c>
      <c r="C168" t="s">
        <v>60</v>
      </c>
      <c r="D168">
        <v>2</v>
      </c>
      <c r="E168" t="s">
        <v>96</v>
      </c>
      <c r="F168" t="s">
        <v>2969</v>
      </c>
    </row>
    <row r="169" spans="1:6" x14ac:dyDescent="0.25">
      <c r="A169" t="s">
        <v>1736</v>
      </c>
      <c r="B169" t="s">
        <v>310</v>
      </c>
      <c r="C169" t="s">
        <v>60</v>
      </c>
      <c r="D169">
        <v>3</v>
      </c>
      <c r="E169" t="s">
        <v>1643</v>
      </c>
      <c r="F169" t="s">
        <v>2969</v>
      </c>
    </row>
    <row r="170" spans="1:6" x14ac:dyDescent="0.25">
      <c r="A170" t="s">
        <v>1737</v>
      </c>
      <c r="B170" t="s">
        <v>312</v>
      </c>
      <c r="C170" t="s">
        <v>46</v>
      </c>
      <c r="D170">
        <v>1</v>
      </c>
      <c r="E170" t="s">
        <v>1621</v>
      </c>
      <c r="F170" t="s">
        <v>2969</v>
      </c>
    </row>
    <row r="171" spans="1:6" x14ac:dyDescent="0.25">
      <c r="A171" t="s">
        <v>1737</v>
      </c>
      <c r="B171" t="s">
        <v>312</v>
      </c>
      <c r="C171" t="s">
        <v>46</v>
      </c>
      <c r="D171">
        <v>2</v>
      </c>
      <c r="E171" t="s">
        <v>2003</v>
      </c>
      <c r="F171" t="s">
        <v>2969</v>
      </c>
    </row>
    <row r="172" spans="1:6" x14ac:dyDescent="0.25">
      <c r="A172" t="s">
        <v>1737</v>
      </c>
      <c r="B172" t="s">
        <v>312</v>
      </c>
      <c r="C172" t="s">
        <v>46</v>
      </c>
      <c r="D172">
        <v>3</v>
      </c>
      <c r="E172" t="s">
        <v>1934</v>
      </c>
      <c r="F172" t="s">
        <v>2969</v>
      </c>
    </row>
    <row r="173" spans="1:6" x14ac:dyDescent="0.25">
      <c r="A173" t="s">
        <v>1738</v>
      </c>
      <c r="B173" t="s">
        <v>314</v>
      </c>
      <c r="C173" t="s">
        <v>112</v>
      </c>
      <c r="D173">
        <v>1</v>
      </c>
      <c r="E173" t="s">
        <v>1739</v>
      </c>
      <c r="F173" t="s">
        <v>2969</v>
      </c>
    </row>
    <row r="174" spans="1:6" x14ac:dyDescent="0.25">
      <c r="A174" t="s">
        <v>1738</v>
      </c>
      <c r="B174" t="s">
        <v>314</v>
      </c>
      <c r="C174" t="s">
        <v>112</v>
      </c>
      <c r="D174">
        <v>2</v>
      </c>
      <c r="E174" t="s">
        <v>2470</v>
      </c>
      <c r="F174" t="s">
        <v>2969</v>
      </c>
    </row>
    <row r="175" spans="1:6" x14ac:dyDescent="0.25">
      <c r="A175" t="s">
        <v>1740</v>
      </c>
      <c r="B175" t="s">
        <v>316</v>
      </c>
      <c r="C175" t="s">
        <v>90</v>
      </c>
      <c r="D175">
        <v>1</v>
      </c>
      <c r="E175" t="s">
        <v>1741</v>
      </c>
      <c r="F175" t="s">
        <v>2969</v>
      </c>
    </row>
    <row r="176" spans="1:6" x14ac:dyDescent="0.25">
      <c r="A176" t="s">
        <v>1740</v>
      </c>
      <c r="B176" t="s">
        <v>316</v>
      </c>
      <c r="C176" t="s">
        <v>90</v>
      </c>
      <c r="D176">
        <v>2</v>
      </c>
      <c r="E176" t="s">
        <v>89</v>
      </c>
      <c r="F176" t="s">
        <v>2969</v>
      </c>
    </row>
    <row r="177" spans="1:6" x14ac:dyDescent="0.25">
      <c r="A177" t="s">
        <v>1742</v>
      </c>
      <c r="B177" t="s">
        <v>318</v>
      </c>
      <c r="C177" t="s">
        <v>121</v>
      </c>
      <c r="D177">
        <v>1</v>
      </c>
      <c r="E177" t="s">
        <v>124</v>
      </c>
      <c r="F177" t="s">
        <v>2969</v>
      </c>
    </row>
    <row r="178" spans="1:6" x14ac:dyDescent="0.25">
      <c r="A178" t="s">
        <v>1742</v>
      </c>
      <c r="B178" t="s">
        <v>318</v>
      </c>
      <c r="C178" t="s">
        <v>121</v>
      </c>
      <c r="D178">
        <v>2</v>
      </c>
      <c r="E178" t="s">
        <v>1667</v>
      </c>
      <c r="F178" t="s">
        <v>2969</v>
      </c>
    </row>
    <row r="179" spans="1:6" x14ac:dyDescent="0.25">
      <c r="A179" t="s">
        <v>1742</v>
      </c>
      <c r="B179" t="s">
        <v>318</v>
      </c>
      <c r="C179" t="s">
        <v>121</v>
      </c>
      <c r="D179">
        <v>3</v>
      </c>
      <c r="E179" t="s">
        <v>1772</v>
      </c>
      <c r="F179" t="s">
        <v>2969</v>
      </c>
    </row>
    <row r="180" spans="1:6" x14ac:dyDescent="0.25">
      <c r="A180" t="s">
        <v>1743</v>
      </c>
      <c r="B180" t="s">
        <v>319</v>
      </c>
      <c r="C180" t="s">
        <v>134</v>
      </c>
      <c r="D180">
        <v>1</v>
      </c>
      <c r="E180" t="s">
        <v>1704</v>
      </c>
      <c r="F180" t="s">
        <v>2969</v>
      </c>
    </row>
    <row r="181" spans="1:6" x14ac:dyDescent="0.25">
      <c r="A181" t="s">
        <v>1743</v>
      </c>
      <c r="B181" t="s">
        <v>319</v>
      </c>
      <c r="C181" t="s">
        <v>134</v>
      </c>
      <c r="D181">
        <v>2</v>
      </c>
      <c r="E181" t="s">
        <v>2081</v>
      </c>
      <c r="F181" t="s">
        <v>2969</v>
      </c>
    </row>
    <row r="182" spans="1:6" x14ac:dyDescent="0.25">
      <c r="A182" t="s">
        <v>1744</v>
      </c>
      <c r="B182" t="s">
        <v>320</v>
      </c>
      <c r="C182" t="s">
        <v>112</v>
      </c>
      <c r="D182">
        <v>1</v>
      </c>
      <c r="E182" t="s">
        <v>1663</v>
      </c>
      <c r="F182" t="s">
        <v>2969</v>
      </c>
    </row>
    <row r="183" spans="1:6" x14ac:dyDescent="0.25">
      <c r="A183" t="s">
        <v>1745</v>
      </c>
      <c r="B183" t="s">
        <v>322</v>
      </c>
      <c r="C183" t="s">
        <v>52</v>
      </c>
      <c r="D183">
        <v>1</v>
      </c>
      <c r="E183" t="s">
        <v>1704</v>
      </c>
      <c r="F183" t="s">
        <v>2969</v>
      </c>
    </row>
    <row r="184" spans="1:6" x14ac:dyDescent="0.25">
      <c r="A184" t="s">
        <v>1745</v>
      </c>
      <c r="B184" t="s">
        <v>322</v>
      </c>
      <c r="C184" t="s">
        <v>52</v>
      </c>
      <c r="D184">
        <v>2</v>
      </c>
      <c r="E184" t="s">
        <v>2081</v>
      </c>
      <c r="F184" t="s">
        <v>2969</v>
      </c>
    </row>
    <row r="185" spans="1:6" x14ac:dyDescent="0.25">
      <c r="A185" t="s">
        <v>1745</v>
      </c>
      <c r="B185" t="s">
        <v>322</v>
      </c>
      <c r="C185" t="s">
        <v>52</v>
      </c>
      <c r="D185">
        <v>3</v>
      </c>
      <c r="E185" t="s">
        <v>1859</v>
      </c>
      <c r="F185" t="s">
        <v>2969</v>
      </c>
    </row>
    <row r="186" spans="1:6" x14ac:dyDescent="0.25">
      <c r="A186" t="s">
        <v>1745</v>
      </c>
      <c r="B186" t="s">
        <v>322</v>
      </c>
      <c r="C186" t="s">
        <v>52</v>
      </c>
      <c r="D186">
        <v>4</v>
      </c>
      <c r="E186" t="s">
        <v>1661</v>
      </c>
      <c r="F186" t="s">
        <v>2969</v>
      </c>
    </row>
    <row r="187" spans="1:6" x14ac:dyDescent="0.25">
      <c r="A187" t="s">
        <v>1745</v>
      </c>
      <c r="B187" t="s">
        <v>322</v>
      </c>
      <c r="C187" t="s">
        <v>52</v>
      </c>
      <c r="D187">
        <v>5</v>
      </c>
      <c r="E187" t="s">
        <v>2046</v>
      </c>
      <c r="F187" t="s">
        <v>2969</v>
      </c>
    </row>
    <row r="188" spans="1:6" x14ac:dyDescent="0.25">
      <c r="A188" t="s">
        <v>1745</v>
      </c>
      <c r="B188" t="s">
        <v>322</v>
      </c>
      <c r="C188" t="s">
        <v>52</v>
      </c>
      <c r="D188">
        <v>6</v>
      </c>
      <c r="E188" t="s">
        <v>1691</v>
      </c>
      <c r="F188" t="s">
        <v>2969</v>
      </c>
    </row>
    <row r="189" spans="1:6" x14ac:dyDescent="0.25">
      <c r="A189" t="s">
        <v>1748</v>
      </c>
      <c r="B189" t="s">
        <v>324</v>
      </c>
      <c r="C189" t="s">
        <v>92</v>
      </c>
      <c r="D189">
        <v>1</v>
      </c>
      <c r="E189" t="s">
        <v>1629</v>
      </c>
      <c r="F189" t="s">
        <v>2969</v>
      </c>
    </row>
    <row r="190" spans="1:6" x14ac:dyDescent="0.25">
      <c r="A190" t="s">
        <v>1748</v>
      </c>
      <c r="B190" t="s">
        <v>324</v>
      </c>
      <c r="C190" t="s">
        <v>92</v>
      </c>
      <c r="D190">
        <v>2</v>
      </c>
      <c r="E190" t="s">
        <v>1624</v>
      </c>
      <c r="F190" t="s">
        <v>2969</v>
      </c>
    </row>
    <row r="191" spans="1:6" x14ac:dyDescent="0.25">
      <c r="A191" t="s">
        <v>1748</v>
      </c>
      <c r="B191" t="s">
        <v>324</v>
      </c>
      <c r="C191" t="s">
        <v>92</v>
      </c>
      <c r="D191">
        <v>3</v>
      </c>
      <c r="E191" t="s">
        <v>2003</v>
      </c>
      <c r="F191" t="s">
        <v>2969</v>
      </c>
    </row>
    <row r="192" spans="1:6" x14ac:dyDescent="0.25">
      <c r="A192" t="s">
        <v>1748</v>
      </c>
      <c r="B192" t="s">
        <v>324</v>
      </c>
      <c r="C192" t="s">
        <v>92</v>
      </c>
      <c r="D192">
        <v>4</v>
      </c>
      <c r="E192" t="s">
        <v>1820</v>
      </c>
      <c r="F192" t="s">
        <v>2969</v>
      </c>
    </row>
    <row r="193" spans="1:6" x14ac:dyDescent="0.25">
      <c r="A193" t="s">
        <v>1748</v>
      </c>
      <c r="B193" t="s">
        <v>324</v>
      </c>
      <c r="C193" t="s">
        <v>92</v>
      </c>
      <c r="D193">
        <v>5</v>
      </c>
      <c r="E193" t="s">
        <v>1683</v>
      </c>
      <c r="F193" t="s">
        <v>2969</v>
      </c>
    </row>
    <row r="194" spans="1:6" x14ac:dyDescent="0.25">
      <c r="A194" t="s">
        <v>1748</v>
      </c>
      <c r="B194" t="s">
        <v>324</v>
      </c>
      <c r="C194" t="s">
        <v>92</v>
      </c>
      <c r="D194">
        <v>6</v>
      </c>
      <c r="E194" t="s">
        <v>2273</v>
      </c>
      <c r="F194" t="s">
        <v>2969</v>
      </c>
    </row>
    <row r="195" spans="1:6" x14ac:dyDescent="0.25">
      <c r="A195" t="s">
        <v>1748</v>
      </c>
      <c r="B195" t="s">
        <v>324</v>
      </c>
      <c r="C195" t="s">
        <v>92</v>
      </c>
      <c r="D195">
        <v>7</v>
      </c>
      <c r="E195" t="s">
        <v>1775</v>
      </c>
      <c r="F195" t="s">
        <v>1692</v>
      </c>
    </row>
    <row r="196" spans="1:6" x14ac:dyDescent="0.25">
      <c r="A196" t="s">
        <v>1749</v>
      </c>
      <c r="B196" t="s">
        <v>326</v>
      </c>
      <c r="C196" t="s">
        <v>73</v>
      </c>
      <c r="D196">
        <v>1</v>
      </c>
      <c r="E196" t="s">
        <v>64</v>
      </c>
      <c r="F196" t="s">
        <v>2969</v>
      </c>
    </row>
    <row r="197" spans="1:6" x14ac:dyDescent="0.25">
      <c r="A197" t="s">
        <v>1750</v>
      </c>
      <c r="B197" t="s">
        <v>328</v>
      </c>
      <c r="C197" t="s">
        <v>46</v>
      </c>
      <c r="D197">
        <v>1</v>
      </c>
      <c r="E197" t="s">
        <v>1751</v>
      </c>
      <c r="F197" t="s">
        <v>2969</v>
      </c>
    </row>
    <row r="198" spans="1:6" x14ac:dyDescent="0.25">
      <c r="A198" t="s">
        <v>1750</v>
      </c>
      <c r="B198" t="s">
        <v>328</v>
      </c>
      <c r="C198" t="s">
        <v>46</v>
      </c>
      <c r="D198">
        <v>2</v>
      </c>
      <c r="E198" t="s">
        <v>1934</v>
      </c>
      <c r="F198" t="s">
        <v>2969</v>
      </c>
    </row>
    <row r="199" spans="1:6" x14ac:dyDescent="0.25">
      <c r="A199" t="s">
        <v>1750</v>
      </c>
      <c r="B199" t="s">
        <v>328</v>
      </c>
      <c r="C199" t="s">
        <v>46</v>
      </c>
      <c r="D199">
        <v>3</v>
      </c>
      <c r="E199" t="s">
        <v>1828</v>
      </c>
      <c r="F199" t="s">
        <v>2969</v>
      </c>
    </row>
    <row r="200" spans="1:6" x14ac:dyDescent="0.25">
      <c r="A200" t="s">
        <v>1750</v>
      </c>
      <c r="B200" t="s">
        <v>328</v>
      </c>
      <c r="C200" t="s">
        <v>46</v>
      </c>
      <c r="D200">
        <v>4</v>
      </c>
      <c r="E200" t="s">
        <v>1683</v>
      </c>
      <c r="F200" t="s">
        <v>2969</v>
      </c>
    </row>
    <row r="201" spans="1:6" x14ac:dyDescent="0.25">
      <c r="A201" t="s">
        <v>1752</v>
      </c>
      <c r="B201" t="s">
        <v>330</v>
      </c>
      <c r="C201" t="s">
        <v>27</v>
      </c>
      <c r="D201">
        <v>1</v>
      </c>
      <c r="E201" t="s">
        <v>1724</v>
      </c>
      <c r="F201" t="s">
        <v>2969</v>
      </c>
    </row>
    <row r="202" spans="1:6" x14ac:dyDescent="0.25">
      <c r="A202" t="s">
        <v>1752</v>
      </c>
      <c r="B202" t="s">
        <v>330</v>
      </c>
      <c r="C202" t="s">
        <v>27</v>
      </c>
      <c r="D202">
        <v>2</v>
      </c>
      <c r="E202" t="s">
        <v>2470</v>
      </c>
      <c r="F202" t="s">
        <v>2969</v>
      </c>
    </row>
    <row r="203" spans="1:6" x14ac:dyDescent="0.25">
      <c r="A203" t="s">
        <v>1753</v>
      </c>
      <c r="B203" t="s">
        <v>332</v>
      </c>
      <c r="C203" t="s">
        <v>34</v>
      </c>
      <c r="D203">
        <v>1</v>
      </c>
      <c r="E203" t="s">
        <v>1754</v>
      </c>
      <c r="F203" t="s">
        <v>2969</v>
      </c>
    </row>
    <row r="204" spans="1:6" x14ac:dyDescent="0.25">
      <c r="A204" t="s">
        <v>1753</v>
      </c>
      <c r="B204" t="s">
        <v>332</v>
      </c>
      <c r="C204" t="s">
        <v>34</v>
      </c>
      <c r="D204">
        <v>2</v>
      </c>
      <c r="E204" t="s">
        <v>1807</v>
      </c>
      <c r="F204" t="s">
        <v>2969</v>
      </c>
    </row>
    <row r="205" spans="1:6" x14ac:dyDescent="0.25">
      <c r="A205" t="s">
        <v>1753</v>
      </c>
      <c r="B205" t="s">
        <v>332</v>
      </c>
      <c r="C205" t="s">
        <v>34</v>
      </c>
      <c r="D205">
        <v>3</v>
      </c>
      <c r="E205" t="s">
        <v>19</v>
      </c>
      <c r="F205" t="s">
        <v>2969</v>
      </c>
    </row>
    <row r="206" spans="1:6" x14ac:dyDescent="0.25">
      <c r="A206" t="s">
        <v>1755</v>
      </c>
      <c r="B206" t="s">
        <v>333</v>
      </c>
      <c r="C206" t="s">
        <v>34</v>
      </c>
      <c r="D206">
        <v>1</v>
      </c>
      <c r="E206" t="s">
        <v>1637</v>
      </c>
      <c r="F206" t="s">
        <v>2969</v>
      </c>
    </row>
    <row r="207" spans="1:6" x14ac:dyDescent="0.25">
      <c r="A207" t="s">
        <v>1756</v>
      </c>
      <c r="B207" t="s">
        <v>335</v>
      </c>
      <c r="C207" t="s">
        <v>100</v>
      </c>
      <c r="D207">
        <v>1</v>
      </c>
      <c r="E207" t="s">
        <v>1645</v>
      </c>
      <c r="F207" t="s">
        <v>2969</v>
      </c>
    </row>
    <row r="208" spans="1:6" x14ac:dyDescent="0.25">
      <c r="A208" t="s">
        <v>1756</v>
      </c>
      <c r="B208" t="s">
        <v>335</v>
      </c>
      <c r="C208" t="s">
        <v>100</v>
      </c>
      <c r="D208">
        <v>2</v>
      </c>
      <c r="E208" t="s">
        <v>1634</v>
      </c>
      <c r="F208" t="s">
        <v>2969</v>
      </c>
    </row>
    <row r="209" spans="1:6" x14ac:dyDescent="0.25">
      <c r="A209" t="s">
        <v>1756</v>
      </c>
      <c r="B209" t="s">
        <v>335</v>
      </c>
      <c r="C209" t="s">
        <v>100</v>
      </c>
      <c r="D209">
        <v>3</v>
      </c>
      <c r="E209" t="s">
        <v>1953</v>
      </c>
      <c r="F209" t="s">
        <v>2969</v>
      </c>
    </row>
    <row r="210" spans="1:6" x14ac:dyDescent="0.25">
      <c r="A210" t="s">
        <v>1756</v>
      </c>
      <c r="B210" t="s">
        <v>335</v>
      </c>
      <c r="C210" t="s">
        <v>100</v>
      </c>
      <c r="D210">
        <v>4</v>
      </c>
      <c r="E210" t="s">
        <v>1781</v>
      </c>
      <c r="F210" t="s">
        <v>2969</v>
      </c>
    </row>
    <row r="211" spans="1:6" x14ac:dyDescent="0.25">
      <c r="A211" t="s">
        <v>1756</v>
      </c>
      <c r="B211" t="s">
        <v>335</v>
      </c>
      <c r="C211" t="s">
        <v>100</v>
      </c>
      <c r="D211">
        <v>5</v>
      </c>
      <c r="E211" t="s">
        <v>1934</v>
      </c>
      <c r="F211" t="s">
        <v>2969</v>
      </c>
    </row>
    <row r="212" spans="1:6" x14ac:dyDescent="0.25">
      <c r="A212" t="s">
        <v>1756</v>
      </c>
      <c r="B212" t="s">
        <v>335</v>
      </c>
      <c r="C212" t="s">
        <v>100</v>
      </c>
      <c r="D212">
        <v>6</v>
      </c>
      <c r="E212" t="s">
        <v>2032</v>
      </c>
      <c r="F212" t="s">
        <v>2969</v>
      </c>
    </row>
    <row r="213" spans="1:6" x14ac:dyDescent="0.25">
      <c r="A213" t="s">
        <v>1756</v>
      </c>
      <c r="B213" t="s">
        <v>335</v>
      </c>
      <c r="C213" t="s">
        <v>100</v>
      </c>
      <c r="D213">
        <v>7</v>
      </c>
      <c r="E213" t="s">
        <v>1923</v>
      </c>
      <c r="F213" t="s">
        <v>1692</v>
      </c>
    </row>
    <row r="214" spans="1:6" x14ac:dyDescent="0.25">
      <c r="A214" t="s">
        <v>1757</v>
      </c>
      <c r="B214" t="s">
        <v>336</v>
      </c>
      <c r="C214" t="s">
        <v>105</v>
      </c>
      <c r="D214">
        <v>1</v>
      </c>
      <c r="E214" t="s">
        <v>1758</v>
      </c>
      <c r="F214" t="s">
        <v>2969</v>
      </c>
    </row>
    <row r="215" spans="1:6" x14ac:dyDescent="0.25">
      <c r="A215" t="s">
        <v>1757</v>
      </c>
      <c r="B215" t="s">
        <v>336</v>
      </c>
      <c r="C215" t="s">
        <v>105</v>
      </c>
      <c r="D215">
        <v>2</v>
      </c>
      <c r="E215" t="s">
        <v>1667</v>
      </c>
      <c r="F215" t="s">
        <v>2969</v>
      </c>
    </row>
    <row r="216" spans="1:6" x14ac:dyDescent="0.25">
      <c r="A216" t="s">
        <v>1757</v>
      </c>
      <c r="B216" t="s">
        <v>336</v>
      </c>
      <c r="C216" t="s">
        <v>105</v>
      </c>
      <c r="D216">
        <v>3</v>
      </c>
      <c r="E216" t="s">
        <v>78</v>
      </c>
      <c r="F216" t="s">
        <v>2969</v>
      </c>
    </row>
    <row r="217" spans="1:6" x14ac:dyDescent="0.25">
      <c r="A217" t="s">
        <v>1759</v>
      </c>
      <c r="B217" t="s">
        <v>337</v>
      </c>
      <c r="C217" t="s">
        <v>132</v>
      </c>
      <c r="D217">
        <v>1</v>
      </c>
      <c r="E217" t="s">
        <v>1760</v>
      </c>
      <c r="F217" t="s">
        <v>2969</v>
      </c>
    </row>
    <row r="218" spans="1:6" x14ac:dyDescent="0.25">
      <c r="A218" t="s">
        <v>1759</v>
      </c>
      <c r="B218" t="s">
        <v>337</v>
      </c>
      <c r="C218" t="s">
        <v>132</v>
      </c>
      <c r="D218">
        <v>2</v>
      </c>
      <c r="E218" t="s">
        <v>1779</v>
      </c>
      <c r="F218" t="s">
        <v>2969</v>
      </c>
    </row>
    <row r="219" spans="1:6" x14ac:dyDescent="0.25">
      <c r="A219" t="s">
        <v>1759</v>
      </c>
      <c r="B219" t="s">
        <v>337</v>
      </c>
      <c r="C219" t="s">
        <v>132</v>
      </c>
      <c r="D219">
        <v>3</v>
      </c>
      <c r="E219" t="s">
        <v>2230</v>
      </c>
      <c r="F219" t="s">
        <v>2969</v>
      </c>
    </row>
    <row r="220" spans="1:6" x14ac:dyDescent="0.25">
      <c r="A220" t="s">
        <v>1761</v>
      </c>
      <c r="B220" t="s">
        <v>339</v>
      </c>
      <c r="C220" t="s">
        <v>130</v>
      </c>
      <c r="D220">
        <v>1</v>
      </c>
      <c r="E220" t="s">
        <v>1673</v>
      </c>
      <c r="F220" t="s">
        <v>2969</v>
      </c>
    </row>
    <row r="221" spans="1:6" x14ac:dyDescent="0.25">
      <c r="A221" t="s">
        <v>1761</v>
      </c>
      <c r="B221" t="s">
        <v>339</v>
      </c>
      <c r="C221" t="s">
        <v>130</v>
      </c>
      <c r="D221">
        <v>2</v>
      </c>
      <c r="E221" t="s">
        <v>1859</v>
      </c>
      <c r="F221" t="s">
        <v>2969</v>
      </c>
    </row>
    <row r="222" spans="1:6" x14ac:dyDescent="0.25">
      <c r="A222" t="s">
        <v>1761</v>
      </c>
      <c r="B222" t="s">
        <v>339</v>
      </c>
      <c r="C222" t="s">
        <v>130</v>
      </c>
      <c r="D222">
        <v>3</v>
      </c>
      <c r="E222" t="s">
        <v>70</v>
      </c>
      <c r="F222" t="s">
        <v>2969</v>
      </c>
    </row>
    <row r="223" spans="1:6" x14ac:dyDescent="0.25">
      <c r="A223" t="s">
        <v>1762</v>
      </c>
      <c r="B223" t="s">
        <v>340</v>
      </c>
      <c r="C223" t="s">
        <v>112</v>
      </c>
      <c r="D223">
        <v>1</v>
      </c>
      <c r="E223" t="s">
        <v>1651</v>
      </c>
      <c r="F223" t="s">
        <v>2969</v>
      </c>
    </row>
    <row r="224" spans="1:6" x14ac:dyDescent="0.25">
      <c r="A224" t="s">
        <v>1762</v>
      </c>
      <c r="B224" t="s">
        <v>340</v>
      </c>
      <c r="C224" t="s">
        <v>112</v>
      </c>
      <c r="D224">
        <v>2</v>
      </c>
      <c r="E224" t="s">
        <v>2470</v>
      </c>
      <c r="F224" t="s">
        <v>2969</v>
      </c>
    </row>
    <row r="225" spans="1:6" x14ac:dyDescent="0.25">
      <c r="A225" t="s">
        <v>1763</v>
      </c>
      <c r="B225" t="s">
        <v>342</v>
      </c>
      <c r="C225" t="s">
        <v>8</v>
      </c>
      <c r="D225">
        <v>1</v>
      </c>
      <c r="E225" t="s">
        <v>1764</v>
      </c>
      <c r="F225" t="s">
        <v>2969</v>
      </c>
    </row>
    <row r="226" spans="1:6" x14ac:dyDescent="0.25">
      <c r="A226" t="s">
        <v>1763</v>
      </c>
      <c r="B226" t="s">
        <v>342</v>
      </c>
      <c r="C226" t="s">
        <v>8</v>
      </c>
      <c r="D226">
        <v>2</v>
      </c>
      <c r="E226" t="s">
        <v>1779</v>
      </c>
      <c r="F226" t="s">
        <v>2969</v>
      </c>
    </row>
    <row r="227" spans="1:6" x14ac:dyDescent="0.25">
      <c r="A227" t="s">
        <v>1765</v>
      </c>
      <c r="B227" t="s">
        <v>344</v>
      </c>
      <c r="C227" t="s">
        <v>116</v>
      </c>
      <c r="D227">
        <v>1</v>
      </c>
      <c r="E227" t="s">
        <v>1699</v>
      </c>
      <c r="F227" t="s">
        <v>2969</v>
      </c>
    </row>
    <row r="228" spans="1:6" x14ac:dyDescent="0.25">
      <c r="A228" t="s">
        <v>1765</v>
      </c>
      <c r="B228" t="s">
        <v>344</v>
      </c>
      <c r="C228" t="s">
        <v>116</v>
      </c>
      <c r="D228">
        <v>2</v>
      </c>
      <c r="E228" t="s">
        <v>1931</v>
      </c>
      <c r="F228" t="s">
        <v>2969</v>
      </c>
    </row>
    <row r="229" spans="1:6" x14ac:dyDescent="0.25">
      <c r="A229" t="s">
        <v>1765</v>
      </c>
      <c r="B229" t="s">
        <v>344</v>
      </c>
      <c r="C229" t="s">
        <v>116</v>
      </c>
      <c r="D229">
        <v>3</v>
      </c>
      <c r="E229" t="s">
        <v>2111</v>
      </c>
      <c r="F229" t="s">
        <v>2969</v>
      </c>
    </row>
    <row r="230" spans="1:6" x14ac:dyDescent="0.25">
      <c r="A230" t="s">
        <v>1766</v>
      </c>
      <c r="B230" t="s">
        <v>346</v>
      </c>
      <c r="C230" t="s">
        <v>101</v>
      </c>
      <c r="D230">
        <v>1</v>
      </c>
      <c r="E230" t="s">
        <v>1731</v>
      </c>
      <c r="F230" t="s">
        <v>2969</v>
      </c>
    </row>
    <row r="231" spans="1:6" x14ac:dyDescent="0.25">
      <c r="A231" t="s">
        <v>1767</v>
      </c>
      <c r="B231" t="s">
        <v>348</v>
      </c>
      <c r="C231" t="s">
        <v>85</v>
      </c>
      <c r="D231">
        <v>1</v>
      </c>
      <c r="E231" t="s">
        <v>78</v>
      </c>
      <c r="F231" t="s">
        <v>2969</v>
      </c>
    </row>
    <row r="232" spans="1:6" x14ac:dyDescent="0.25">
      <c r="A232" t="s">
        <v>1767</v>
      </c>
      <c r="B232" t="s">
        <v>348</v>
      </c>
      <c r="C232" t="s">
        <v>85</v>
      </c>
      <c r="D232">
        <v>2</v>
      </c>
      <c r="E232" t="s">
        <v>1801</v>
      </c>
      <c r="F232" t="s">
        <v>2969</v>
      </c>
    </row>
    <row r="233" spans="1:6" x14ac:dyDescent="0.25">
      <c r="A233" t="s">
        <v>1768</v>
      </c>
      <c r="B233" t="s">
        <v>350</v>
      </c>
      <c r="C233" t="s">
        <v>132</v>
      </c>
      <c r="D233">
        <v>1</v>
      </c>
      <c r="E233" t="s">
        <v>1769</v>
      </c>
      <c r="F233" t="s">
        <v>2969</v>
      </c>
    </row>
    <row r="234" spans="1:6" x14ac:dyDescent="0.25">
      <c r="A234" t="s">
        <v>1768</v>
      </c>
      <c r="B234" t="s">
        <v>350</v>
      </c>
      <c r="C234" t="s">
        <v>132</v>
      </c>
      <c r="D234">
        <v>2</v>
      </c>
      <c r="E234" t="s">
        <v>1850</v>
      </c>
      <c r="F234" t="s">
        <v>2969</v>
      </c>
    </row>
    <row r="235" spans="1:6" x14ac:dyDescent="0.25">
      <c r="A235" t="s">
        <v>1770</v>
      </c>
      <c r="B235" t="s">
        <v>351</v>
      </c>
      <c r="C235" t="s">
        <v>69</v>
      </c>
      <c r="D235">
        <v>1</v>
      </c>
      <c r="E235" t="s">
        <v>104</v>
      </c>
      <c r="F235" t="s">
        <v>2969</v>
      </c>
    </row>
    <row r="236" spans="1:6" x14ac:dyDescent="0.25">
      <c r="A236" t="s">
        <v>1770</v>
      </c>
      <c r="B236" t="s">
        <v>351</v>
      </c>
      <c r="C236" t="s">
        <v>69</v>
      </c>
      <c r="D236">
        <v>2</v>
      </c>
      <c r="E236" t="s">
        <v>1879</v>
      </c>
      <c r="F236" t="s">
        <v>2969</v>
      </c>
    </row>
    <row r="237" spans="1:6" x14ac:dyDescent="0.25">
      <c r="A237" t="s">
        <v>1770</v>
      </c>
      <c r="B237" t="s">
        <v>351</v>
      </c>
      <c r="C237" t="s">
        <v>69</v>
      </c>
      <c r="D237">
        <v>3</v>
      </c>
      <c r="E237" t="s">
        <v>1653</v>
      </c>
      <c r="F237" t="s">
        <v>2969</v>
      </c>
    </row>
    <row r="238" spans="1:6" x14ac:dyDescent="0.25">
      <c r="A238" t="s">
        <v>1771</v>
      </c>
      <c r="B238" t="s">
        <v>353</v>
      </c>
      <c r="C238" t="s">
        <v>59</v>
      </c>
      <c r="D238">
        <v>1</v>
      </c>
      <c r="E238" t="s">
        <v>1772</v>
      </c>
      <c r="F238" t="s">
        <v>2969</v>
      </c>
    </row>
    <row r="239" spans="1:6" x14ac:dyDescent="0.25">
      <c r="A239" t="s">
        <v>1771</v>
      </c>
      <c r="B239" t="s">
        <v>353</v>
      </c>
      <c r="C239" t="s">
        <v>59</v>
      </c>
      <c r="D239">
        <v>2</v>
      </c>
      <c r="E239" t="s">
        <v>78</v>
      </c>
      <c r="F239" t="s">
        <v>2969</v>
      </c>
    </row>
    <row r="240" spans="1:6" x14ac:dyDescent="0.25">
      <c r="A240" t="s">
        <v>1773</v>
      </c>
      <c r="B240" t="s">
        <v>355</v>
      </c>
      <c r="C240" t="s">
        <v>103</v>
      </c>
      <c r="D240">
        <v>1</v>
      </c>
      <c r="E240" t="s">
        <v>1709</v>
      </c>
      <c r="F240" t="s">
        <v>2969</v>
      </c>
    </row>
    <row r="241" spans="1:6" x14ac:dyDescent="0.25">
      <c r="A241" t="s">
        <v>1773</v>
      </c>
      <c r="B241" t="s">
        <v>355</v>
      </c>
      <c r="C241" t="s">
        <v>103</v>
      </c>
      <c r="D241">
        <v>2</v>
      </c>
      <c r="E241" t="s">
        <v>48</v>
      </c>
      <c r="F241" t="s">
        <v>2969</v>
      </c>
    </row>
    <row r="242" spans="1:6" x14ac:dyDescent="0.25">
      <c r="A242" t="s">
        <v>1773</v>
      </c>
      <c r="B242" t="s">
        <v>355</v>
      </c>
      <c r="C242" t="s">
        <v>103</v>
      </c>
      <c r="D242">
        <v>3</v>
      </c>
      <c r="E242" t="s">
        <v>1667</v>
      </c>
      <c r="F242" t="s">
        <v>2969</v>
      </c>
    </row>
    <row r="243" spans="1:6" x14ac:dyDescent="0.25">
      <c r="A243" t="s">
        <v>1773</v>
      </c>
      <c r="B243" t="s">
        <v>355</v>
      </c>
      <c r="C243" t="s">
        <v>103</v>
      </c>
      <c r="D243">
        <v>4</v>
      </c>
      <c r="E243" t="s">
        <v>78</v>
      </c>
      <c r="F243" t="s">
        <v>2969</v>
      </c>
    </row>
    <row r="244" spans="1:6" x14ac:dyDescent="0.25">
      <c r="A244" t="s">
        <v>1774</v>
      </c>
      <c r="B244" t="s">
        <v>357</v>
      </c>
      <c r="C244" t="s">
        <v>66</v>
      </c>
      <c r="D244">
        <v>1</v>
      </c>
      <c r="E244" t="s">
        <v>1775</v>
      </c>
      <c r="F244" t="s">
        <v>2969</v>
      </c>
    </row>
    <row r="245" spans="1:6" x14ac:dyDescent="0.25">
      <c r="A245" t="s">
        <v>1774</v>
      </c>
      <c r="B245" t="s">
        <v>357</v>
      </c>
      <c r="C245" t="s">
        <v>66</v>
      </c>
      <c r="D245">
        <v>2</v>
      </c>
      <c r="E245" t="s">
        <v>2786</v>
      </c>
      <c r="F245" t="s">
        <v>2969</v>
      </c>
    </row>
    <row r="246" spans="1:6" x14ac:dyDescent="0.25">
      <c r="A246" t="s">
        <v>1776</v>
      </c>
      <c r="B246" t="s">
        <v>359</v>
      </c>
      <c r="C246" t="s">
        <v>46</v>
      </c>
      <c r="D246">
        <v>1</v>
      </c>
      <c r="E246" t="s">
        <v>51</v>
      </c>
      <c r="F246" t="s">
        <v>2969</v>
      </c>
    </row>
    <row r="247" spans="1:6" x14ac:dyDescent="0.25">
      <c r="A247" t="s">
        <v>1776</v>
      </c>
      <c r="B247" t="s">
        <v>359</v>
      </c>
      <c r="C247" t="s">
        <v>46</v>
      </c>
      <c r="D247">
        <v>2</v>
      </c>
      <c r="E247" t="s">
        <v>1726</v>
      </c>
      <c r="F247" t="s">
        <v>2969</v>
      </c>
    </row>
    <row r="248" spans="1:6" x14ac:dyDescent="0.25">
      <c r="A248" t="s">
        <v>1777</v>
      </c>
      <c r="B248" t="s">
        <v>361</v>
      </c>
      <c r="C248" t="s">
        <v>98</v>
      </c>
      <c r="D248">
        <v>1</v>
      </c>
      <c r="E248" t="s">
        <v>131</v>
      </c>
      <c r="F248" t="s">
        <v>2969</v>
      </c>
    </row>
    <row r="249" spans="1:6" x14ac:dyDescent="0.25">
      <c r="A249" t="s">
        <v>1777</v>
      </c>
      <c r="B249" t="s">
        <v>361</v>
      </c>
      <c r="C249" t="s">
        <v>98</v>
      </c>
      <c r="D249">
        <v>2</v>
      </c>
      <c r="E249" t="s">
        <v>133</v>
      </c>
      <c r="F249" t="s">
        <v>2969</v>
      </c>
    </row>
    <row r="250" spans="1:6" x14ac:dyDescent="0.25">
      <c r="A250" t="s">
        <v>1777</v>
      </c>
      <c r="B250" t="s">
        <v>361</v>
      </c>
      <c r="C250" t="s">
        <v>98</v>
      </c>
      <c r="D250">
        <v>3</v>
      </c>
      <c r="E250" t="s">
        <v>1809</v>
      </c>
      <c r="F250" t="s">
        <v>2969</v>
      </c>
    </row>
    <row r="251" spans="1:6" x14ac:dyDescent="0.25">
      <c r="A251" t="s">
        <v>1777</v>
      </c>
      <c r="B251" t="s">
        <v>361</v>
      </c>
      <c r="C251" t="s">
        <v>98</v>
      </c>
      <c r="D251">
        <v>4</v>
      </c>
      <c r="E251" t="s">
        <v>1769</v>
      </c>
      <c r="F251" t="s">
        <v>2969</v>
      </c>
    </row>
    <row r="252" spans="1:6" x14ac:dyDescent="0.25">
      <c r="A252" t="s">
        <v>1777</v>
      </c>
      <c r="B252" t="s">
        <v>361</v>
      </c>
      <c r="C252" t="s">
        <v>98</v>
      </c>
      <c r="D252">
        <v>5</v>
      </c>
      <c r="E252" t="s">
        <v>36</v>
      </c>
      <c r="F252" t="s">
        <v>2969</v>
      </c>
    </row>
    <row r="253" spans="1:6" x14ac:dyDescent="0.25">
      <c r="A253" t="s">
        <v>1778</v>
      </c>
      <c r="B253" t="s">
        <v>363</v>
      </c>
      <c r="C253" t="s">
        <v>132</v>
      </c>
      <c r="D253">
        <v>1</v>
      </c>
      <c r="E253" t="s">
        <v>1779</v>
      </c>
      <c r="F253" t="s">
        <v>2969</v>
      </c>
    </row>
    <row r="254" spans="1:6" x14ac:dyDescent="0.25">
      <c r="A254" t="s">
        <v>1778</v>
      </c>
      <c r="B254" t="s">
        <v>363</v>
      </c>
      <c r="C254" t="s">
        <v>132</v>
      </c>
      <c r="D254">
        <v>2</v>
      </c>
      <c r="E254" t="s">
        <v>2230</v>
      </c>
      <c r="F254" t="s">
        <v>2969</v>
      </c>
    </row>
    <row r="255" spans="1:6" x14ac:dyDescent="0.25">
      <c r="A255" t="s">
        <v>1778</v>
      </c>
      <c r="B255" t="s">
        <v>363</v>
      </c>
      <c r="C255" t="s">
        <v>132</v>
      </c>
      <c r="D255">
        <v>3</v>
      </c>
      <c r="E255" t="s">
        <v>2094</v>
      </c>
      <c r="F255" t="s">
        <v>2969</v>
      </c>
    </row>
    <row r="256" spans="1:6" x14ac:dyDescent="0.25">
      <c r="A256" t="s">
        <v>1778</v>
      </c>
      <c r="B256" t="s">
        <v>363</v>
      </c>
      <c r="C256" t="s">
        <v>132</v>
      </c>
      <c r="D256">
        <v>4</v>
      </c>
      <c r="E256" t="s">
        <v>1904</v>
      </c>
      <c r="F256" t="s">
        <v>2969</v>
      </c>
    </row>
    <row r="257" spans="1:6" x14ac:dyDescent="0.25">
      <c r="A257" t="s">
        <v>1778</v>
      </c>
      <c r="B257" t="s">
        <v>363</v>
      </c>
      <c r="C257" t="s">
        <v>132</v>
      </c>
      <c r="D257">
        <v>5</v>
      </c>
      <c r="E257" t="s">
        <v>82</v>
      </c>
      <c r="F257" t="s">
        <v>2969</v>
      </c>
    </row>
    <row r="258" spans="1:6" x14ac:dyDescent="0.25">
      <c r="A258" t="s">
        <v>1778</v>
      </c>
      <c r="B258" t="s">
        <v>363</v>
      </c>
      <c r="C258" t="s">
        <v>132</v>
      </c>
      <c r="D258">
        <v>6</v>
      </c>
      <c r="E258" t="s">
        <v>1879</v>
      </c>
      <c r="F258" t="s">
        <v>2969</v>
      </c>
    </row>
    <row r="259" spans="1:6" x14ac:dyDescent="0.25">
      <c r="A259" t="s">
        <v>1778</v>
      </c>
      <c r="B259" t="s">
        <v>363</v>
      </c>
      <c r="C259" t="s">
        <v>132</v>
      </c>
      <c r="D259">
        <v>7</v>
      </c>
      <c r="E259" t="s">
        <v>1711</v>
      </c>
      <c r="F259" t="s">
        <v>1692</v>
      </c>
    </row>
    <row r="260" spans="1:6" x14ac:dyDescent="0.25">
      <c r="A260" t="s">
        <v>1780</v>
      </c>
      <c r="B260" t="s">
        <v>365</v>
      </c>
      <c r="C260" t="s">
        <v>46</v>
      </c>
      <c r="D260">
        <v>1</v>
      </c>
      <c r="E260" t="s">
        <v>1781</v>
      </c>
      <c r="F260" t="s">
        <v>2969</v>
      </c>
    </row>
    <row r="261" spans="1:6" x14ac:dyDescent="0.25">
      <c r="A261" t="s">
        <v>1780</v>
      </c>
      <c r="B261" t="s">
        <v>365</v>
      </c>
      <c r="C261" t="s">
        <v>46</v>
      </c>
      <c r="D261">
        <v>2</v>
      </c>
      <c r="E261" t="s">
        <v>1923</v>
      </c>
      <c r="F261" t="s">
        <v>2969</v>
      </c>
    </row>
    <row r="262" spans="1:6" x14ac:dyDescent="0.25">
      <c r="A262" t="s">
        <v>1780</v>
      </c>
      <c r="B262" t="s">
        <v>365</v>
      </c>
      <c r="C262" t="s">
        <v>46</v>
      </c>
      <c r="D262">
        <v>3</v>
      </c>
      <c r="E262" t="s">
        <v>1820</v>
      </c>
      <c r="F262" t="s">
        <v>2969</v>
      </c>
    </row>
    <row r="263" spans="1:6" x14ac:dyDescent="0.25">
      <c r="A263" t="s">
        <v>1782</v>
      </c>
      <c r="B263" t="s">
        <v>367</v>
      </c>
      <c r="C263" t="s">
        <v>100</v>
      </c>
      <c r="D263">
        <v>1</v>
      </c>
      <c r="E263" t="s">
        <v>78</v>
      </c>
      <c r="F263" t="s">
        <v>2969</v>
      </c>
    </row>
    <row r="264" spans="1:6" x14ac:dyDescent="0.25">
      <c r="A264" t="s">
        <v>1782</v>
      </c>
      <c r="B264" t="s">
        <v>367</v>
      </c>
      <c r="C264" t="s">
        <v>100</v>
      </c>
      <c r="D264">
        <v>2</v>
      </c>
      <c r="E264" t="s">
        <v>1862</v>
      </c>
      <c r="F264" t="s">
        <v>2969</v>
      </c>
    </row>
    <row r="265" spans="1:6" x14ac:dyDescent="0.25">
      <c r="A265" t="s">
        <v>1783</v>
      </c>
      <c r="B265" t="s">
        <v>368</v>
      </c>
      <c r="C265" t="s">
        <v>14</v>
      </c>
      <c r="D265">
        <v>1</v>
      </c>
      <c r="E265" t="s">
        <v>1667</v>
      </c>
      <c r="F265" t="s">
        <v>2969</v>
      </c>
    </row>
    <row r="266" spans="1:6" x14ac:dyDescent="0.25">
      <c r="A266" t="s">
        <v>1783</v>
      </c>
      <c r="B266" t="s">
        <v>368</v>
      </c>
      <c r="C266" t="s">
        <v>14</v>
      </c>
      <c r="D266">
        <v>2</v>
      </c>
      <c r="E266" t="s">
        <v>1772</v>
      </c>
      <c r="F266" t="s">
        <v>2969</v>
      </c>
    </row>
    <row r="267" spans="1:6" x14ac:dyDescent="0.25">
      <c r="A267" t="s">
        <v>1783</v>
      </c>
      <c r="B267" t="s">
        <v>368</v>
      </c>
      <c r="C267" t="s">
        <v>14</v>
      </c>
      <c r="D267">
        <v>3</v>
      </c>
      <c r="E267" t="s">
        <v>78</v>
      </c>
      <c r="F267" t="s">
        <v>2969</v>
      </c>
    </row>
    <row r="268" spans="1:6" x14ac:dyDescent="0.25">
      <c r="A268" t="s">
        <v>1783</v>
      </c>
      <c r="B268" t="s">
        <v>368</v>
      </c>
      <c r="C268" t="s">
        <v>14</v>
      </c>
      <c r="D268">
        <v>4</v>
      </c>
      <c r="E268" t="s">
        <v>1634</v>
      </c>
      <c r="F268" t="s">
        <v>2969</v>
      </c>
    </row>
    <row r="269" spans="1:6" x14ac:dyDescent="0.25">
      <c r="A269" t="s">
        <v>1784</v>
      </c>
      <c r="B269" t="s">
        <v>370</v>
      </c>
      <c r="C269" t="s">
        <v>43</v>
      </c>
      <c r="D269">
        <v>1</v>
      </c>
      <c r="E269" t="s">
        <v>1785</v>
      </c>
      <c r="F269" t="s">
        <v>2969</v>
      </c>
    </row>
    <row r="270" spans="1:6" x14ac:dyDescent="0.25">
      <c r="A270" t="s">
        <v>1784</v>
      </c>
      <c r="B270" t="s">
        <v>370</v>
      </c>
      <c r="C270" t="s">
        <v>43</v>
      </c>
      <c r="D270">
        <v>2</v>
      </c>
      <c r="E270" t="s">
        <v>1704</v>
      </c>
      <c r="F270" t="s">
        <v>2969</v>
      </c>
    </row>
    <row r="271" spans="1:6" x14ac:dyDescent="0.25">
      <c r="A271" t="s">
        <v>1784</v>
      </c>
      <c r="B271" t="s">
        <v>370</v>
      </c>
      <c r="C271" t="s">
        <v>43</v>
      </c>
      <c r="D271">
        <v>3</v>
      </c>
      <c r="E271" t="s">
        <v>1673</v>
      </c>
      <c r="F271" t="s">
        <v>2969</v>
      </c>
    </row>
    <row r="272" spans="1:6" x14ac:dyDescent="0.25">
      <c r="A272" t="s">
        <v>1786</v>
      </c>
      <c r="B272" t="s">
        <v>372</v>
      </c>
      <c r="C272" t="s">
        <v>112</v>
      </c>
      <c r="D272">
        <v>1</v>
      </c>
      <c r="E272" t="s">
        <v>1787</v>
      </c>
      <c r="F272" t="s">
        <v>2969</v>
      </c>
    </row>
    <row r="273" spans="1:6" x14ac:dyDescent="0.25">
      <c r="A273" t="s">
        <v>1786</v>
      </c>
      <c r="B273" t="s">
        <v>372</v>
      </c>
      <c r="C273" t="s">
        <v>112</v>
      </c>
      <c r="D273">
        <v>2</v>
      </c>
      <c r="E273" t="s">
        <v>1951</v>
      </c>
      <c r="F273" t="s">
        <v>2969</v>
      </c>
    </row>
    <row r="274" spans="1:6" x14ac:dyDescent="0.25">
      <c r="A274" t="s">
        <v>1786</v>
      </c>
      <c r="B274" t="s">
        <v>372</v>
      </c>
      <c r="C274" t="s">
        <v>112</v>
      </c>
      <c r="D274">
        <v>3</v>
      </c>
      <c r="E274" t="s">
        <v>30</v>
      </c>
      <c r="F274" t="s">
        <v>2969</v>
      </c>
    </row>
    <row r="275" spans="1:6" x14ac:dyDescent="0.25">
      <c r="A275" t="s">
        <v>1786</v>
      </c>
      <c r="B275" t="s">
        <v>372</v>
      </c>
      <c r="C275" t="s">
        <v>112</v>
      </c>
      <c r="D275">
        <v>4</v>
      </c>
      <c r="E275" t="s">
        <v>1724</v>
      </c>
      <c r="F275" t="s">
        <v>2969</v>
      </c>
    </row>
    <row r="276" spans="1:6" x14ac:dyDescent="0.25">
      <c r="A276" t="s">
        <v>1786</v>
      </c>
      <c r="B276" t="s">
        <v>372</v>
      </c>
      <c r="C276" t="s">
        <v>112</v>
      </c>
      <c r="D276">
        <v>5</v>
      </c>
      <c r="E276" t="s">
        <v>2470</v>
      </c>
      <c r="F276" t="s">
        <v>2969</v>
      </c>
    </row>
    <row r="277" spans="1:6" x14ac:dyDescent="0.25">
      <c r="A277" t="s">
        <v>1786</v>
      </c>
      <c r="B277" t="s">
        <v>372</v>
      </c>
      <c r="C277" t="s">
        <v>112</v>
      </c>
      <c r="D277">
        <v>6</v>
      </c>
      <c r="E277" t="s">
        <v>1687</v>
      </c>
      <c r="F277" t="s">
        <v>2969</v>
      </c>
    </row>
    <row r="278" spans="1:6" x14ac:dyDescent="0.25">
      <c r="A278" t="s">
        <v>1786</v>
      </c>
      <c r="B278" t="s">
        <v>372</v>
      </c>
      <c r="C278" t="s">
        <v>112</v>
      </c>
      <c r="D278">
        <v>7</v>
      </c>
      <c r="E278" t="s">
        <v>1915</v>
      </c>
      <c r="F278" t="s">
        <v>1692</v>
      </c>
    </row>
    <row r="279" spans="1:6" x14ac:dyDescent="0.25">
      <c r="A279" t="s">
        <v>1788</v>
      </c>
      <c r="B279" t="s">
        <v>373</v>
      </c>
      <c r="C279" t="s">
        <v>97</v>
      </c>
      <c r="D279">
        <v>1</v>
      </c>
      <c r="E279" t="s">
        <v>1789</v>
      </c>
      <c r="F279" t="s">
        <v>2969</v>
      </c>
    </row>
    <row r="280" spans="1:6" x14ac:dyDescent="0.25">
      <c r="A280" t="s">
        <v>1790</v>
      </c>
      <c r="B280" t="s">
        <v>374</v>
      </c>
      <c r="C280" t="s">
        <v>37</v>
      </c>
      <c r="D280">
        <v>1</v>
      </c>
      <c r="E280" t="s">
        <v>1739</v>
      </c>
      <c r="F280" t="s">
        <v>2969</v>
      </c>
    </row>
    <row r="281" spans="1:6" x14ac:dyDescent="0.25">
      <c r="A281" t="s">
        <v>1791</v>
      </c>
      <c r="B281" t="s">
        <v>376</v>
      </c>
      <c r="C281" t="s">
        <v>27</v>
      </c>
      <c r="D281">
        <v>1</v>
      </c>
      <c r="E281" t="s">
        <v>1661</v>
      </c>
      <c r="F281" t="s">
        <v>2969</v>
      </c>
    </row>
    <row r="282" spans="1:6" x14ac:dyDescent="0.25">
      <c r="A282" t="s">
        <v>1791</v>
      </c>
      <c r="B282" t="s">
        <v>376</v>
      </c>
      <c r="C282" t="s">
        <v>27</v>
      </c>
      <c r="D282">
        <v>2</v>
      </c>
      <c r="E282" t="s">
        <v>2046</v>
      </c>
      <c r="F282" t="s">
        <v>2969</v>
      </c>
    </row>
    <row r="283" spans="1:6" x14ac:dyDescent="0.25">
      <c r="A283" t="s">
        <v>1791</v>
      </c>
      <c r="B283" t="s">
        <v>376</v>
      </c>
      <c r="C283" t="s">
        <v>27</v>
      </c>
      <c r="D283">
        <v>3</v>
      </c>
      <c r="E283" t="s">
        <v>2122</v>
      </c>
      <c r="F283" t="s">
        <v>2969</v>
      </c>
    </row>
    <row r="284" spans="1:6" x14ac:dyDescent="0.25">
      <c r="A284" t="s">
        <v>1791</v>
      </c>
      <c r="B284" t="s">
        <v>376</v>
      </c>
      <c r="C284" t="s">
        <v>27</v>
      </c>
      <c r="D284">
        <v>4</v>
      </c>
      <c r="E284" t="s">
        <v>137</v>
      </c>
      <c r="F284" t="s">
        <v>2969</v>
      </c>
    </row>
    <row r="285" spans="1:6" x14ac:dyDescent="0.25">
      <c r="A285" t="s">
        <v>1792</v>
      </c>
      <c r="B285" t="s">
        <v>378</v>
      </c>
      <c r="C285" t="s">
        <v>69</v>
      </c>
      <c r="D285">
        <v>1</v>
      </c>
      <c r="E285" t="s">
        <v>19</v>
      </c>
      <c r="F285" t="s">
        <v>2969</v>
      </c>
    </row>
    <row r="286" spans="1:6" x14ac:dyDescent="0.25">
      <c r="A286" t="s">
        <v>1793</v>
      </c>
      <c r="B286" t="s">
        <v>380</v>
      </c>
      <c r="C286" t="s">
        <v>65</v>
      </c>
      <c r="D286">
        <v>1</v>
      </c>
      <c r="E286" t="s">
        <v>1751</v>
      </c>
      <c r="F286" t="s">
        <v>2969</v>
      </c>
    </row>
    <row r="287" spans="1:6" x14ac:dyDescent="0.25">
      <c r="A287" t="s">
        <v>1793</v>
      </c>
      <c r="B287" t="s">
        <v>380</v>
      </c>
      <c r="C287" t="s">
        <v>65</v>
      </c>
      <c r="D287">
        <v>2</v>
      </c>
      <c r="E287" t="s">
        <v>1815</v>
      </c>
      <c r="F287" t="s">
        <v>2969</v>
      </c>
    </row>
    <row r="288" spans="1:6" x14ac:dyDescent="0.25">
      <c r="A288" t="s">
        <v>1794</v>
      </c>
      <c r="B288" t="s">
        <v>382</v>
      </c>
      <c r="C288" t="s">
        <v>101</v>
      </c>
      <c r="D288">
        <v>1</v>
      </c>
      <c r="E288" t="s">
        <v>1795</v>
      </c>
      <c r="F288" t="s">
        <v>2969</v>
      </c>
    </row>
    <row r="289" spans="1:6" x14ac:dyDescent="0.25">
      <c r="A289" t="s">
        <v>1796</v>
      </c>
      <c r="B289" t="s">
        <v>383</v>
      </c>
      <c r="C289" t="s">
        <v>116</v>
      </c>
      <c r="D289">
        <v>1</v>
      </c>
      <c r="E289" t="s">
        <v>1797</v>
      </c>
      <c r="F289" t="s">
        <v>2969</v>
      </c>
    </row>
    <row r="290" spans="1:6" x14ac:dyDescent="0.25">
      <c r="A290" t="s">
        <v>1798</v>
      </c>
      <c r="B290" t="s">
        <v>385</v>
      </c>
      <c r="C290" t="s">
        <v>97</v>
      </c>
      <c r="D290">
        <v>1</v>
      </c>
      <c r="E290" t="s">
        <v>48</v>
      </c>
      <c r="F290" t="s">
        <v>2969</v>
      </c>
    </row>
    <row r="291" spans="1:6" x14ac:dyDescent="0.25">
      <c r="A291" t="s">
        <v>1798</v>
      </c>
      <c r="B291" t="s">
        <v>385</v>
      </c>
      <c r="C291" t="s">
        <v>97</v>
      </c>
      <c r="D291">
        <v>2</v>
      </c>
      <c r="E291" t="s">
        <v>1741</v>
      </c>
      <c r="F291" t="s">
        <v>2969</v>
      </c>
    </row>
    <row r="292" spans="1:6" x14ac:dyDescent="0.25">
      <c r="A292" t="s">
        <v>1798</v>
      </c>
      <c r="B292" t="s">
        <v>385</v>
      </c>
      <c r="C292" t="s">
        <v>97</v>
      </c>
      <c r="D292">
        <v>3</v>
      </c>
      <c r="E292" t="s">
        <v>89</v>
      </c>
      <c r="F292" t="s">
        <v>2969</v>
      </c>
    </row>
    <row r="293" spans="1:6" x14ac:dyDescent="0.25">
      <c r="A293" t="s">
        <v>1798</v>
      </c>
      <c r="B293" t="s">
        <v>385</v>
      </c>
      <c r="C293" t="s">
        <v>97</v>
      </c>
      <c r="D293">
        <v>4</v>
      </c>
      <c r="E293" t="s">
        <v>1801</v>
      </c>
      <c r="F293" t="s">
        <v>2969</v>
      </c>
    </row>
    <row r="294" spans="1:6" x14ac:dyDescent="0.25">
      <c r="A294" t="s">
        <v>1798</v>
      </c>
      <c r="B294" t="s">
        <v>385</v>
      </c>
      <c r="C294" t="s">
        <v>97</v>
      </c>
      <c r="D294">
        <v>5</v>
      </c>
      <c r="E294" t="s">
        <v>1862</v>
      </c>
      <c r="F294" t="s">
        <v>2969</v>
      </c>
    </row>
    <row r="295" spans="1:6" x14ac:dyDescent="0.25">
      <c r="A295" t="s">
        <v>1799</v>
      </c>
      <c r="B295" t="s">
        <v>387</v>
      </c>
      <c r="C295" t="s">
        <v>65</v>
      </c>
      <c r="D295">
        <v>1</v>
      </c>
      <c r="E295" t="s">
        <v>78</v>
      </c>
      <c r="F295" t="s">
        <v>2969</v>
      </c>
    </row>
    <row r="296" spans="1:6" x14ac:dyDescent="0.25">
      <c r="A296" t="s">
        <v>1799</v>
      </c>
      <c r="B296" t="s">
        <v>387</v>
      </c>
      <c r="C296" t="s">
        <v>65</v>
      </c>
      <c r="D296">
        <v>2</v>
      </c>
      <c r="E296" t="s">
        <v>1801</v>
      </c>
      <c r="F296" t="s">
        <v>2969</v>
      </c>
    </row>
    <row r="297" spans="1:6" x14ac:dyDescent="0.25">
      <c r="A297" t="s">
        <v>1799</v>
      </c>
      <c r="B297" t="s">
        <v>387</v>
      </c>
      <c r="C297" t="s">
        <v>65</v>
      </c>
      <c r="D297">
        <v>3</v>
      </c>
      <c r="E297" t="s">
        <v>68</v>
      </c>
      <c r="F297" t="s">
        <v>2969</v>
      </c>
    </row>
    <row r="298" spans="1:6" x14ac:dyDescent="0.25">
      <c r="A298" t="s">
        <v>1799</v>
      </c>
      <c r="B298" t="s">
        <v>387</v>
      </c>
      <c r="C298" t="s">
        <v>65</v>
      </c>
      <c r="D298">
        <v>4</v>
      </c>
      <c r="E298" t="s">
        <v>1643</v>
      </c>
      <c r="F298" t="s">
        <v>2969</v>
      </c>
    </row>
    <row r="299" spans="1:6" x14ac:dyDescent="0.25">
      <c r="A299" t="s">
        <v>1799</v>
      </c>
      <c r="B299" t="s">
        <v>387</v>
      </c>
      <c r="C299" t="s">
        <v>65</v>
      </c>
      <c r="D299">
        <v>5</v>
      </c>
      <c r="E299" t="s">
        <v>2003</v>
      </c>
      <c r="F299" t="s">
        <v>2969</v>
      </c>
    </row>
    <row r="300" spans="1:6" x14ac:dyDescent="0.25">
      <c r="A300" t="s">
        <v>1799</v>
      </c>
      <c r="B300" t="s">
        <v>387</v>
      </c>
      <c r="C300" t="s">
        <v>65</v>
      </c>
      <c r="D300">
        <v>6</v>
      </c>
      <c r="E300" t="s">
        <v>1781</v>
      </c>
      <c r="F300" t="s">
        <v>2969</v>
      </c>
    </row>
    <row r="301" spans="1:6" x14ac:dyDescent="0.25">
      <c r="A301" t="s">
        <v>1799</v>
      </c>
      <c r="B301" t="s">
        <v>387</v>
      </c>
      <c r="C301" t="s">
        <v>65</v>
      </c>
      <c r="D301">
        <v>7</v>
      </c>
      <c r="E301" t="s">
        <v>2032</v>
      </c>
      <c r="F301" t="s">
        <v>1692</v>
      </c>
    </row>
    <row r="302" spans="1:6" x14ac:dyDescent="0.25">
      <c r="A302" t="s">
        <v>1800</v>
      </c>
      <c r="B302" t="s">
        <v>389</v>
      </c>
      <c r="C302" t="s">
        <v>65</v>
      </c>
      <c r="D302">
        <v>1</v>
      </c>
      <c r="E302" t="s">
        <v>1801</v>
      </c>
      <c r="F302" t="s">
        <v>2969</v>
      </c>
    </row>
    <row r="303" spans="1:6" x14ac:dyDescent="0.25">
      <c r="A303" t="s">
        <v>1800</v>
      </c>
      <c r="B303" t="s">
        <v>389</v>
      </c>
      <c r="C303" t="s">
        <v>65</v>
      </c>
      <c r="D303">
        <v>2</v>
      </c>
      <c r="E303" t="s">
        <v>1657</v>
      </c>
      <c r="F303" t="s">
        <v>2969</v>
      </c>
    </row>
    <row r="304" spans="1:6" x14ac:dyDescent="0.25">
      <c r="A304" t="s">
        <v>1800</v>
      </c>
      <c r="B304" t="s">
        <v>389</v>
      </c>
      <c r="C304" t="s">
        <v>65</v>
      </c>
      <c r="D304">
        <v>3</v>
      </c>
      <c r="E304" t="s">
        <v>111</v>
      </c>
      <c r="F304" t="s">
        <v>2969</v>
      </c>
    </row>
    <row r="305" spans="1:6" x14ac:dyDescent="0.25">
      <c r="A305" t="s">
        <v>1800</v>
      </c>
      <c r="B305" t="s">
        <v>389</v>
      </c>
      <c r="C305" t="s">
        <v>65</v>
      </c>
      <c r="D305">
        <v>4</v>
      </c>
      <c r="E305" t="s">
        <v>1917</v>
      </c>
      <c r="F305" t="s">
        <v>2969</v>
      </c>
    </row>
    <row r="306" spans="1:6" x14ac:dyDescent="0.25">
      <c r="A306" t="s">
        <v>1800</v>
      </c>
      <c r="B306" t="s">
        <v>389</v>
      </c>
      <c r="C306" t="s">
        <v>65</v>
      </c>
      <c r="D306">
        <v>5</v>
      </c>
      <c r="E306" t="s">
        <v>1621</v>
      </c>
      <c r="F306" t="s">
        <v>2969</v>
      </c>
    </row>
    <row r="307" spans="1:6" x14ac:dyDescent="0.25">
      <c r="A307" t="s">
        <v>1802</v>
      </c>
      <c r="B307" t="s">
        <v>391</v>
      </c>
      <c r="C307" t="s">
        <v>116</v>
      </c>
      <c r="D307">
        <v>1</v>
      </c>
      <c r="E307" t="s">
        <v>1803</v>
      </c>
      <c r="F307" t="s">
        <v>2969</v>
      </c>
    </row>
    <row r="308" spans="1:6" x14ac:dyDescent="0.25">
      <c r="A308" t="s">
        <v>1802</v>
      </c>
      <c r="B308" t="s">
        <v>391</v>
      </c>
      <c r="C308" t="s">
        <v>116</v>
      </c>
      <c r="D308">
        <v>2</v>
      </c>
      <c r="E308" t="s">
        <v>1896</v>
      </c>
      <c r="F308" t="s">
        <v>2969</v>
      </c>
    </row>
    <row r="309" spans="1:6" x14ac:dyDescent="0.25">
      <c r="A309" t="s">
        <v>1802</v>
      </c>
      <c r="B309" t="s">
        <v>391</v>
      </c>
      <c r="C309" t="s">
        <v>116</v>
      </c>
      <c r="D309">
        <v>3</v>
      </c>
      <c r="E309" t="s">
        <v>1632</v>
      </c>
      <c r="F309" t="s">
        <v>2969</v>
      </c>
    </row>
    <row r="310" spans="1:6" x14ac:dyDescent="0.25">
      <c r="A310" t="s">
        <v>1804</v>
      </c>
      <c r="B310" t="s">
        <v>392</v>
      </c>
      <c r="C310" t="s">
        <v>31</v>
      </c>
      <c r="D310">
        <v>1</v>
      </c>
      <c r="E310" t="s">
        <v>1701</v>
      </c>
      <c r="F310" t="s">
        <v>2969</v>
      </c>
    </row>
    <row r="311" spans="1:6" x14ac:dyDescent="0.25">
      <c r="A311" t="s">
        <v>1804</v>
      </c>
      <c r="B311" t="s">
        <v>392</v>
      </c>
      <c r="C311" t="s">
        <v>31</v>
      </c>
      <c r="D311">
        <v>2</v>
      </c>
      <c r="E311" t="s">
        <v>30</v>
      </c>
      <c r="F311" t="s">
        <v>2969</v>
      </c>
    </row>
    <row r="312" spans="1:6" x14ac:dyDescent="0.25">
      <c r="A312" t="s">
        <v>1805</v>
      </c>
      <c r="B312" t="s">
        <v>393</v>
      </c>
      <c r="C312" t="s">
        <v>23</v>
      </c>
      <c r="D312">
        <v>1</v>
      </c>
      <c r="E312" t="s">
        <v>22</v>
      </c>
      <c r="F312" t="s">
        <v>2969</v>
      </c>
    </row>
    <row r="313" spans="1:6" x14ac:dyDescent="0.25">
      <c r="A313" t="s">
        <v>1805</v>
      </c>
      <c r="B313" t="s">
        <v>393</v>
      </c>
      <c r="C313" t="s">
        <v>23</v>
      </c>
      <c r="D313">
        <v>2</v>
      </c>
      <c r="E313" t="s">
        <v>84</v>
      </c>
      <c r="F313" t="s">
        <v>2969</v>
      </c>
    </row>
    <row r="314" spans="1:6" x14ac:dyDescent="0.25">
      <c r="A314" t="s">
        <v>1805</v>
      </c>
      <c r="B314" t="s">
        <v>393</v>
      </c>
      <c r="C314" t="s">
        <v>23</v>
      </c>
      <c r="D314">
        <v>3</v>
      </c>
      <c r="E314" t="s">
        <v>99</v>
      </c>
      <c r="F314" t="s">
        <v>2969</v>
      </c>
    </row>
    <row r="315" spans="1:6" x14ac:dyDescent="0.25">
      <c r="A315" t="s">
        <v>1805</v>
      </c>
      <c r="B315" t="s">
        <v>393</v>
      </c>
      <c r="C315" t="s">
        <v>23</v>
      </c>
      <c r="D315">
        <v>4</v>
      </c>
      <c r="E315" t="s">
        <v>1948</v>
      </c>
      <c r="F315" t="s">
        <v>2969</v>
      </c>
    </row>
    <row r="316" spans="1:6" x14ac:dyDescent="0.25">
      <c r="A316" t="s">
        <v>1806</v>
      </c>
      <c r="B316" t="s">
        <v>395</v>
      </c>
      <c r="C316" t="s">
        <v>130</v>
      </c>
      <c r="D316">
        <v>1</v>
      </c>
      <c r="E316" t="s">
        <v>1807</v>
      </c>
      <c r="F316" t="s">
        <v>2969</v>
      </c>
    </row>
    <row r="317" spans="1:6" x14ac:dyDescent="0.25">
      <c r="A317" t="s">
        <v>1806</v>
      </c>
      <c r="B317" t="s">
        <v>395</v>
      </c>
      <c r="C317" t="s">
        <v>130</v>
      </c>
      <c r="D317">
        <v>2</v>
      </c>
      <c r="E317" t="s">
        <v>137</v>
      </c>
      <c r="F317" t="s">
        <v>2969</v>
      </c>
    </row>
    <row r="318" spans="1:6" x14ac:dyDescent="0.25">
      <c r="A318" t="s">
        <v>1806</v>
      </c>
      <c r="B318" t="s">
        <v>395</v>
      </c>
      <c r="C318" t="s">
        <v>130</v>
      </c>
      <c r="D318">
        <v>3</v>
      </c>
      <c r="E318" t="s">
        <v>2130</v>
      </c>
      <c r="F318" t="s">
        <v>2969</v>
      </c>
    </row>
    <row r="319" spans="1:6" x14ac:dyDescent="0.25">
      <c r="A319" t="s">
        <v>1808</v>
      </c>
      <c r="B319" t="s">
        <v>397</v>
      </c>
      <c r="C319" t="s">
        <v>20</v>
      </c>
      <c r="D319">
        <v>1</v>
      </c>
      <c r="E319" t="s">
        <v>1809</v>
      </c>
      <c r="F319" t="s">
        <v>2969</v>
      </c>
    </row>
    <row r="320" spans="1:6" x14ac:dyDescent="0.25">
      <c r="A320" t="s">
        <v>1810</v>
      </c>
      <c r="B320" t="s">
        <v>399</v>
      </c>
      <c r="C320" t="s">
        <v>90</v>
      </c>
      <c r="D320">
        <v>1</v>
      </c>
      <c r="E320" t="s">
        <v>78</v>
      </c>
      <c r="F320" t="s">
        <v>2969</v>
      </c>
    </row>
    <row r="321" spans="1:6" x14ac:dyDescent="0.25">
      <c r="A321" t="s">
        <v>1810</v>
      </c>
      <c r="B321" t="s">
        <v>399</v>
      </c>
      <c r="C321" t="s">
        <v>90</v>
      </c>
      <c r="D321">
        <v>2</v>
      </c>
      <c r="E321" t="s">
        <v>1801</v>
      </c>
      <c r="F321" t="s">
        <v>2969</v>
      </c>
    </row>
    <row r="322" spans="1:6" x14ac:dyDescent="0.25">
      <c r="A322" t="s">
        <v>1811</v>
      </c>
      <c r="B322" t="s">
        <v>401</v>
      </c>
      <c r="C322" t="s">
        <v>103</v>
      </c>
      <c r="D322">
        <v>1</v>
      </c>
      <c r="E322" t="s">
        <v>1812</v>
      </c>
      <c r="F322" t="s">
        <v>2969</v>
      </c>
    </row>
    <row r="323" spans="1:6" x14ac:dyDescent="0.25">
      <c r="A323" t="s">
        <v>1811</v>
      </c>
      <c r="B323" t="s">
        <v>401</v>
      </c>
      <c r="C323" t="s">
        <v>103</v>
      </c>
      <c r="D323">
        <v>2</v>
      </c>
      <c r="E323" t="s">
        <v>1857</v>
      </c>
      <c r="F323" t="s">
        <v>2969</v>
      </c>
    </row>
    <row r="324" spans="1:6" x14ac:dyDescent="0.25">
      <c r="A324" t="s">
        <v>1813</v>
      </c>
      <c r="B324" t="s">
        <v>403</v>
      </c>
      <c r="C324" t="s">
        <v>130</v>
      </c>
      <c r="D324">
        <v>1</v>
      </c>
      <c r="E324" t="s">
        <v>19</v>
      </c>
      <c r="F324" t="s">
        <v>2969</v>
      </c>
    </row>
    <row r="325" spans="1:6" x14ac:dyDescent="0.25">
      <c r="A325" t="s">
        <v>1814</v>
      </c>
      <c r="B325" t="s">
        <v>405</v>
      </c>
      <c r="C325" t="s">
        <v>65</v>
      </c>
      <c r="D325">
        <v>1</v>
      </c>
      <c r="E325" t="s">
        <v>1815</v>
      </c>
      <c r="F325" t="s">
        <v>2969</v>
      </c>
    </row>
    <row r="326" spans="1:6" x14ac:dyDescent="0.25">
      <c r="A326" t="s">
        <v>1814</v>
      </c>
      <c r="B326" t="s">
        <v>405</v>
      </c>
      <c r="C326" t="s">
        <v>65</v>
      </c>
      <c r="D326">
        <v>2</v>
      </c>
      <c r="E326" t="s">
        <v>2032</v>
      </c>
      <c r="F326" t="s">
        <v>2969</v>
      </c>
    </row>
    <row r="327" spans="1:6" x14ac:dyDescent="0.25">
      <c r="A327" t="s">
        <v>1814</v>
      </c>
      <c r="B327" t="s">
        <v>405</v>
      </c>
      <c r="C327" t="s">
        <v>65</v>
      </c>
      <c r="D327">
        <v>3</v>
      </c>
      <c r="E327" t="s">
        <v>1820</v>
      </c>
      <c r="F327" t="s">
        <v>2969</v>
      </c>
    </row>
    <row r="328" spans="1:6" x14ac:dyDescent="0.25">
      <c r="A328" t="s">
        <v>1814</v>
      </c>
      <c r="B328" t="s">
        <v>405</v>
      </c>
      <c r="C328" t="s">
        <v>65</v>
      </c>
      <c r="D328">
        <v>4</v>
      </c>
      <c r="E328" t="s">
        <v>2064</v>
      </c>
      <c r="F328" t="s">
        <v>2969</v>
      </c>
    </row>
    <row r="329" spans="1:6" x14ac:dyDescent="0.25">
      <c r="A329" t="s">
        <v>1816</v>
      </c>
      <c r="B329" t="s">
        <v>407</v>
      </c>
      <c r="C329" t="s">
        <v>100</v>
      </c>
      <c r="D329">
        <v>1</v>
      </c>
      <c r="E329" t="s">
        <v>1621</v>
      </c>
      <c r="F329" t="s">
        <v>2969</v>
      </c>
    </row>
    <row r="330" spans="1:6" x14ac:dyDescent="0.25">
      <c r="A330" t="s">
        <v>1816</v>
      </c>
      <c r="B330" t="s">
        <v>407</v>
      </c>
      <c r="C330" t="s">
        <v>100</v>
      </c>
      <c r="D330">
        <v>2</v>
      </c>
      <c r="E330" t="s">
        <v>1751</v>
      </c>
      <c r="F330" t="s">
        <v>2969</v>
      </c>
    </row>
    <row r="331" spans="1:6" x14ac:dyDescent="0.25">
      <c r="A331" t="s">
        <v>1817</v>
      </c>
      <c r="B331" t="s">
        <v>408</v>
      </c>
      <c r="C331" t="s">
        <v>69</v>
      </c>
      <c r="D331">
        <v>1</v>
      </c>
      <c r="E331" t="s">
        <v>137</v>
      </c>
      <c r="F331" t="s">
        <v>2969</v>
      </c>
    </row>
    <row r="332" spans="1:6" x14ac:dyDescent="0.25">
      <c r="A332" t="s">
        <v>1817</v>
      </c>
      <c r="B332" t="s">
        <v>408</v>
      </c>
      <c r="C332" t="s">
        <v>69</v>
      </c>
      <c r="D332">
        <v>2</v>
      </c>
      <c r="E332" t="s">
        <v>2038</v>
      </c>
      <c r="F332" t="s">
        <v>2969</v>
      </c>
    </row>
    <row r="333" spans="1:6" x14ac:dyDescent="0.25">
      <c r="A333" t="s">
        <v>1817</v>
      </c>
      <c r="B333" t="s">
        <v>408</v>
      </c>
      <c r="C333" t="s">
        <v>69</v>
      </c>
      <c r="D333">
        <v>3</v>
      </c>
      <c r="E333" t="s">
        <v>1789</v>
      </c>
      <c r="F333" t="s">
        <v>2969</v>
      </c>
    </row>
    <row r="334" spans="1:6" x14ac:dyDescent="0.25">
      <c r="A334" t="s">
        <v>1818</v>
      </c>
      <c r="B334" t="s">
        <v>410</v>
      </c>
      <c r="C334" t="s">
        <v>128</v>
      </c>
      <c r="D334">
        <v>1</v>
      </c>
      <c r="E334" t="s">
        <v>1632</v>
      </c>
      <c r="F334" t="s">
        <v>2969</v>
      </c>
    </row>
    <row r="335" spans="1:6" x14ac:dyDescent="0.25">
      <c r="A335" t="s">
        <v>1818</v>
      </c>
      <c r="B335" t="s">
        <v>410</v>
      </c>
      <c r="C335" t="s">
        <v>128</v>
      </c>
      <c r="D335">
        <v>2</v>
      </c>
      <c r="E335" t="s">
        <v>2111</v>
      </c>
      <c r="F335" t="s">
        <v>2969</v>
      </c>
    </row>
    <row r="336" spans="1:6" x14ac:dyDescent="0.25">
      <c r="A336" t="s">
        <v>1818</v>
      </c>
      <c r="B336" t="s">
        <v>410</v>
      </c>
      <c r="C336" t="s">
        <v>128</v>
      </c>
      <c r="D336">
        <v>3</v>
      </c>
      <c r="E336" t="s">
        <v>2344</v>
      </c>
      <c r="F336" t="s">
        <v>2969</v>
      </c>
    </row>
    <row r="337" spans="1:6" x14ac:dyDescent="0.25">
      <c r="A337" t="s">
        <v>1818</v>
      </c>
      <c r="B337" t="s">
        <v>410</v>
      </c>
      <c r="C337" t="s">
        <v>128</v>
      </c>
      <c r="D337">
        <v>4</v>
      </c>
      <c r="E337" t="s">
        <v>1886</v>
      </c>
      <c r="F337" t="s">
        <v>2969</v>
      </c>
    </row>
    <row r="338" spans="1:6" x14ac:dyDescent="0.25">
      <c r="A338" t="s">
        <v>1818</v>
      </c>
      <c r="B338" t="s">
        <v>410</v>
      </c>
      <c r="C338" t="s">
        <v>128</v>
      </c>
      <c r="D338">
        <v>5</v>
      </c>
      <c r="E338" t="s">
        <v>1833</v>
      </c>
      <c r="F338" t="s">
        <v>2969</v>
      </c>
    </row>
    <row r="339" spans="1:6" x14ac:dyDescent="0.25">
      <c r="A339" t="s">
        <v>1819</v>
      </c>
      <c r="B339" t="s">
        <v>411</v>
      </c>
      <c r="C339" t="s">
        <v>127</v>
      </c>
      <c r="D339">
        <v>1</v>
      </c>
      <c r="E339" t="s">
        <v>1820</v>
      </c>
      <c r="F339" t="s">
        <v>2969</v>
      </c>
    </row>
    <row r="340" spans="1:6" x14ac:dyDescent="0.25">
      <c r="A340" t="s">
        <v>1819</v>
      </c>
      <c r="B340" t="s">
        <v>411</v>
      </c>
      <c r="C340" t="s">
        <v>127</v>
      </c>
      <c r="D340">
        <v>2</v>
      </c>
      <c r="E340" t="s">
        <v>2115</v>
      </c>
      <c r="F340" t="s">
        <v>2969</v>
      </c>
    </row>
    <row r="341" spans="1:6" x14ac:dyDescent="0.25">
      <c r="A341" t="s">
        <v>1821</v>
      </c>
      <c r="B341" t="s">
        <v>413</v>
      </c>
      <c r="C341" t="s">
        <v>59</v>
      </c>
      <c r="D341">
        <v>1</v>
      </c>
      <c r="E341" t="s">
        <v>1822</v>
      </c>
      <c r="F341" t="s">
        <v>2969</v>
      </c>
    </row>
    <row r="342" spans="1:6" x14ac:dyDescent="0.25">
      <c r="A342" t="s">
        <v>1821</v>
      </c>
      <c r="B342" t="s">
        <v>413</v>
      </c>
      <c r="C342" t="s">
        <v>59</v>
      </c>
      <c r="D342">
        <v>2</v>
      </c>
      <c r="E342" t="s">
        <v>86</v>
      </c>
      <c r="F342" t="s">
        <v>2969</v>
      </c>
    </row>
    <row r="343" spans="1:6" x14ac:dyDescent="0.25">
      <c r="A343" t="s">
        <v>1823</v>
      </c>
      <c r="B343" t="s">
        <v>415</v>
      </c>
      <c r="C343" t="s">
        <v>125</v>
      </c>
      <c r="D343">
        <v>1</v>
      </c>
      <c r="E343" t="s">
        <v>1824</v>
      </c>
      <c r="F343" t="s">
        <v>2969</v>
      </c>
    </row>
    <row r="344" spans="1:6" x14ac:dyDescent="0.25">
      <c r="A344" t="s">
        <v>1825</v>
      </c>
      <c r="B344" t="s">
        <v>416</v>
      </c>
      <c r="C344" t="s">
        <v>128</v>
      </c>
      <c r="D344">
        <v>1</v>
      </c>
      <c r="E344" t="s">
        <v>1826</v>
      </c>
      <c r="F344" t="s">
        <v>2969</v>
      </c>
    </row>
    <row r="345" spans="1:6" x14ac:dyDescent="0.25">
      <c r="A345" t="s">
        <v>1825</v>
      </c>
      <c r="B345" t="s">
        <v>416</v>
      </c>
      <c r="C345" t="s">
        <v>128</v>
      </c>
      <c r="D345">
        <v>2</v>
      </c>
      <c r="E345" t="s">
        <v>115</v>
      </c>
      <c r="F345" t="s">
        <v>2969</v>
      </c>
    </row>
    <row r="346" spans="1:6" x14ac:dyDescent="0.25">
      <c r="A346" t="s">
        <v>1827</v>
      </c>
      <c r="B346" t="s">
        <v>418</v>
      </c>
      <c r="C346" t="s">
        <v>100</v>
      </c>
      <c r="D346">
        <v>1</v>
      </c>
      <c r="E346" t="s">
        <v>1828</v>
      </c>
      <c r="F346" t="s">
        <v>2969</v>
      </c>
    </row>
    <row r="347" spans="1:6" x14ac:dyDescent="0.25">
      <c r="A347" t="s">
        <v>1829</v>
      </c>
      <c r="B347" t="s">
        <v>420</v>
      </c>
      <c r="C347" t="s">
        <v>97</v>
      </c>
      <c r="D347">
        <v>1</v>
      </c>
      <c r="E347" t="s">
        <v>1822</v>
      </c>
      <c r="F347" t="s">
        <v>2969</v>
      </c>
    </row>
    <row r="348" spans="1:6" x14ac:dyDescent="0.25">
      <c r="A348" t="s">
        <v>1830</v>
      </c>
      <c r="B348" t="s">
        <v>422</v>
      </c>
      <c r="C348" t="s">
        <v>92</v>
      </c>
      <c r="D348">
        <v>1</v>
      </c>
      <c r="E348" t="s">
        <v>78</v>
      </c>
      <c r="F348" t="s">
        <v>2969</v>
      </c>
    </row>
    <row r="349" spans="1:6" x14ac:dyDescent="0.25">
      <c r="A349" t="s">
        <v>1831</v>
      </c>
      <c r="B349" t="s">
        <v>424</v>
      </c>
      <c r="C349" t="s">
        <v>136</v>
      </c>
      <c r="D349">
        <v>1</v>
      </c>
      <c r="E349" t="s">
        <v>1637</v>
      </c>
      <c r="F349" t="s">
        <v>2969</v>
      </c>
    </row>
    <row r="350" spans="1:6" x14ac:dyDescent="0.25">
      <c r="A350" t="s">
        <v>1832</v>
      </c>
      <c r="B350" t="s">
        <v>426</v>
      </c>
      <c r="C350" t="s">
        <v>128</v>
      </c>
      <c r="D350">
        <v>1</v>
      </c>
      <c r="E350" t="s">
        <v>1833</v>
      </c>
      <c r="F350" t="s">
        <v>2969</v>
      </c>
    </row>
    <row r="351" spans="1:6" x14ac:dyDescent="0.25">
      <c r="A351" t="s">
        <v>1832</v>
      </c>
      <c r="B351" t="s">
        <v>426</v>
      </c>
      <c r="C351" t="s">
        <v>128</v>
      </c>
      <c r="D351">
        <v>2</v>
      </c>
      <c r="E351" t="s">
        <v>1948</v>
      </c>
      <c r="F351" t="s">
        <v>2969</v>
      </c>
    </row>
    <row r="352" spans="1:6" x14ac:dyDescent="0.25">
      <c r="A352" t="s">
        <v>1832</v>
      </c>
      <c r="B352" t="s">
        <v>426</v>
      </c>
      <c r="C352" t="s">
        <v>128</v>
      </c>
      <c r="D352">
        <v>3</v>
      </c>
      <c r="E352" t="s">
        <v>1713</v>
      </c>
      <c r="F352" t="s">
        <v>2969</v>
      </c>
    </row>
    <row r="353" spans="1:6" x14ac:dyDescent="0.25">
      <c r="A353" t="s">
        <v>1832</v>
      </c>
      <c r="B353" t="s">
        <v>426</v>
      </c>
      <c r="C353" t="s">
        <v>128</v>
      </c>
      <c r="D353">
        <v>4</v>
      </c>
      <c r="E353" t="s">
        <v>30</v>
      </c>
      <c r="F353" t="s">
        <v>2969</v>
      </c>
    </row>
    <row r="354" spans="1:6" x14ac:dyDescent="0.25">
      <c r="A354" t="s">
        <v>1834</v>
      </c>
      <c r="B354" t="s">
        <v>427</v>
      </c>
      <c r="C354" t="s">
        <v>116</v>
      </c>
      <c r="D354">
        <v>1</v>
      </c>
      <c r="E354" t="s">
        <v>1835</v>
      </c>
      <c r="F354" t="s">
        <v>2969</v>
      </c>
    </row>
    <row r="355" spans="1:6" x14ac:dyDescent="0.25">
      <c r="A355" t="s">
        <v>1834</v>
      </c>
      <c r="B355" t="s">
        <v>427</v>
      </c>
      <c r="C355" t="s">
        <v>116</v>
      </c>
      <c r="D355">
        <v>2</v>
      </c>
      <c r="E355" t="s">
        <v>115</v>
      </c>
      <c r="F355" t="s">
        <v>2969</v>
      </c>
    </row>
    <row r="356" spans="1:6" x14ac:dyDescent="0.25">
      <c r="A356" t="s">
        <v>1834</v>
      </c>
      <c r="B356" t="s">
        <v>427</v>
      </c>
      <c r="C356" t="s">
        <v>116</v>
      </c>
      <c r="D356">
        <v>3</v>
      </c>
      <c r="E356" t="s">
        <v>1931</v>
      </c>
      <c r="F356" t="s">
        <v>2969</v>
      </c>
    </row>
    <row r="357" spans="1:6" x14ac:dyDescent="0.25">
      <c r="A357" t="s">
        <v>1836</v>
      </c>
      <c r="B357" t="s">
        <v>429</v>
      </c>
      <c r="C357" t="s">
        <v>134</v>
      </c>
      <c r="D357">
        <v>1</v>
      </c>
      <c r="E357" t="s">
        <v>36</v>
      </c>
      <c r="F357" t="s">
        <v>2969</v>
      </c>
    </row>
    <row r="358" spans="1:6" x14ac:dyDescent="0.25">
      <c r="A358" t="s">
        <v>1837</v>
      </c>
      <c r="B358" t="s">
        <v>430</v>
      </c>
      <c r="C358" t="s">
        <v>14</v>
      </c>
      <c r="D358">
        <v>1</v>
      </c>
      <c r="E358" t="s">
        <v>1637</v>
      </c>
      <c r="F358" t="s">
        <v>2969</v>
      </c>
    </row>
    <row r="359" spans="1:6" x14ac:dyDescent="0.25">
      <c r="A359" t="s">
        <v>1837</v>
      </c>
      <c r="B359" t="s">
        <v>430</v>
      </c>
      <c r="C359" t="s">
        <v>14</v>
      </c>
      <c r="D359">
        <v>2</v>
      </c>
      <c r="E359" t="s">
        <v>86</v>
      </c>
      <c r="F359" t="s">
        <v>2969</v>
      </c>
    </row>
    <row r="360" spans="1:6" x14ac:dyDescent="0.25">
      <c r="A360" t="s">
        <v>1838</v>
      </c>
      <c r="B360" t="s">
        <v>431</v>
      </c>
      <c r="C360" t="s">
        <v>132</v>
      </c>
      <c r="D360">
        <v>1</v>
      </c>
      <c r="E360" t="s">
        <v>1695</v>
      </c>
      <c r="F360" t="s">
        <v>2969</v>
      </c>
    </row>
    <row r="361" spans="1:6" x14ac:dyDescent="0.25">
      <c r="A361" t="s">
        <v>1838</v>
      </c>
      <c r="B361" t="s">
        <v>431</v>
      </c>
      <c r="C361" t="s">
        <v>132</v>
      </c>
      <c r="D361">
        <v>2</v>
      </c>
      <c r="E361" t="s">
        <v>70</v>
      </c>
      <c r="F361" t="s">
        <v>2969</v>
      </c>
    </row>
    <row r="362" spans="1:6" x14ac:dyDescent="0.25">
      <c r="A362" t="s">
        <v>1839</v>
      </c>
      <c r="B362" t="s">
        <v>433</v>
      </c>
      <c r="C362" t="s">
        <v>127</v>
      </c>
      <c r="D362">
        <v>1</v>
      </c>
      <c r="E362" t="s">
        <v>1657</v>
      </c>
      <c r="F362" t="s">
        <v>2969</v>
      </c>
    </row>
    <row r="363" spans="1:6" x14ac:dyDescent="0.25">
      <c r="A363" t="s">
        <v>1839</v>
      </c>
      <c r="B363" t="s">
        <v>433</v>
      </c>
      <c r="C363" t="s">
        <v>127</v>
      </c>
      <c r="D363">
        <v>2</v>
      </c>
      <c r="E363" t="s">
        <v>1862</v>
      </c>
      <c r="F363" t="s">
        <v>2969</v>
      </c>
    </row>
    <row r="364" spans="1:6" x14ac:dyDescent="0.25">
      <c r="A364" t="s">
        <v>1839</v>
      </c>
      <c r="B364" t="s">
        <v>433</v>
      </c>
      <c r="C364" t="s">
        <v>127</v>
      </c>
      <c r="D364">
        <v>3</v>
      </c>
      <c r="E364" t="s">
        <v>96</v>
      </c>
      <c r="F364" t="s">
        <v>2969</v>
      </c>
    </row>
    <row r="365" spans="1:6" x14ac:dyDescent="0.25">
      <c r="A365" t="s">
        <v>1840</v>
      </c>
      <c r="B365" t="s">
        <v>435</v>
      </c>
      <c r="C365" t="s">
        <v>73</v>
      </c>
      <c r="D365">
        <v>1</v>
      </c>
      <c r="E365" t="s">
        <v>1621</v>
      </c>
      <c r="F365" t="s">
        <v>2969</v>
      </c>
    </row>
    <row r="366" spans="1:6" x14ac:dyDescent="0.25">
      <c r="A366" t="s">
        <v>1841</v>
      </c>
      <c r="B366" t="s">
        <v>436</v>
      </c>
      <c r="C366" t="s">
        <v>116</v>
      </c>
      <c r="D366">
        <v>1</v>
      </c>
      <c r="E366" t="s">
        <v>1842</v>
      </c>
      <c r="F366" t="s">
        <v>2969</v>
      </c>
    </row>
    <row r="367" spans="1:6" x14ac:dyDescent="0.25">
      <c r="A367" t="s">
        <v>1841</v>
      </c>
      <c r="B367" t="s">
        <v>436</v>
      </c>
      <c r="C367" t="s">
        <v>116</v>
      </c>
      <c r="D367">
        <v>2</v>
      </c>
      <c r="E367" t="s">
        <v>129</v>
      </c>
      <c r="F367" t="s">
        <v>2969</v>
      </c>
    </row>
    <row r="368" spans="1:6" x14ac:dyDescent="0.25">
      <c r="A368" t="s">
        <v>1841</v>
      </c>
      <c r="B368" t="s">
        <v>436</v>
      </c>
      <c r="C368" t="s">
        <v>116</v>
      </c>
      <c r="D368">
        <v>3</v>
      </c>
      <c r="E368" t="s">
        <v>1803</v>
      </c>
      <c r="F368" t="s">
        <v>2969</v>
      </c>
    </row>
    <row r="369" spans="1:6" x14ac:dyDescent="0.25">
      <c r="A369" t="s">
        <v>1843</v>
      </c>
      <c r="B369" t="s">
        <v>438</v>
      </c>
      <c r="C369" t="s">
        <v>94</v>
      </c>
      <c r="D369">
        <v>1</v>
      </c>
      <c r="E369" t="s">
        <v>1844</v>
      </c>
      <c r="F369" t="s">
        <v>2969</v>
      </c>
    </row>
    <row r="370" spans="1:6" x14ac:dyDescent="0.25">
      <c r="A370" t="s">
        <v>1845</v>
      </c>
      <c r="B370" t="s">
        <v>439</v>
      </c>
      <c r="C370" t="s">
        <v>121</v>
      </c>
      <c r="D370">
        <v>1</v>
      </c>
      <c r="E370" t="s">
        <v>1657</v>
      </c>
      <c r="F370" t="s">
        <v>2969</v>
      </c>
    </row>
    <row r="371" spans="1:6" x14ac:dyDescent="0.25">
      <c r="A371" t="s">
        <v>1845</v>
      </c>
      <c r="B371" t="s">
        <v>439</v>
      </c>
      <c r="C371" t="s">
        <v>121</v>
      </c>
      <c r="D371">
        <v>2</v>
      </c>
      <c r="E371" t="s">
        <v>68</v>
      </c>
      <c r="F371" t="s">
        <v>2969</v>
      </c>
    </row>
    <row r="372" spans="1:6" x14ac:dyDescent="0.25">
      <c r="A372" t="s">
        <v>1845</v>
      </c>
      <c r="B372" t="s">
        <v>439</v>
      </c>
      <c r="C372" t="s">
        <v>121</v>
      </c>
      <c r="D372">
        <v>3</v>
      </c>
      <c r="E372" t="s">
        <v>1645</v>
      </c>
      <c r="F372" t="s">
        <v>2969</v>
      </c>
    </row>
    <row r="373" spans="1:6" x14ac:dyDescent="0.25">
      <c r="A373" t="s">
        <v>1846</v>
      </c>
      <c r="B373" t="s">
        <v>440</v>
      </c>
      <c r="C373" t="s">
        <v>71</v>
      </c>
      <c r="D373">
        <v>1</v>
      </c>
      <c r="E373" t="s">
        <v>38</v>
      </c>
      <c r="F373" t="s">
        <v>2969</v>
      </c>
    </row>
    <row r="374" spans="1:6" x14ac:dyDescent="0.25">
      <c r="A374" t="s">
        <v>1846</v>
      </c>
      <c r="B374" t="s">
        <v>440</v>
      </c>
      <c r="C374" t="s">
        <v>71</v>
      </c>
      <c r="D374">
        <v>2</v>
      </c>
      <c r="E374" t="s">
        <v>1948</v>
      </c>
      <c r="F374" t="s">
        <v>2969</v>
      </c>
    </row>
    <row r="375" spans="1:6" x14ac:dyDescent="0.25">
      <c r="A375" t="s">
        <v>1847</v>
      </c>
      <c r="B375" t="s">
        <v>442</v>
      </c>
      <c r="C375" t="s">
        <v>107</v>
      </c>
      <c r="D375">
        <v>1</v>
      </c>
      <c r="E375" t="s">
        <v>36</v>
      </c>
      <c r="F375" t="s">
        <v>2969</v>
      </c>
    </row>
    <row r="376" spans="1:6" x14ac:dyDescent="0.25">
      <c r="A376" t="s">
        <v>1848</v>
      </c>
      <c r="B376" t="s">
        <v>444</v>
      </c>
      <c r="C376" t="s">
        <v>113</v>
      </c>
      <c r="D376">
        <v>1</v>
      </c>
      <c r="E376" t="s">
        <v>1663</v>
      </c>
      <c r="F376" t="s">
        <v>2969</v>
      </c>
    </row>
    <row r="377" spans="1:6" x14ac:dyDescent="0.25">
      <c r="A377" t="s">
        <v>1848</v>
      </c>
      <c r="B377" t="s">
        <v>444</v>
      </c>
      <c r="C377" t="s">
        <v>113</v>
      </c>
      <c r="D377">
        <v>2</v>
      </c>
      <c r="E377" t="s">
        <v>72</v>
      </c>
      <c r="F377" t="s">
        <v>2969</v>
      </c>
    </row>
    <row r="378" spans="1:6" x14ac:dyDescent="0.25">
      <c r="A378" t="s">
        <v>1848</v>
      </c>
      <c r="B378" t="s">
        <v>444</v>
      </c>
      <c r="C378" t="s">
        <v>113</v>
      </c>
      <c r="D378">
        <v>3</v>
      </c>
      <c r="E378" t="s">
        <v>2336</v>
      </c>
      <c r="F378" t="s">
        <v>2969</v>
      </c>
    </row>
    <row r="379" spans="1:6" x14ac:dyDescent="0.25">
      <c r="A379" t="s">
        <v>1849</v>
      </c>
      <c r="B379" t="s">
        <v>446</v>
      </c>
      <c r="C379" t="s">
        <v>71</v>
      </c>
      <c r="D379">
        <v>1</v>
      </c>
      <c r="E379" t="s">
        <v>1850</v>
      </c>
      <c r="F379" t="s">
        <v>2969</v>
      </c>
    </row>
    <row r="380" spans="1:6" x14ac:dyDescent="0.25">
      <c r="A380" t="s">
        <v>1849</v>
      </c>
      <c r="B380" t="s">
        <v>446</v>
      </c>
      <c r="C380" t="s">
        <v>71</v>
      </c>
      <c r="D380">
        <v>2</v>
      </c>
      <c r="E380" t="s">
        <v>1915</v>
      </c>
      <c r="F380" t="s">
        <v>2969</v>
      </c>
    </row>
    <row r="381" spans="1:6" x14ac:dyDescent="0.25">
      <c r="A381" t="s">
        <v>1849</v>
      </c>
      <c r="B381" t="s">
        <v>446</v>
      </c>
      <c r="C381" t="s">
        <v>71</v>
      </c>
      <c r="D381">
        <v>3</v>
      </c>
      <c r="E381" t="s">
        <v>2217</v>
      </c>
      <c r="F381" t="s">
        <v>2969</v>
      </c>
    </row>
    <row r="382" spans="1:6" x14ac:dyDescent="0.25">
      <c r="A382" t="s">
        <v>1851</v>
      </c>
      <c r="B382" t="s">
        <v>447</v>
      </c>
      <c r="C382" t="s">
        <v>87</v>
      </c>
      <c r="D382">
        <v>1</v>
      </c>
      <c r="E382" t="s">
        <v>1815</v>
      </c>
      <c r="F382" t="s">
        <v>2969</v>
      </c>
    </row>
    <row r="383" spans="1:6" x14ac:dyDescent="0.25">
      <c r="A383" t="s">
        <v>1851</v>
      </c>
      <c r="B383" t="s">
        <v>447</v>
      </c>
      <c r="C383" t="s">
        <v>87</v>
      </c>
      <c r="D383">
        <v>2</v>
      </c>
      <c r="E383" t="s">
        <v>1678</v>
      </c>
      <c r="F383" t="s">
        <v>2969</v>
      </c>
    </row>
    <row r="384" spans="1:6" x14ac:dyDescent="0.25">
      <c r="A384" t="s">
        <v>1852</v>
      </c>
      <c r="B384" t="s">
        <v>448</v>
      </c>
      <c r="C384" t="s">
        <v>46</v>
      </c>
      <c r="D384">
        <v>1</v>
      </c>
      <c r="E384" t="s">
        <v>64</v>
      </c>
      <c r="F384" t="s">
        <v>2969</v>
      </c>
    </row>
    <row r="385" spans="1:6" x14ac:dyDescent="0.25">
      <c r="A385" t="s">
        <v>1853</v>
      </c>
      <c r="B385" t="s">
        <v>449</v>
      </c>
      <c r="C385" t="s">
        <v>46</v>
      </c>
      <c r="D385">
        <v>1</v>
      </c>
      <c r="E385" t="s">
        <v>64</v>
      </c>
      <c r="F385" t="s">
        <v>2969</v>
      </c>
    </row>
    <row r="386" spans="1:6" x14ac:dyDescent="0.25">
      <c r="A386" t="s">
        <v>1853</v>
      </c>
      <c r="B386" t="s">
        <v>449</v>
      </c>
      <c r="C386" t="s">
        <v>46</v>
      </c>
      <c r="D386">
        <v>2</v>
      </c>
      <c r="E386" t="s">
        <v>68</v>
      </c>
      <c r="F386" t="s">
        <v>2969</v>
      </c>
    </row>
    <row r="387" spans="1:6" x14ac:dyDescent="0.25">
      <c r="A387" t="s">
        <v>1853</v>
      </c>
      <c r="B387" t="s">
        <v>449</v>
      </c>
      <c r="C387" t="s">
        <v>46</v>
      </c>
      <c r="D387">
        <v>3</v>
      </c>
      <c r="E387" t="s">
        <v>1639</v>
      </c>
      <c r="F387" t="s">
        <v>2969</v>
      </c>
    </row>
    <row r="388" spans="1:6" x14ac:dyDescent="0.25">
      <c r="A388" t="s">
        <v>1854</v>
      </c>
      <c r="B388" t="s">
        <v>450</v>
      </c>
      <c r="C388" t="s">
        <v>49</v>
      </c>
      <c r="D388">
        <v>1</v>
      </c>
      <c r="E388" t="s">
        <v>1645</v>
      </c>
      <c r="F388" t="s">
        <v>2969</v>
      </c>
    </row>
    <row r="389" spans="1:6" x14ac:dyDescent="0.25">
      <c r="A389" t="s">
        <v>1855</v>
      </c>
      <c r="B389" t="s">
        <v>452</v>
      </c>
      <c r="C389" t="s">
        <v>116</v>
      </c>
      <c r="D389">
        <v>1</v>
      </c>
      <c r="E389" t="s">
        <v>45</v>
      </c>
      <c r="F389" t="s">
        <v>2969</v>
      </c>
    </row>
    <row r="390" spans="1:6" x14ac:dyDescent="0.25">
      <c r="A390" t="s">
        <v>1855</v>
      </c>
      <c r="B390" t="s">
        <v>452</v>
      </c>
      <c r="C390" t="s">
        <v>116</v>
      </c>
      <c r="D390">
        <v>2</v>
      </c>
      <c r="E390" t="s">
        <v>1731</v>
      </c>
      <c r="F390" t="s">
        <v>2969</v>
      </c>
    </row>
    <row r="391" spans="1:6" x14ac:dyDescent="0.25">
      <c r="A391" t="s">
        <v>1855</v>
      </c>
      <c r="B391" t="s">
        <v>452</v>
      </c>
      <c r="C391" t="s">
        <v>116</v>
      </c>
      <c r="D391">
        <v>3</v>
      </c>
      <c r="E391" t="s">
        <v>2071</v>
      </c>
      <c r="F391" t="s">
        <v>2969</v>
      </c>
    </row>
    <row r="392" spans="1:6" x14ac:dyDescent="0.25">
      <c r="A392" t="s">
        <v>1856</v>
      </c>
      <c r="B392" t="s">
        <v>453</v>
      </c>
      <c r="C392" t="s">
        <v>85</v>
      </c>
      <c r="D392">
        <v>1</v>
      </c>
      <c r="E392" t="s">
        <v>1857</v>
      </c>
      <c r="F392" t="s">
        <v>2969</v>
      </c>
    </row>
    <row r="393" spans="1:6" x14ac:dyDescent="0.25">
      <c r="A393" t="s">
        <v>1856</v>
      </c>
      <c r="B393" t="s">
        <v>453</v>
      </c>
      <c r="C393" t="s">
        <v>85</v>
      </c>
      <c r="D393">
        <v>2</v>
      </c>
      <c r="E393" t="s">
        <v>51</v>
      </c>
      <c r="F393" t="s">
        <v>2969</v>
      </c>
    </row>
    <row r="394" spans="1:6" x14ac:dyDescent="0.25">
      <c r="A394" t="s">
        <v>1858</v>
      </c>
      <c r="B394" t="s">
        <v>455</v>
      </c>
      <c r="C394" t="s">
        <v>134</v>
      </c>
      <c r="D394">
        <v>1</v>
      </c>
      <c r="E394" t="s">
        <v>1859</v>
      </c>
      <c r="F394" t="s">
        <v>2969</v>
      </c>
    </row>
    <row r="395" spans="1:6" x14ac:dyDescent="0.25">
      <c r="A395" t="s">
        <v>1860</v>
      </c>
      <c r="B395" t="s">
        <v>457</v>
      </c>
      <c r="C395" t="s">
        <v>43</v>
      </c>
      <c r="D395">
        <v>1</v>
      </c>
      <c r="E395" t="s">
        <v>1713</v>
      </c>
      <c r="F395" t="s">
        <v>2969</v>
      </c>
    </row>
    <row r="396" spans="1:6" x14ac:dyDescent="0.25">
      <c r="A396" t="s">
        <v>1860</v>
      </c>
      <c r="B396" t="s">
        <v>457</v>
      </c>
      <c r="C396" t="s">
        <v>43</v>
      </c>
      <c r="D396">
        <v>2</v>
      </c>
      <c r="E396" t="s">
        <v>33</v>
      </c>
      <c r="F396" t="s">
        <v>2969</v>
      </c>
    </row>
    <row r="397" spans="1:6" x14ac:dyDescent="0.25">
      <c r="A397" t="s">
        <v>1861</v>
      </c>
      <c r="B397" t="s">
        <v>459</v>
      </c>
      <c r="C397" t="s">
        <v>127</v>
      </c>
      <c r="D397">
        <v>1</v>
      </c>
      <c r="E397" t="s">
        <v>1862</v>
      </c>
      <c r="F397" t="s">
        <v>2969</v>
      </c>
    </row>
    <row r="398" spans="1:6" x14ac:dyDescent="0.25">
      <c r="A398" t="s">
        <v>1863</v>
      </c>
      <c r="B398" t="s">
        <v>461</v>
      </c>
      <c r="C398" t="s">
        <v>110</v>
      </c>
      <c r="D398">
        <v>1</v>
      </c>
      <c r="E398" t="s">
        <v>1683</v>
      </c>
      <c r="F398" t="s">
        <v>2969</v>
      </c>
    </row>
    <row r="399" spans="1:6" x14ac:dyDescent="0.25">
      <c r="A399" t="s">
        <v>1863</v>
      </c>
      <c r="B399" t="s">
        <v>461</v>
      </c>
      <c r="C399" t="s">
        <v>110</v>
      </c>
      <c r="D399">
        <v>2</v>
      </c>
      <c r="E399" t="s">
        <v>2064</v>
      </c>
      <c r="F399" t="s">
        <v>2969</v>
      </c>
    </row>
    <row r="400" spans="1:6" x14ac:dyDescent="0.25">
      <c r="A400" t="s">
        <v>1864</v>
      </c>
      <c r="B400" t="s">
        <v>463</v>
      </c>
      <c r="C400" t="s">
        <v>23</v>
      </c>
      <c r="D400">
        <v>1</v>
      </c>
      <c r="E400" t="s">
        <v>1647</v>
      </c>
      <c r="F400" t="s">
        <v>2969</v>
      </c>
    </row>
    <row r="401" spans="1:6" x14ac:dyDescent="0.25">
      <c r="A401" t="s">
        <v>1865</v>
      </c>
      <c r="B401" t="s">
        <v>464</v>
      </c>
      <c r="C401" t="s">
        <v>123</v>
      </c>
      <c r="D401">
        <v>1</v>
      </c>
      <c r="E401" t="s">
        <v>68</v>
      </c>
      <c r="F401" t="s">
        <v>2969</v>
      </c>
    </row>
    <row r="402" spans="1:6" x14ac:dyDescent="0.25">
      <c r="A402" t="s">
        <v>1865</v>
      </c>
      <c r="B402" t="s">
        <v>464</v>
      </c>
      <c r="C402" t="s">
        <v>123</v>
      </c>
      <c r="D402">
        <v>2</v>
      </c>
      <c r="E402" t="s">
        <v>2751</v>
      </c>
      <c r="F402" t="s">
        <v>2969</v>
      </c>
    </row>
    <row r="403" spans="1:6" x14ac:dyDescent="0.25">
      <c r="A403" t="s">
        <v>1865</v>
      </c>
      <c r="B403" t="s">
        <v>464</v>
      </c>
      <c r="C403" t="s">
        <v>123</v>
      </c>
      <c r="D403">
        <v>3</v>
      </c>
      <c r="E403" t="s">
        <v>1634</v>
      </c>
      <c r="F403" t="s">
        <v>2969</v>
      </c>
    </row>
    <row r="404" spans="1:6" x14ac:dyDescent="0.25">
      <c r="A404" t="s">
        <v>1866</v>
      </c>
      <c r="B404" t="s">
        <v>465</v>
      </c>
      <c r="C404" t="s">
        <v>46</v>
      </c>
      <c r="D404">
        <v>1</v>
      </c>
      <c r="E404" t="s">
        <v>68</v>
      </c>
      <c r="F404" t="s">
        <v>2969</v>
      </c>
    </row>
    <row r="405" spans="1:6" x14ac:dyDescent="0.25">
      <c r="A405" t="s">
        <v>1866</v>
      </c>
      <c r="B405" t="s">
        <v>465</v>
      </c>
      <c r="C405" t="s">
        <v>46</v>
      </c>
      <c r="D405">
        <v>2</v>
      </c>
      <c r="E405" t="s">
        <v>1645</v>
      </c>
      <c r="F405" t="s">
        <v>2969</v>
      </c>
    </row>
    <row r="406" spans="1:6" x14ac:dyDescent="0.25">
      <c r="A406" t="s">
        <v>1866</v>
      </c>
      <c r="B406" t="s">
        <v>465</v>
      </c>
      <c r="C406" t="s">
        <v>46</v>
      </c>
      <c r="D406">
        <v>3</v>
      </c>
      <c r="E406" t="s">
        <v>1953</v>
      </c>
      <c r="F406" t="s">
        <v>2969</v>
      </c>
    </row>
    <row r="407" spans="1:6" x14ac:dyDescent="0.25">
      <c r="A407" t="s">
        <v>1866</v>
      </c>
      <c r="B407" t="s">
        <v>465</v>
      </c>
      <c r="C407" t="s">
        <v>46</v>
      </c>
      <c r="D407">
        <v>4</v>
      </c>
      <c r="E407" t="s">
        <v>1621</v>
      </c>
      <c r="F407" t="s">
        <v>2969</v>
      </c>
    </row>
    <row r="408" spans="1:6" x14ac:dyDescent="0.25">
      <c r="A408" t="s">
        <v>1866</v>
      </c>
      <c r="B408" t="s">
        <v>465</v>
      </c>
      <c r="C408" t="s">
        <v>46</v>
      </c>
      <c r="D408">
        <v>5</v>
      </c>
      <c r="E408" t="s">
        <v>2003</v>
      </c>
      <c r="F408" t="s">
        <v>2969</v>
      </c>
    </row>
    <row r="409" spans="1:6" x14ac:dyDescent="0.25">
      <c r="A409" t="s">
        <v>1866</v>
      </c>
      <c r="B409" t="s">
        <v>465</v>
      </c>
      <c r="C409" t="s">
        <v>46</v>
      </c>
      <c r="D409">
        <v>6</v>
      </c>
      <c r="E409" t="s">
        <v>1815</v>
      </c>
      <c r="F409" t="s">
        <v>2969</v>
      </c>
    </row>
    <row r="410" spans="1:6" x14ac:dyDescent="0.25">
      <c r="A410" t="s">
        <v>1867</v>
      </c>
      <c r="B410" t="s">
        <v>466</v>
      </c>
      <c r="C410" t="s">
        <v>100</v>
      </c>
      <c r="D410">
        <v>1</v>
      </c>
      <c r="E410" t="s">
        <v>1657</v>
      </c>
      <c r="F410" t="s">
        <v>2969</v>
      </c>
    </row>
    <row r="411" spans="1:6" x14ac:dyDescent="0.25">
      <c r="A411" t="s">
        <v>1867</v>
      </c>
      <c r="B411" t="s">
        <v>466</v>
      </c>
      <c r="C411" t="s">
        <v>100</v>
      </c>
      <c r="D411">
        <v>2</v>
      </c>
      <c r="E411" t="s">
        <v>64</v>
      </c>
      <c r="F411" t="s">
        <v>2969</v>
      </c>
    </row>
    <row r="412" spans="1:6" x14ac:dyDescent="0.25">
      <c r="A412" t="s">
        <v>1867</v>
      </c>
      <c r="B412" t="s">
        <v>466</v>
      </c>
      <c r="C412" t="s">
        <v>100</v>
      </c>
      <c r="D412">
        <v>3</v>
      </c>
      <c r="E412" t="s">
        <v>1639</v>
      </c>
      <c r="F412" t="s">
        <v>2969</v>
      </c>
    </row>
    <row r="413" spans="1:6" x14ac:dyDescent="0.25">
      <c r="A413" t="s">
        <v>1867</v>
      </c>
      <c r="B413" t="s">
        <v>466</v>
      </c>
      <c r="C413" t="s">
        <v>100</v>
      </c>
      <c r="D413">
        <v>4</v>
      </c>
      <c r="E413" t="s">
        <v>1917</v>
      </c>
      <c r="F413" t="s">
        <v>2969</v>
      </c>
    </row>
    <row r="414" spans="1:6" x14ac:dyDescent="0.25">
      <c r="A414" t="s">
        <v>1868</v>
      </c>
      <c r="B414" t="s">
        <v>467</v>
      </c>
      <c r="C414" t="s">
        <v>113</v>
      </c>
      <c r="D414">
        <v>1</v>
      </c>
      <c r="E414" t="s">
        <v>1869</v>
      </c>
      <c r="F414" t="s">
        <v>2969</v>
      </c>
    </row>
    <row r="415" spans="1:6" x14ac:dyDescent="0.25">
      <c r="A415" t="s">
        <v>1870</v>
      </c>
      <c r="B415" t="s">
        <v>468</v>
      </c>
      <c r="C415" t="s">
        <v>14</v>
      </c>
      <c r="D415">
        <v>1</v>
      </c>
      <c r="E415" t="s">
        <v>1801</v>
      </c>
      <c r="F415" t="s">
        <v>2969</v>
      </c>
    </row>
    <row r="416" spans="1:6" x14ac:dyDescent="0.25">
      <c r="A416" t="s">
        <v>1870</v>
      </c>
      <c r="B416" t="s">
        <v>468</v>
      </c>
      <c r="C416" t="s">
        <v>14</v>
      </c>
      <c r="D416">
        <v>2</v>
      </c>
      <c r="E416" t="s">
        <v>68</v>
      </c>
      <c r="F416" t="s">
        <v>2969</v>
      </c>
    </row>
    <row r="417" spans="1:6" x14ac:dyDescent="0.25">
      <c r="A417" t="s">
        <v>1871</v>
      </c>
      <c r="B417" t="s">
        <v>469</v>
      </c>
      <c r="C417" t="s">
        <v>90</v>
      </c>
      <c r="D417">
        <v>1</v>
      </c>
      <c r="E417" t="s">
        <v>78</v>
      </c>
      <c r="F417" t="s">
        <v>2969</v>
      </c>
    </row>
    <row r="418" spans="1:6" x14ac:dyDescent="0.25">
      <c r="A418" t="s">
        <v>1871</v>
      </c>
      <c r="B418" t="s">
        <v>469</v>
      </c>
      <c r="C418" t="s">
        <v>90</v>
      </c>
      <c r="D418">
        <v>2</v>
      </c>
      <c r="E418" t="s">
        <v>1657</v>
      </c>
      <c r="F418" t="s">
        <v>2969</v>
      </c>
    </row>
    <row r="419" spans="1:6" x14ac:dyDescent="0.25">
      <c r="A419" t="s">
        <v>1872</v>
      </c>
      <c r="B419" t="s">
        <v>470</v>
      </c>
      <c r="C419" t="s">
        <v>94</v>
      </c>
      <c r="D419">
        <v>1</v>
      </c>
      <c r="E419" t="s">
        <v>1634</v>
      </c>
      <c r="F419" t="s">
        <v>2969</v>
      </c>
    </row>
    <row r="420" spans="1:6" x14ac:dyDescent="0.25">
      <c r="A420" t="s">
        <v>1873</v>
      </c>
      <c r="B420" t="s">
        <v>471</v>
      </c>
      <c r="C420" t="s">
        <v>43</v>
      </c>
      <c r="D420">
        <v>1</v>
      </c>
      <c r="E420" t="s">
        <v>1704</v>
      </c>
      <c r="F420" t="s">
        <v>2969</v>
      </c>
    </row>
    <row r="421" spans="1:6" x14ac:dyDescent="0.25">
      <c r="A421" t="s">
        <v>1873</v>
      </c>
      <c r="B421" t="s">
        <v>471</v>
      </c>
      <c r="C421" t="s">
        <v>43</v>
      </c>
      <c r="D421">
        <v>2</v>
      </c>
      <c r="E421" t="s">
        <v>2081</v>
      </c>
      <c r="F421" t="s">
        <v>2969</v>
      </c>
    </row>
    <row r="422" spans="1:6" x14ac:dyDescent="0.25">
      <c r="A422" t="s">
        <v>1874</v>
      </c>
      <c r="B422" t="s">
        <v>473</v>
      </c>
      <c r="C422" t="s">
        <v>123</v>
      </c>
      <c r="D422">
        <v>1</v>
      </c>
      <c r="E422" t="s">
        <v>1643</v>
      </c>
      <c r="F422" t="s">
        <v>2969</v>
      </c>
    </row>
    <row r="423" spans="1:6" x14ac:dyDescent="0.25">
      <c r="A423" t="s">
        <v>1874</v>
      </c>
      <c r="B423" t="s">
        <v>473</v>
      </c>
      <c r="C423" t="s">
        <v>123</v>
      </c>
      <c r="D423">
        <v>2</v>
      </c>
      <c r="E423" t="s">
        <v>1960</v>
      </c>
      <c r="F423" t="s">
        <v>2969</v>
      </c>
    </row>
    <row r="424" spans="1:6" x14ac:dyDescent="0.25">
      <c r="A424" t="s">
        <v>1874</v>
      </c>
      <c r="B424" t="s">
        <v>473</v>
      </c>
      <c r="C424" t="s">
        <v>123</v>
      </c>
      <c r="D424">
        <v>3</v>
      </c>
      <c r="E424" t="s">
        <v>1751</v>
      </c>
      <c r="F424" t="s">
        <v>2969</v>
      </c>
    </row>
    <row r="425" spans="1:6" x14ac:dyDescent="0.25">
      <c r="A425" t="s">
        <v>1875</v>
      </c>
      <c r="B425" t="s">
        <v>474</v>
      </c>
      <c r="C425" t="s">
        <v>130</v>
      </c>
      <c r="D425">
        <v>1</v>
      </c>
      <c r="E425" t="s">
        <v>1760</v>
      </c>
      <c r="F425" t="s">
        <v>2969</v>
      </c>
    </row>
    <row r="426" spans="1:6" x14ac:dyDescent="0.25">
      <c r="A426" t="s">
        <v>1875</v>
      </c>
      <c r="B426" t="s">
        <v>474</v>
      </c>
      <c r="C426" t="s">
        <v>130</v>
      </c>
      <c r="D426">
        <v>2</v>
      </c>
      <c r="E426" t="s">
        <v>2038</v>
      </c>
      <c r="F426" t="s">
        <v>2969</v>
      </c>
    </row>
    <row r="427" spans="1:6" x14ac:dyDescent="0.25">
      <c r="A427" t="s">
        <v>1875</v>
      </c>
      <c r="B427" t="s">
        <v>474</v>
      </c>
      <c r="C427" t="s">
        <v>130</v>
      </c>
      <c r="D427">
        <v>3</v>
      </c>
      <c r="E427" t="s">
        <v>2130</v>
      </c>
      <c r="F427" t="s">
        <v>2969</v>
      </c>
    </row>
    <row r="428" spans="1:6" x14ac:dyDescent="0.25">
      <c r="A428" t="s">
        <v>1876</v>
      </c>
      <c r="B428" t="s">
        <v>476</v>
      </c>
      <c r="C428" t="s">
        <v>83</v>
      </c>
      <c r="D428">
        <v>1</v>
      </c>
      <c r="E428" t="s">
        <v>1713</v>
      </c>
      <c r="F428" t="s">
        <v>2969</v>
      </c>
    </row>
    <row r="429" spans="1:6" x14ac:dyDescent="0.25">
      <c r="A429" t="s">
        <v>1876</v>
      </c>
      <c r="B429" t="s">
        <v>476</v>
      </c>
      <c r="C429" t="s">
        <v>83</v>
      </c>
      <c r="D429">
        <v>2</v>
      </c>
      <c r="E429" t="s">
        <v>1697</v>
      </c>
      <c r="F429" t="s">
        <v>2969</v>
      </c>
    </row>
    <row r="430" spans="1:6" x14ac:dyDescent="0.25">
      <c r="A430" t="s">
        <v>1876</v>
      </c>
      <c r="B430" t="s">
        <v>476</v>
      </c>
      <c r="C430" t="s">
        <v>83</v>
      </c>
      <c r="D430">
        <v>3</v>
      </c>
      <c r="E430" t="s">
        <v>135</v>
      </c>
      <c r="F430" t="s">
        <v>2969</v>
      </c>
    </row>
    <row r="431" spans="1:6" x14ac:dyDescent="0.25">
      <c r="A431" t="s">
        <v>1877</v>
      </c>
      <c r="B431" t="s">
        <v>477</v>
      </c>
      <c r="C431" t="s">
        <v>136</v>
      </c>
      <c r="D431">
        <v>1</v>
      </c>
      <c r="E431" t="s">
        <v>1637</v>
      </c>
      <c r="F431" t="s">
        <v>2969</v>
      </c>
    </row>
    <row r="432" spans="1:6" x14ac:dyDescent="0.25">
      <c r="A432" t="s">
        <v>1877</v>
      </c>
      <c r="B432" t="s">
        <v>477</v>
      </c>
      <c r="C432" t="s">
        <v>136</v>
      </c>
      <c r="D432">
        <v>2</v>
      </c>
      <c r="E432" t="s">
        <v>1721</v>
      </c>
      <c r="F432" t="s">
        <v>2969</v>
      </c>
    </row>
    <row r="433" spans="1:6" x14ac:dyDescent="0.25">
      <c r="A433" t="s">
        <v>1877</v>
      </c>
      <c r="B433" t="s">
        <v>477</v>
      </c>
      <c r="C433" t="s">
        <v>136</v>
      </c>
      <c r="D433">
        <v>3</v>
      </c>
      <c r="E433" t="s">
        <v>1676</v>
      </c>
      <c r="F433" t="s">
        <v>2969</v>
      </c>
    </row>
    <row r="434" spans="1:6" x14ac:dyDescent="0.25">
      <c r="A434" t="s">
        <v>1877</v>
      </c>
      <c r="B434" t="s">
        <v>477</v>
      </c>
      <c r="C434" t="s">
        <v>136</v>
      </c>
      <c r="D434">
        <v>4</v>
      </c>
      <c r="E434" t="s">
        <v>89</v>
      </c>
      <c r="F434" t="s">
        <v>2969</v>
      </c>
    </row>
    <row r="435" spans="1:6" x14ac:dyDescent="0.25">
      <c r="A435" t="s">
        <v>1878</v>
      </c>
      <c r="B435" t="s">
        <v>478</v>
      </c>
      <c r="C435" t="s">
        <v>103</v>
      </c>
      <c r="D435">
        <v>1</v>
      </c>
      <c r="E435" t="s">
        <v>1879</v>
      </c>
      <c r="F435" t="s">
        <v>2969</v>
      </c>
    </row>
    <row r="436" spans="1:6" x14ac:dyDescent="0.25">
      <c r="A436" t="s">
        <v>1878</v>
      </c>
      <c r="B436" t="s">
        <v>478</v>
      </c>
      <c r="C436" t="s">
        <v>103</v>
      </c>
      <c r="D436">
        <v>2</v>
      </c>
      <c r="E436" t="s">
        <v>1676</v>
      </c>
      <c r="F436" t="s">
        <v>2969</v>
      </c>
    </row>
    <row r="437" spans="1:6" x14ac:dyDescent="0.25">
      <c r="A437" t="s">
        <v>1878</v>
      </c>
      <c r="B437" t="s">
        <v>478</v>
      </c>
      <c r="C437" t="s">
        <v>103</v>
      </c>
      <c r="D437">
        <v>3</v>
      </c>
      <c r="E437" t="s">
        <v>1758</v>
      </c>
      <c r="F437" t="s">
        <v>2969</v>
      </c>
    </row>
    <row r="438" spans="1:6" x14ac:dyDescent="0.25">
      <c r="A438" t="s">
        <v>1880</v>
      </c>
      <c r="B438" t="s">
        <v>480</v>
      </c>
      <c r="C438" t="s">
        <v>83</v>
      </c>
      <c r="D438">
        <v>1</v>
      </c>
      <c r="E438" t="s">
        <v>1704</v>
      </c>
      <c r="F438" t="s">
        <v>2969</v>
      </c>
    </row>
    <row r="439" spans="1:6" x14ac:dyDescent="0.25">
      <c r="A439" t="s">
        <v>1880</v>
      </c>
      <c r="B439" t="s">
        <v>480</v>
      </c>
      <c r="C439" t="s">
        <v>83</v>
      </c>
      <c r="D439">
        <v>2</v>
      </c>
      <c r="E439" t="s">
        <v>13</v>
      </c>
      <c r="F439" t="s">
        <v>2969</v>
      </c>
    </row>
    <row r="440" spans="1:6" x14ac:dyDescent="0.25">
      <c r="A440" t="s">
        <v>1881</v>
      </c>
      <c r="B440" t="s">
        <v>482</v>
      </c>
      <c r="C440" t="s">
        <v>105</v>
      </c>
      <c r="D440">
        <v>1</v>
      </c>
      <c r="E440" t="s">
        <v>1653</v>
      </c>
      <c r="F440" t="s">
        <v>2969</v>
      </c>
    </row>
    <row r="441" spans="1:6" x14ac:dyDescent="0.25">
      <c r="A441" t="s">
        <v>1881</v>
      </c>
      <c r="B441" t="s">
        <v>482</v>
      </c>
      <c r="C441" t="s">
        <v>105</v>
      </c>
      <c r="D441">
        <v>2</v>
      </c>
      <c r="E441" t="s">
        <v>75</v>
      </c>
      <c r="F441" t="s">
        <v>2969</v>
      </c>
    </row>
    <row r="442" spans="1:6" x14ac:dyDescent="0.25">
      <c r="A442" t="s">
        <v>1882</v>
      </c>
      <c r="B442" t="s">
        <v>483</v>
      </c>
      <c r="C442" t="s">
        <v>123</v>
      </c>
      <c r="D442">
        <v>1</v>
      </c>
      <c r="E442" t="s">
        <v>1862</v>
      </c>
      <c r="F442" t="s">
        <v>2969</v>
      </c>
    </row>
    <row r="443" spans="1:6" x14ac:dyDescent="0.25">
      <c r="A443" t="s">
        <v>1882</v>
      </c>
      <c r="B443" t="s">
        <v>483</v>
      </c>
      <c r="C443" t="s">
        <v>123</v>
      </c>
      <c r="D443">
        <v>2</v>
      </c>
      <c r="E443" t="s">
        <v>64</v>
      </c>
      <c r="F443" t="s">
        <v>2969</v>
      </c>
    </row>
    <row r="444" spans="1:6" x14ac:dyDescent="0.25">
      <c r="A444" t="s">
        <v>1882</v>
      </c>
      <c r="B444" t="s">
        <v>483</v>
      </c>
      <c r="C444" t="s">
        <v>123</v>
      </c>
      <c r="D444">
        <v>3</v>
      </c>
      <c r="E444" t="s">
        <v>1634</v>
      </c>
      <c r="F444" t="s">
        <v>2969</v>
      </c>
    </row>
    <row r="445" spans="1:6" x14ac:dyDescent="0.25">
      <c r="A445" t="s">
        <v>1883</v>
      </c>
      <c r="B445" t="s">
        <v>484</v>
      </c>
      <c r="C445" t="s">
        <v>87</v>
      </c>
      <c r="D445">
        <v>1</v>
      </c>
      <c r="E445" t="s">
        <v>1678</v>
      </c>
      <c r="F445" t="s">
        <v>2969</v>
      </c>
    </row>
    <row r="446" spans="1:6" x14ac:dyDescent="0.25">
      <c r="A446" t="s">
        <v>1883</v>
      </c>
      <c r="B446" t="s">
        <v>484</v>
      </c>
      <c r="C446" t="s">
        <v>87</v>
      </c>
      <c r="D446">
        <v>2</v>
      </c>
      <c r="E446" t="s">
        <v>2088</v>
      </c>
      <c r="F446" t="s">
        <v>2969</v>
      </c>
    </row>
    <row r="447" spans="1:6" x14ac:dyDescent="0.25">
      <c r="A447" t="s">
        <v>1884</v>
      </c>
      <c r="B447" t="s">
        <v>486</v>
      </c>
      <c r="C447" t="s">
        <v>69</v>
      </c>
      <c r="D447">
        <v>1</v>
      </c>
      <c r="E447" t="s">
        <v>86</v>
      </c>
      <c r="F447" t="s">
        <v>2969</v>
      </c>
    </row>
    <row r="448" spans="1:6" x14ac:dyDescent="0.25">
      <c r="A448" t="s">
        <v>1885</v>
      </c>
      <c r="B448" t="s">
        <v>487</v>
      </c>
      <c r="C448" t="s">
        <v>125</v>
      </c>
      <c r="D448">
        <v>1</v>
      </c>
      <c r="E448" t="s">
        <v>1886</v>
      </c>
      <c r="F448" t="s">
        <v>2969</v>
      </c>
    </row>
    <row r="449" spans="1:6" x14ac:dyDescent="0.25">
      <c r="A449" t="s">
        <v>1885</v>
      </c>
      <c r="B449" t="s">
        <v>487</v>
      </c>
      <c r="C449" t="s">
        <v>125</v>
      </c>
      <c r="D449">
        <v>2</v>
      </c>
      <c r="E449" t="s">
        <v>38</v>
      </c>
      <c r="F449" t="s">
        <v>2969</v>
      </c>
    </row>
    <row r="450" spans="1:6" x14ac:dyDescent="0.25">
      <c r="A450" t="s">
        <v>1885</v>
      </c>
      <c r="B450" t="s">
        <v>487</v>
      </c>
      <c r="C450" t="s">
        <v>125</v>
      </c>
      <c r="D450">
        <v>3</v>
      </c>
      <c r="E450" t="s">
        <v>1951</v>
      </c>
      <c r="F450" t="s">
        <v>2969</v>
      </c>
    </row>
    <row r="451" spans="1:6" x14ac:dyDescent="0.25">
      <c r="A451" t="s">
        <v>1887</v>
      </c>
      <c r="B451" t="s">
        <v>489</v>
      </c>
      <c r="C451" t="s">
        <v>52</v>
      </c>
      <c r="D451">
        <v>1</v>
      </c>
      <c r="E451" t="s">
        <v>33</v>
      </c>
      <c r="F451" t="s">
        <v>2969</v>
      </c>
    </row>
    <row r="452" spans="1:6" x14ac:dyDescent="0.25">
      <c r="A452" t="s">
        <v>1887</v>
      </c>
      <c r="B452" t="s">
        <v>489</v>
      </c>
      <c r="C452" t="s">
        <v>52</v>
      </c>
      <c r="D452">
        <v>2</v>
      </c>
      <c r="E452" t="s">
        <v>30</v>
      </c>
      <c r="F452" t="s">
        <v>2969</v>
      </c>
    </row>
    <row r="453" spans="1:6" x14ac:dyDescent="0.25">
      <c r="A453" t="s">
        <v>1887</v>
      </c>
      <c r="B453" t="s">
        <v>489</v>
      </c>
      <c r="C453" t="s">
        <v>52</v>
      </c>
      <c r="D453">
        <v>3</v>
      </c>
      <c r="E453" t="s">
        <v>1704</v>
      </c>
      <c r="F453" t="s">
        <v>2969</v>
      </c>
    </row>
    <row r="454" spans="1:6" x14ac:dyDescent="0.25">
      <c r="A454" t="s">
        <v>1888</v>
      </c>
      <c r="B454" t="s">
        <v>491</v>
      </c>
      <c r="C454" t="s">
        <v>69</v>
      </c>
      <c r="D454">
        <v>1</v>
      </c>
      <c r="E454" t="s">
        <v>1822</v>
      </c>
      <c r="F454" t="s">
        <v>2969</v>
      </c>
    </row>
    <row r="455" spans="1:6" x14ac:dyDescent="0.25">
      <c r="A455" t="s">
        <v>1889</v>
      </c>
      <c r="B455" t="s">
        <v>492</v>
      </c>
      <c r="C455" t="s">
        <v>56</v>
      </c>
      <c r="D455">
        <v>1</v>
      </c>
      <c r="E455" t="s">
        <v>1689</v>
      </c>
      <c r="F455" t="s">
        <v>2969</v>
      </c>
    </row>
    <row r="456" spans="1:6" x14ac:dyDescent="0.25">
      <c r="A456" t="s">
        <v>1890</v>
      </c>
      <c r="B456" t="s">
        <v>494</v>
      </c>
      <c r="C456" t="s">
        <v>34</v>
      </c>
      <c r="D456">
        <v>1</v>
      </c>
      <c r="E456" t="s">
        <v>1891</v>
      </c>
      <c r="F456" t="s">
        <v>2969</v>
      </c>
    </row>
    <row r="457" spans="1:6" x14ac:dyDescent="0.25">
      <c r="A457" t="s">
        <v>1892</v>
      </c>
      <c r="B457" t="s">
        <v>495</v>
      </c>
      <c r="C457" t="s">
        <v>98</v>
      </c>
      <c r="D457">
        <v>1</v>
      </c>
      <c r="E457" t="s">
        <v>1627</v>
      </c>
      <c r="F457" t="s">
        <v>2969</v>
      </c>
    </row>
    <row r="458" spans="1:6" x14ac:dyDescent="0.25">
      <c r="A458" t="s">
        <v>1892</v>
      </c>
      <c r="B458" t="s">
        <v>495</v>
      </c>
      <c r="C458" t="s">
        <v>98</v>
      </c>
      <c r="D458">
        <v>2</v>
      </c>
      <c r="E458" t="s">
        <v>1948</v>
      </c>
      <c r="F458" t="s">
        <v>2969</v>
      </c>
    </row>
    <row r="459" spans="1:6" x14ac:dyDescent="0.25">
      <c r="A459" t="s">
        <v>1893</v>
      </c>
      <c r="B459" t="s">
        <v>496</v>
      </c>
      <c r="C459" t="s">
        <v>130</v>
      </c>
      <c r="D459">
        <v>1</v>
      </c>
      <c r="E459" t="s">
        <v>1764</v>
      </c>
      <c r="F459" t="s">
        <v>2969</v>
      </c>
    </row>
    <row r="460" spans="1:6" x14ac:dyDescent="0.25">
      <c r="A460" t="s">
        <v>1894</v>
      </c>
      <c r="B460" t="s">
        <v>497</v>
      </c>
      <c r="C460" t="s">
        <v>23</v>
      </c>
      <c r="D460">
        <v>1</v>
      </c>
      <c r="E460" t="s">
        <v>1795</v>
      </c>
      <c r="F460" t="s">
        <v>2969</v>
      </c>
    </row>
    <row r="461" spans="1:6" x14ac:dyDescent="0.25">
      <c r="A461" t="s">
        <v>1894</v>
      </c>
      <c r="B461" t="s">
        <v>497</v>
      </c>
      <c r="C461" t="s">
        <v>23</v>
      </c>
      <c r="D461">
        <v>2</v>
      </c>
      <c r="E461" t="s">
        <v>126</v>
      </c>
      <c r="F461" t="s">
        <v>2969</v>
      </c>
    </row>
    <row r="462" spans="1:6" x14ac:dyDescent="0.25">
      <c r="A462" t="s">
        <v>1894</v>
      </c>
      <c r="B462" t="s">
        <v>497</v>
      </c>
      <c r="C462" t="s">
        <v>23</v>
      </c>
      <c r="D462">
        <v>3</v>
      </c>
      <c r="E462" t="s">
        <v>84</v>
      </c>
      <c r="F462" t="s">
        <v>2969</v>
      </c>
    </row>
    <row r="463" spans="1:6" x14ac:dyDescent="0.25">
      <c r="A463" t="s">
        <v>1895</v>
      </c>
      <c r="B463" t="s">
        <v>499</v>
      </c>
      <c r="C463" t="s">
        <v>128</v>
      </c>
      <c r="D463">
        <v>1</v>
      </c>
      <c r="E463" t="s">
        <v>1896</v>
      </c>
      <c r="F463" t="s">
        <v>2969</v>
      </c>
    </row>
    <row r="464" spans="1:6" x14ac:dyDescent="0.25">
      <c r="A464" t="s">
        <v>1895</v>
      </c>
      <c r="B464" t="s">
        <v>499</v>
      </c>
      <c r="C464" t="s">
        <v>128</v>
      </c>
      <c r="D464">
        <v>2</v>
      </c>
      <c r="E464" t="s">
        <v>1699</v>
      </c>
      <c r="F464" t="s">
        <v>2969</v>
      </c>
    </row>
    <row r="465" spans="1:6" x14ac:dyDescent="0.25">
      <c r="A465" t="s">
        <v>1895</v>
      </c>
      <c r="B465" t="s">
        <v>499</v>
      </c>
      <c r="C465" t="s">
        <v>128</v>
      </c>
      <c r="D465">
        <v>3</v>
      </c>
      <c r="E465" t="s">
        <v>55</v>
      </c>
      <c r="F465" t="s">
        <v>2969</v>
      </c>
    </row>
    <row r="466" spans="1:6" x14ac:dyDescent="0.25">
      <c r="A466" t="s">
        <v>1895</v>
      </c>
      <c r="B466" t="s">
        <v>499</v>
      </c>
      <c r="C466" t="s">
        <v>128</v>
      </c>
      <c r="D466">
        <v>4</v>
      </c>
      <c r="E466" t="s">
        <v>99</v>
      </c>
      <c r="F466" t="s">
        <v>2969</v>
      </c>
    </row>
    <row r="467" spans="1:6" x14ac:dyDescent="0.25">
      <c r="A467" t="s">
        <v>1897</v>
      </c>
      <c r="B467" t="s">
        <v>500</v>
      </c>
      <c r="C467" t="s">
        <v>85</v>
      </c>
      <c r="D467">
        <v>1</v>
      </c>
      <c r="E467" t="s">
        <v>1655</v>
      </c>
      <c r="F467" t="s">
        <v>2969</v>
      </c>
    </row>
    <row r="468" spans="1:6" x14ac:dyDescent="0.25">
      <c r="A468" t="s">
        <v>1898</v>
      </c>
      <c r="B468" t="s">
        <v>502</v>
      </c>
      <c r="C468" t="s">
        <v>107</v>
      </c>
      <c r="D468">
        <v>1</v>
      </c>
      <c r="E468" t="s">
        <v>1760</v>
      </c>
      <c r="F468" t="s">
        <v>2969</v>
      </c>
    </row>
    <row r="469" spans="1:6" x14ac:dyDescent="0.25">
      <c r="A469" t="s">
        <v>1898</v>
      </c>
      <c r="B469" t="s">
        <v>502</v>
      </c>
      <c r="C469" t="s">
        <v>107</v>
      </c>
      <c r="D469">
        <v>2</v>
      </c>
      <c r="E469" t="s">
        <v>137</v>
      </c>
      <c r="F469" t="s">
        <v>2969</v>
      </c>
    </row>
    <row r="470" spans="1:6" x14ac:dyDescent="0.25">
      <c r="A470" t="s">
        <v>1898</v>
      </c>
      <c r="B470" t="s">
        <v>502</v>
      </c>
      <c r="C470" t="s">
        <v>107</v>
      </c>
      <c r="D470">
        <v>3</v>
      </c>
      <c r="E470" t="s">
        <v>2130</v>
      </c>
      <c r="F470" t="s">
        <v>2969</v>
      </c>
    </row>
    <row r="471" spans="1:6" x14ac:dyDescent="0.25">
      <c r="A471" t="s">
        <v>1898</v>
      </c>
      <c r="B471" t="s">
        <v>502</v>
      </c>
      <c r="C471" t="s">
        <v>107</v>
      </c>
      <c r="D471">
        <v>4</v>
      </c>
      <c r="E471" t="s">
        <v>86</v>
      </c>
      <c r="F471" t="s">
        <v>2969</v>
      </c>
    </row>
    <row r="472" spans="1:6" x14ac:dyDescent="0.25">
      <c r="A472" t="s">
        <v>1899</v>
      </c>
      <c r="B472" t="s">
        <v>503</v>
      </c>
      <c r="C472" t="s">
        <v>134</v>
      </c>
      <c r="D472">
        <v>1</v>
      </c>
      <c r="E472" t="s">
        <v>1809</v>
      </c>
      <c r="F472" t="s">
        <v>2969</v>
      </c>
    </row>
    <row r="473" spans="1:6" x14ac:dyDescent="0.25">
      <c r="A473" t="s">
        <v>1899</v>
      </c>
      <c r="B473" t="s">
        <v>503</v>
      </c>
      <c r="C473" t="s">
        <v>134</v>
      </c>
      <c r="D473">
        <v>2</v>
      </c>
      <c r="E473" t="s">
        <v>2081</v>
      </c>
      <c r="F473" t="s">
        <v>2969</v>
      </c>
    </row>
    <row r="474" spans="1:6" x14ac:dyDescent="0.25">
      <c r="A474" t="s">
        <v>1899</v>
      </c>
      <c r="B474" t="s">
        <v>503</v>
      </c>
      <c r="C474" t="s">
        <v>134</v>
      </c>
      <c r="D474">
        <v>3</v>
      </c>
      <c r="E474" t="s">
        <v>2470</v>
      </c>
      <c r="F474" t="s">
        <v>2969</v>
      </c>
    </row>
    <row r="475" spans="1:6" x14ac:dyDescent="0.25">
      <c r="A475" t="s">
        <v>1900</v>
      </c>
      <c r="B475" t="s">
        <v>505</v>
      </c>
      <c r="C475" t="s">
        <v>23</v>
      </c>
      <c r="D475">
        <v>1</v>
      </c>
      <c r="E475" t="s">
        <v>55</v>
      </c>
      <c r="F475" t="s">
        <v>2969</v>
      </c>
    </row>
    <row r="476" spans="1:6" x14ac:dyDescent="0.25">
      <c r="A476" t="s">
        <v>1900</v>
      </c>
      <c r="B476" t="s">
        <v>505</v>
      </c>
      <c r="C476" t="s">
        <v>23</v>
      </c>
      <c r="D476">
        <v>2</v>
      </c>
      <c r="E476" t="s">
        <v>2344</v>
      </c>
      <c r="F476" t="s">
        <v>2969</v>
      </c>
    </row>
    <row r="477" spans="1:6" x14ac:dyDescent="0.25">
      <c r="A477" t="s">
        <v>1900</v>
      </c>
      <c r="B477" t="s">
        <v>505</v>
      </c>
      <c r="C477" t="s">
        <v>23</v>
      </c>
      <c r="D477">
        <v>3</v>
      </c>
      <c r="E477" t="s">
        <v>99</v>
      </c>
      <c r="F477" t="s">
        <v>2969</v>
      </c>
    </row>
    <row r="478" spans="1:6" x14ac:dyDescent="0.25">
      <c r="A478" t="s">
        <v>1901</v>
      </c>
      <c r="B478" t="s">
        <v>506</v>
      </c>
      <c r="C478" t="s">
        <v>97</v>
      </c>
      <c r="D478">
        <v>1</v>
      </c>
      <c r="E478" t="s">
        <v>1653</v>
      </c>
      <c r="F478" t="s">
        <v>2969</v>
      </c>
    </row>
    <row r="479" spans="1:6" x14ac:dyDescent="0.25">
      <c r="A479" t="s">
        <v>1902</v>
      </c>
      <c r="B479" t="s">
        <v>507</v>
      </c>
      <c r="C479" t="s">
        <v>43</v>
      </c>
      <c r="D479">
        <v>1</v>
      </c>
      <c r="E479" t="s">
        <v>72</v>
      </c>
      <c r="F479" t="s">
        <v>2969</v>
      </c>
    </row>
    <row r="480" spans="1:6" x14ac:dyDescent="0.25">
      <c r="A480" t="s">
        <v>1903</v>
      </c>
      <c r="B480" t="s">
        <v>509</v>
      </c>
      <c r="C480" t="s">
        <v>85</v>
      </c>
      <c r="D480">
        <v>1</v>
      </c>
      <c r="E480" t="s">
        <v>1904</v>
      </c>
      <c r="F480" t="s">
        <v>2969</v>
      </c>
    </row>
    <row r="481" spans="1:6" x14ac:dyDescent="0.25">
      <c r="A481" t="s">
        <v>1903</v>
      </c>
      <c r="B481" t="s">
        <v>509</v>
      </c>
      <c r="C481" t="s">
        <v>85</v>
      </c>
      <c r="D481">
        <v>2</v>
      </c>
      <c r="E481" t="s">
        <v>104</v>
      </c>
      <c r="F481" t="s">
        <v>2969</v>
      </c>
    </row>
    <row r="482" spans="1:6" x14ac:dyDescent="0.25">
      <c r="A482" t="s">
        <v>1903</v>
      </c>
      <c r="B482" t="s">
        <v>509</v>
      </c>
      <c r="C482" t="s">
        <v>85</v>
      </c>
      <c r="D482">
        <v>3</v>
      </c>
      <c r="E482" t="s">
        <v>1709</v>
      </c>
      <c r="F482" t="s">
        <v>2969</v>
      </c>
    </row>
    <row r="483" spans="1:6" x14ac:dyDescent="0.25">
      <c r="A483" t="s">
        <v>1903</v>
      </c>
      <c r="B483" t="s">
        <v>509</v>
      </c>
      <c r="C483" t="s">
        <v>85</v>
      </c>
      <c r="D483">
        <v>4</v>
      </c>
      <c r="E483" t="s">
        <v>1741</v>
      </c>
      <c r="F483" t="s">
        <v>2969</v>
      </c>
    </row>
    <row r="484" spans="1:6" x14ac:dyDescent="0.25">
      <c r="A484" t="s">
        <v>1903</v>
      </c>
      <c r="B484" t="s">
        <v>509</v>
      </c>
      <c r="C484" t="s">
        <v>85</v>
      </c>
      <c r="D484">
        <v>5</v>
      </c>
      <c r="E484" t="s">
        <v>1667</v>
      </c>
      <c r="F484" t="s">
        <v>2969</v>
      </c>
    </row>
    <row r="485" spans="1:6" x14ac:dyDescent="0.25">
      <c r="A485" t="s">
        <v>1903</v>
      </c>
      <c r="B485" t="s">
        <v>509</v>
      </c>
      <c r="C485" t="s">
        <v>85</v>
      </c>
      <c r="D485">
        <v>6</v>
      </c>
      <c r="E485" t="s">
        <v>1772</v>
      </c>
      <c r="F485" t="s">
        <v>2969</v>
      </c>
    </row>
    <row r="486" spans="1:6" x14ac:dyDescent="0.25">
      <c r="A486" t="s">
        <v>1903</v>
      </c>
      <c r="B486" t="s">
        <v>509</v>
      </c>
      <c r="C486" t="s">
        <v>85</v>
      </c>
      <c r="D486">
        <v>7</v>
      </c>
      <c r="E486" t="s">
        <v>1857</v>
      </c>
      <c r="F486" t="s">
        <v>1692</v>
      </c>
    </row>
    <row r="487" spans="1:6" x14ac:dyDescent="0.25">
      <c r="A487" t="s">
        <v>1905</v>
      </c>
      <c r="B487" t="s">
        <v>511</v>
      </c>
      <c r="C487" t="s">
        <v>134</v>
      </c>
      <c r="D487">
        <v>1</v>
      </c>
      <c r="E487" t="s">
        <v>1807</v>
      </c>
      <c r="F487" t="s">
        <v>2969</v>
      </c>
    </row>
    <row r="488" spans="1:6" x14ac:dyDescent="0.25">
      <c r="A488" t="s">
        <v>1905</v>
      </c>
      <c r="B488" t="s">
        <v>511</v>
      </c>
      <c r="C488" t="s">
        <v>134</v>
      </c>
      <c r="D488">
        <v>2</v>
      </c>
      <c r="E488" t="s">
        <v>137</v>
      </c>
      <c r="F488" t="s">
        <v>2969</v>
      </c>
    </row>
    <row r="489" spans="1:6" x14ac:dyDescent="0.25">
      <c r="A489" t="s">
        <v>1905</v>
      </c>
      <c r="B489" t="s">
        <v>511</v>
      </c>
      <c r="C489" t="s">
        <v>134</v>
      </c>
      <c r="D489">
        <v>3</v>
      </c>
      <c r="E489" t="s">
        <v>2021</v>
      </c>
      <c r="F489" t="s">
        <v>2969</v>
      </c>
    </row>
    <row r="490" spans="1:6" x14ac:dyDescent="0.25">
      <c r="A490" t="s">
        <v>1905</v>
      </c>
      <c r="B490" t="s">
        <v>511</v>
      </c>
      <c r="C490" t="s">
        <v>134</v>
      </c>
      <c r="D490">
        <v>4</v>
      </c>
      <c r="E490" t="s">
        <v>104</v>
      </c>
      <c r="F490" t="s">
        <v>2969</v>
      </c>
    </row>
    <row r="491" spans="1:6" x14ac:dyDescent="0.25">
      <c r="A491" t="s">
        <v>1905</v>
      </c>
      <c r="B491" t="s">
        <v>511</v>
      </c>
      <c r="C491" t="s">
        <v>134</v>
      </c>
      <c r="D491">
        <v>5</v>
      </c>
      <c r="E491" t="s">
        <v>1879</v>
      </c>
      <c r="F491" t="s">
        <v>2969</v>
      </c>
    </row>
    <row r="492" spans="1:6" x14ac:dyDescent="0.25">
      <c r="A492" t="s">
        <v>1905</v>
      </c>
      <c r="B492" t="s">
        <v>511</v>
      </c>
      <c r="C492" t="s">
        <v>134</v>
      </c>
      <c r="D492">
        <v>6</v>
      </c>
      <c r="E492" t="s">
        <v>1709</v>
      </c>
      <c r="F492" t="s">
        <v>2969</v>
      </c>
    </row>
    <row r="493" spans="1:6" x14ac:dyDescent="0.25">
      <c r="A493" t="s">
        <v>1905</v>
      </c>
      <c r="B493" t="s">
        <v>511</v>
      </c>
      <c r="C493" t="s">
        <v>134</v>
      </c>
      <c r="D493">
        <v>7</v>
      </c>
      <c r="E493" t="s">
        <v>48</v>
      </c>
      <c r="F493" t="s">
        <v>1692</v>
      </c>
    </row>
    <row r="494" spans="1:6" x14ac:dyDescent="0.25">
      <c r="A494" t="s">
        <v>1906</v>
      </c>
      <c r="B494" t="s">
        <v>512</v>
      </c>
      <c r="C494" t="s">
        <v>83</v>
      </c>
      <c r="D494">
        <v>1</v>
      </c>
      <c r="E494" t="s">
        <v>1824</v>
      </c>
      <c r="F494" t="s">
        <v>2969</v>
      </c>
    </row>
    <row r="495" spans="1:6" x14ac:dyDescent="0.25">
      <c r="A495" t="s">
        <v>1906</v>
      </c>
      <c r="B495" t="s">
        <v>512</v>
      </c>
      <c r="C495" t="s">
        <v>83</v>
      </c>
      <c r="D495">
        <v>2</v>
      </c>
      <c r="E495" t="s">
        <v>1649</v>
      </c>
      <c r="F495" t="s">
        <v>2969</v>
      </c>
    </row>
    <row r="496" spans="1:6" x14ac:dyDescent="0.25">
      <c r="A496" t="s">
        <v>1906</v>
      </c>
      <c r="B496" t="s">
        <v>512</v>
      </c>
      <c r="C496" t="s">
        <v>83</v>
      </c>
      <c r="D496">
        <v>3</v>
      </c>
      <c r="E496" t="s">
        <v>1713</v>
      </c>
      <c r="F496" t="s">
        <v>2969</v>
      </c>
    </row>
    <row r="497" spans="1:6" x14ac:dyDescent="0.25">
      <c r="A497" t="s">
        <v>1907</v>
      </c>
      <c r="B497" t="s">
        <v>514</v>
      </c>
      <c r="C497" t="s">
        <v>113</v>
      </c>
      <c r="D497">
        <v>1</v>
      </c>
      <c r="E497" t="s">
        <v>1908</v>
      </c>
      <c r="F497" t="s">
        <v>2969</v>
      </c>
    </row>
    <row r="498" spans="1:6" x14ac:dyDescent="0.25">
      <c r="A498" t="s">
        <v>1907</v>
      </c>
      <c r="B498" t="s">
        <v>514</v>
      </c>
      <c r="C498" t="s">
        <v>113</v>
      </c>
      <c r="D498">
        <v>2</v>
      </c>
      <c r="E498" t="s">
        <v>22</v>
      </c>
      <c r="F498" t="s">
        <v>2969</v>
      </c>
    </row>
    <row r="499" spans="1:6" x14ac:dyDescent="0.25">
      <c r="A499" t="s">
        <v>1907</v>
      </c>
      <c r="B499" t="s">
        <v>514</v>
      </c>
      <c r="C499" t="s">
        <v>113</v>
      </c>
      <c r="D499">
        <v>3</v>
      </c>
      <c r="E499" t="s">
        <v>99</v>
      </c>
      <c r="F499" t="s">
        <v>2969</v>
      </c>
    </row>
    <row r="500" spans="1:6" x14ac:dyDescent="0.25">
      <c r="A500" t="s">
        <v>1907</v>
      </c>
      <c r="B500" t="s">
        <v>514</v>
      </c>
      <c r="C500" t="s">
        <v>113</v>
      </c>
      <c r="D500">
        <v>4</v>
      </c>
      <c r="E500" t="s">
        <v>1886</v>
      </c>
      <c r="F500" t="s">
        <v>2969</v>
      </c>
    </row>
    <row r="501" spans="1:6" x14ac:dyDescent="0.25">
      <c r="A501" t="s">
        <v>1907</v>
      </c>
      <c r="B501" t="s">
        <v>514</v>
      </c>
      <c r="C501" t="s">
        <v>113</v>
      </c>
      <c r="D501">
        <v>5</v>
      </c>
      <c r="E501" t="s">
        <v>38</v>
      </c>
      <c r="F501" t="s">
        <v>2969</v>
      </c>
    </row>
    <row r="502" spans="1:6" x14ac:dyDescent="0.25">
      <c r="A502" t="s">
        <v>1907</v>
      </c>
      <c r="B502" t="s">
        <v>514</v>
      </c>
      <c r="C502" t="s">
        <v>113</v>
      </c>
      <c r="D502">
        <v>6</v>
      </c>
      <c r="E502" t="s">
        <v>1627</v>
      </c>
      <c r="F502" t="s">
        <v>2969</v>
      </c>
    </row>
    <row r="503" spans="1:6" x14ac:dyDescent="0.25">
      <c r="A503" t="s">
        <v>1907</v>
      </c>
      <c r="B503" t="s">
        <v>514</v>
      </c>
      <c r="C503" t="s">
        <v>113</v>
      </c>
      <c r="D503">
        <v>7</v>
      </c>
      <c r="E503" t="s">
        <v>1787</v>
      </c>
      <c r="F503" t="s">
        <v>1692</v>
      </c>
    </row>
    <row r="504" spans="1:6" x14ac:dyDescent="0.25">
      <c r="A504" t="s">
        <v>1909</v>
      </c>
      <c r="B504" t="s">
        <v>515</v>
      </c>
      <c r="C504" t="s">
        <v>83</v>
      </c>
      <c r="D504">
        <v>1</v>
      </c>
      <c r="E504" t="s">
        <v>1704</v>
      </c>
      <c r="F504" t="s">
        <v>2969</v>
      </c>
    </row>
    <row r="505" spans="1:6" x14ac:dyDescent="0.25">
      <c r="A505" t="s">
        <v>1909</v>
      </c>
      <c r="B505" t="s">
        <v>515</v>
      </c>
      <c r="C505" t="s">
        <v>83</v>
      </c>
      <c r="D505">
        <v>2</v>
      </c>
      <c r="E505" t="s">
        <v>1724</v>
      </c>
      <c r="F505" t="s">
        <v>2969</v>
      </c>
    </row>
    <row r="506" spans="1:6" x14ac:dyDescent="0.25">
      <c r="A506" t="s">
        <v>1909</v>
      </c>
      <c r="B506" t="s">
        <v>515</v>
      </c>
      <c r="C506" t="s">
        <v>83</v>
      </c>
      <c r="D506">
        <v>3</v>
      </c>
      <c r="E506" t="s">
        <v>1859</v>
      </c>
      <c r="F506" t="s">
        <v>2969</v>
      </c>
    </row>
    <row r="507" spans="1:6" x14ac:dyDescent="0.25">
      <c r="A507" t="s">
        <v>1910</v>
      </c>
      <c r="B507" t="s">
        <v>517</v>
      </c>
      <c r="C507" t="s">
        <v>52</v>
      </c>
      <c r="D507">
        <v>1</v>
      </c>
      <c r="E507" t="s">
        <v>1824</v>
      </c>
      <c r="F507" t="s">
        <v>2969</v>
      </c>
    </row>
    <row r="508" spans="1:6" x14ac:dyDescent="0.25">
      <c r="A508" t="s">
        <v>1911</v>
      </c>
      <c r="B508" t="s">
        <v>519</v>
      </c>
      <c r="C508" t="s">
        <v>60</v>
      </c>
      <c r="D508">
        <v>1</v>
      </c>
      <c r="E508" t="s">
        <v>1624</v>
      </c>
      <c r="F508" t="s">
        <v>2969</v>
      </c>
    </row>
    <row r="509" spans="1:6" x14ac:dyDescent="0.25">
      <c r="A509" t="s">
        <v>1911</v>
      </c>
      <c r="B509" t="s">
        <v>519</v>
      </c>
      <c r="C509" t="s">
        <v>60</v>
      </c>
      <c r="D509">
        <v>2</v>
      </c>
      <c r="E509" t="s">
        <v>1917</v>
      </c>
      <c r="F509" t="s">
        <v>2969</v>
      </c>
    </row>
    <row r="510" spans="1:6" x14ac:dyDescent="0.25">
      <c r="A510" t="s">
        <v>1912</v>
      </c>
      <c r="B510" t="s">
        <v>521</v>
      </c>
      <c r="C510" t="s">
        <v>20</v>
      </c>
      <c r="D510">
        <v>1</v>
      </c>
      <c r="E510" t="s">
        <v>135</v>
      </c>
      <c r="F510" t="s">
        <v>2969</v>
      </c>
    </row>
    <row r="511" spans="1:6" x14ac:dyDescent="0.25">
      <c r="A511" t="s">
        <v>1913</v>
      </c>
      <c r="B511" t="s">
        <v>522</v>
      </c>
      <c r="C511" t="s">
        <v>87</v>
      </c>
      <c r="D511">
        <v>1</v>
      </c>
      <c r="E511" t="s">
        <v>1624</v>
      </c>
      <c r="F511" t="s">
        <v>2969</v>
      </c>
    </row>
    <row r="512" spans="1:6" x14ac:dyDescent="0.25">
      <c r="A512" t="s">
        <v>1914</v>
      </c>
      <c r="B512" t="s">
        <v>523</v>
      </c>
      <c r="C512" t="s">
        <v>107</v>
      </c>
      <c r="D512">
        <v>1</v>
      </c>
      <c r="E512" t="s">
        <v>1915</v>
      </c>
      <c r="F512" t="s">
        <v>2969</v>
      </c>
    </row>
    <row r="513" spans="1:6" x14ac:dyDescent="0.25">
      <c r="A513" t="s">
        <v>1914</v>
      </c>
      <c r="B513" t="s">
        <v>523</v>
      </c>
      <c r="C513" t="s">
        <v>107</v>
      </c>
      <c r="D513">
        <v>2</v>
      </c>
      <c r="E513" t="s">
        <v>36</v>
      </c>
      <c r="F513" t="s">
        <v>2969</v>
      </c>
    </row>
    <row r="514" spans="1:6" x14ac:dyDescent="0.25">
      <c r="A514" t="s">
        <v>1914</v>
      </c>
      <c r="B514" t="s">
        <v>523</v>
      </c>
      <c r="C514" t="s">
        <v>107</v>
      </c>
      <c r="D514">
        <v>3</v>
      </c>
      <c r="E514" t="s">
        <v>1891</v>
      </c>
      <c r="F514" t="s">
        <v>2969</v>
      </c>
    </row>
    <row r="515" spans="1:6" x14ac:dyDescent="0.25">
      <c r="A515" t="s">
        <v>1914</v>
      </c>
      <c r="B515" t="s">
        <v>523</v>
      </c>
      <c r="C515" t="s">
        <v>107</v>
      </c>
      <c r="D515">
        <v>4</v>
      </c>
      <c r="E515" t="s">
        <v>1754</v>
      </c>
      <c r="F515" t="s">
        <v>2969</v>
      </c>
    </row>
    <row r="516" spans="1:6" x14ac:dyDescent="0.25">
      <c r="A516" t="s">
        <v>1916</v>
      </c>
      <c r="B516" t="s">
        <v>524</v>
      </c>
      <c r="C516" t="s">
        <v>73</v>
      </c>
      <c r="D516">
        <v>1</v>
      </c>
      <c r="E516" t="s">
        <v>1917</v>
      </c>
      <c r="F516" t="s">
        <v>2969</v>
      </c>
    </row>
    <row r="517" spans="1:6" x14ac:dyDescent="0.25">
      <c r="A517" t="s">
        <v>1916</v>
      </c>
      <c r="B517" t="s">
        <v>524</v>
      </c>
      <c r="C517" t="s">
        <v>73</v>
      </c>
      <c r="D517">
        <v>2</v>
      </c>
      <c r="E517" t="s">
        <v>2003</v>
      </c>
      <c r="F517" t="s">
        <v>2969</v>
      </c>
    </row>
    <row r="518" spans="1:6" x14ac:dyDescent="0.25">
      <c r="A518" t="s">
        <v>1918</v>
      </c>
      <c r="B518" t="s">
        <v>526</v>
      </c>
      <c r="C518" t="s">
        <v>121</v>
      </c>
      <c r="D518">
        <v>1</v>
      </c>
      <c r="E518" t="s">
        <v>1711</v>
      </c>
      <c r="F518" t="s">
        <v>2969</v>
      </c>
    </row>
    <row r="519" spans="1:6" x14ac:dyDescent="0.25">
      <c r="A519" t="s">
        <v>1919</v>
      </c>
      <c r="B519" t="s">
        <v>527</v>
      </c>
      <c r="C519" t="s">
        <v>87</v>
      </c>
      <c r="D519">
        <v>1</v>
      </c>
      <c r="E519" t="s">
        <v>1815</v>
      </c>
      <c r="F519" t="s">
        <v>2969</v>
      </c>
    </row>
    <row r="520" spans="1:6" x14ac:dyDescent="0.25">
      <c r="A520" t="s">
        <v>1919</v>
      </c>
      <c r="B520" t="s">
        <v>527</v>
      </c>
      <c r="C520" t="s">
        <v>87</v>
      </c>
      <c r="D520">
        <v>2</v>
      </c>
      <c r="E520" t="s">
        <v>1934</v>
      </c>
      <c r="F520" t="s">
        <v>2969</v>
      </c>
    </row>
    <row r="521" spans="1:6" x14ac:dyDescent="0.25">
      <c r="A521" t="s">
        <v>1920</v>
      </c>
      <c r="B521" t="s">
        <v>529</v>
      </c>
      <c r="C521" t="s">
        <v>85</v>
      </c>
      <c r="D521">
        <v>1</v>
      </c>
      <c r="E521" t="s">
        <v>89</v>
      </c>
      <c r="F521" t="s">
        <v>2969</v>
      </c>
    </row>
    <row r="522" spans="1:6" x14ac:dyDescent="0.25">
      <c r="A522" t="s">
        <v>1921</v>
      </c>
      <c r="B522" t="s">
        <v>531</v>
      </c>
      <c r="C522" t="s">
        <v>73</v>
      </c>
      <c r="D522">
        <v>1</v>
      </c>
      <c r="E522" t="s">
        <v>1751</v>
      </c>
      <c r="F522" t="s">
        <v>2969</v>
      </c>
    </row>
    <row r="523" spans="1:6" x14ac:dyDescent="0.25">
      <c r="A523" t="s">
        <v>1922</v>
      </c>
      <c r="B523" t="s">
        <v>533</v>
      </c>
      <c r="C523" t="s">
        <v>127</v>
      </c>
      <c r="D523">
        <v>1</v>
      </c>
      <c r="E523" t="s">
        <v>1923</v>
      </c>
      <c r="F523" t="s">
        <v>2969</v>
      </c>
    </row>
    <row r="524" spans="1:6" x14ac:dyDescent="0.25">
      <c r="A524" t="s">
        <v>1922</v>
      </c>
      <c r="B524" t="s">
        <v>533</v>
      </c>
      <c r="C524" t="s">
        <v>127</v>
      </c>
      <c r="D524">
        <v>2</v>
      </c>
      <c r="E524" t="s">
        <v>1820</v>
      </c>
      <c r="F524" t="s">
        <v>2969</v>
      </c>
    </row>
    <row r="525" spans="1:6" x14ac:dyDescent="0.25">
      <c r="A525" t="s">
        <v>1922</v>
      </c>
      <c r="B525" t="s">
        <v>533</v>
      </c>
      <c r="C525" t="s">
        <v>127</v>
      </c>
      <c r="D525">
        <v>3</v>
      </c>
      <c r="E525" t="s">
        <v>2456</v>
      </c>
      <c r="F525" t="s">
        <v>2969</v>
      </c>
    </row>
    <row r="526" spans="1:6" x14ac:dyDescent="0.25">
      <c r="A526" t="s">
        <v>1922</v>
      </c>
      <c r="B526" t="s">
        <v>533</v>
      </c>
      <c r="C526" t="s">
        <v>127</v>
      </c>
      <c r="D526">
        <v>4</v>
      </c>
      <c r="E526" t="s">
        <v>2786</v>
      </c>
      <c r="F526" t="s">
        <v>2969</v>
      </c>
    </row>
    <row r="527" spans="1:6" x14ac:dyDescent="0.25">
      <c r="A527" t="s">
        <v>1924</v>
      </c>
      <c r="B527" t="s">
        <v>534</v>
      </c>
      <c r="C527" t="s">
        <v>107</v>
      </c>
      <c r="D527">
        <v>1</v>
      </c>
      <c r="E527" t="s">
        <v>13</v>
      </c>
      <c r="F527" t="s">
        <v>2969</v>
      </c>
    </row>
    <row r="528" spans="1:6" x14ac:dyDescent="0.25">
      <c r="A528" t="s">
        <v>1925</v>
      </c>
      <c r="B528" t="s">
        <v>536</v>
      </c>
      <c r="C528" t="s">
        <v>123</v>
      </c>
      <c r="D528">
        <v>1</v>
      </c>
      <c r="E528" t="s">
        <v>111</v>
      </c>
      <c r="F528" t="s">
        <v>2969</v>
      </c>
    </row>
    <row r="529" spans="1:6" x14ac:dyDescent="0.25">
      <c r="A529" t="s">
        <v>1926</v>
      </c>
      <c r="B529" t="s">
        <v>537</v>
      </c>
      <c r="C529" t="s">
        <v>65</v>
      </c>
      <c r="D529">
        <v>1</v>
      </c>
      <c r="E529" t="s">
        <v>1741</v>
      </c>
      <c r="F529" t="s">
        <v>2969</v>
      </c>
    </row>
    <row r="530" spans="1:6" x14ac:dyDescent="0.25">
      <c r="A530" t="s">
        <v>1927</v>
      </c>
      <c r="B530" t="s">
        <v>539</v>
      </c>
      <c r="C530" t="s">
        <v>134</v>
      </c>
      <c r="D530">
        <v>1</v>
      </c>
      <c r="E530" t="s">
        <v>1915</v>
      </c>
      <c r="F530" t="s">
        <v>2969</v>
      </c>
    </row>
    <row r="531" spans="1:6" x14ac:dyDescent="0.25">
      <c r="A531" t="s">
        <v>1928</v>
      </c>
      <c r="B531" t="s">
        <v>541</v>
      </c>
      <c r="C531" t="s">
        <v>37</v>
      </c>
      <c r="D531">
        <v>1</v>
      </c>
      <c r="E531" t="s">
        <v>133</v>
      </c>
      <c r="F531" t="s">
        <v>2969</v>
      </c>
    </row>
    <row r="532" spans="1:6" x14ac:dyDescent="0.25">
      <c r="A532" t="s">
        <v>1928</v>
      </c>
      <c r="B532" t="s">
        <v>541</v>
      </c>
      <c r="C532" t="s">
        <v>37</v>
      </c>
      <c r="D532">
        <v>2</v>
      </c>
      <c r="E532" t="s">
        <v>1785</v>
      </c>
      <c r="F532" t="s">
        <v>2969</v>
      </c>
    </row>
    <row r="533" spans="1:6" x14ac:dyDescent="0.25">
      <c r="A533" t="s">
        <v>1928</v>
      </c>
      <c r="B533" t="s">
        <v>541</v>
      </c>
      <c r="C533" t="s">
        <v>37</v>
      </c>
      <c r="D533">
        <v>3</v>
      </c>
      <c r="E533" t="s">
        <v>1651</v>
      </c>
      <c r="F533" t="s">
        <v>2969</v>
      </c>
    </row>
    <row r="534" spans="1:6" x14ac:dyDescent="0.25">
      <c r="A534" t="s">
        <v>1928</v>
      </c>
      <c r="B534" t="s">
        <v>541</v>
      </c>
      <c r="C534" t="s">
        <v>37</v>
      </c>
      <c r="D534">
        <v>4</v>
      </c>
      <c r="E534" t="s">
        <v>1915</v>
      </c>
      <c r="F534" t="s">
        <v>2969</v>
      </c>
    </row>
    <row r="535" spans="1:6" x14ac:dyDescent="0.25">
      <c r="A535" t="s">
        <v>1928</v>
      </c>
      <c r="B535" t="s">
        <v>541</v>
      </c>
      <c r="C535" t="s">
        <v>37</v>
      </c>
      <c r="D535">
        <v>5</v>
      </c>
      <c r="E535" t="s">
        <v>1891</v>
      </c>
      <c r="F535" t="s">
        <v>2969</v>
      </c>
    </row>
    <row r="536" spans="1:6" x14ac:dyDescent="0.25">
      <c r="A536" t="s">
        <v>1928</v>
      </c>
      <c r="B536" t="s">
        <v>541</v>
      </c>
      <c r="C536" t="s">
        <v>37</v>
      </c>
      <c r="D536">
        <v>6</v>
      </c>
      <c r="E536" t="s">
        <v>1661</v>
      </c>
      <c r="F536" t="s">
        <v>2969</v>
      </c>
    </row>
    <row r="537" spans="1:6" x14ac:dyDescent="0.25">
      <c r="A537" t="s">
        <v>1929</v>
      </c>
      <c r="B537" t="s">
        <v>542</v>
      </c>
      <c r="C537" t="s">
        <v>103</v>
      </c>
      <c r="D537">
        <v>1</v>
      </c>
      <c r="E537" t="s">
        <v>1772</v>
      </c>
      <c r="F537" t="s">
        <v>2969</v>
      </c>
    </row>
    <row r="538" spans="1:6" x14ac:dyDescent="0.25">
      <c r="A538" t="s">
        <v>1930</v>
      </c>
      <c r="B538" t="s">
        <v>543</v>
      </c>
      <c r="C538" t="s">
        <v>101</v>
      </c>
      <c r="D538">
        <v>1</v>
      </c>
      <c r="E538" t="s">
        <v>1931</v>
      </c>
      <c r="F538" t="s">
        <v>2969</v>
      </c>
    </row>
    <row r="539" spans="1:6" x14ac:dyDescent="0.25">
      <c r="A539" t="s">
        <v>1930</v>
      </c>
      <c r="B539" t="s">
        <v>543</v>
      </c>
      <c r="C539" t="s">
        <v>101</v>
      </c>
      <c r="D539">
        <v>2</v>
      </c>
      <c r="E539" t="s">
        <v>2111</v>
      </c>
      <c r="F539" t="s">
        <v>2969</v>
      </c>
    </row>
    <row r="540" spans="1:6" x14ac:dyDescent="0.25">
      <c r="A540" t="s">
        <v>1930</v>
      </c>
      <c r="B540" t="s">
        <v>543</v>
      </c>
      <c r="C540" t="s">
        <v>101</v>
      </c>
      <c r="D540">
        <v>3</v>
      </c>
      <c r="E540" t="s">
        <v>2344</v>
      </c>
      <c r="F540" t="s">
        <v>2969</v>
      </c>
    </row>
    <row r="541" spans="1:6" x14ac:dyDescent="0.25">
      <c r="A541" t="s">
        <v>1932</v>
      </c>
      <c r="B541" t="s">
        <v>544</v>
      </c>
      <c r="C541" t="s">
        <v>92</v>
      </c>
      <c r="D541">
        <v>1</v>
      </c>
      <c r="E541" t="s">
        <v>111</v>
      </c>
      <c r="F541" t="s">
        <v>2969</v>
      </c>
    </row>
    <row r="542" spans="1:6" x14ac:dyDescent="0.25">
      <c r="A542" t="s">
        <v>1932</v>
      </c>
      <c r="B542" t="s">
        <v>544</v>
      </c>
      <c r="C542" t="s">
        <v>92</v>
      </c>
      <c r="D542">
        <v>2</v>
      </c>
      <c r="E542" t="s">
        <v>1634</v>
      </c>
      <c r="F542" t="s">
        <v>2969</v>
      </c>
    </row>
    <row r="543" spans="1:6" x14ac:dyDescent="0.25">
      <c r="A543" t="s">
        <v>1932</v>
      </c>
      <c r="B543" t="s">
        <v>544</v>
      </c>
      <c r="C543" t="s">
        <v>92</v>
      </c>
      <c r="D543">
        <v>3</v>
      </c>
      <c r="E543" t="s">
        <v>1917</v>
      </c>
      <c r="F543" t="s">
        <v>2969</v>
      </c>
    </row>
    <row r="544" spans="1:6" x14ac:dyDescent="0.25">
      <c r="A544" t="s">
        <v>1932</v>
      </c>
      <c r="B544" t="s">
        <v>544</v>
      </c>
      <c r="C544" t="s">
        <v>92</v>
      </c>
      <c r="D544">
        <v>4</v>
      </c>
      <c r="E544" t="s">
        <v>1815</v>
      </c>
      <c r="F544" t="s">
        <v>2969</v>
      </c>
    </row>
    <row r="545" spans="1:6" x14ac:dyDescent="0.25">
      <c r="A545" t="s">
        <v>1933</v>
      </c>
      <c r="B545" t="s">
        <v>546</v>
      </c>
      <c r="C545" t="s">
        <v>123</v>
      </c>
      <c r="D545">
        <v>1</v>
      </c>
      <c r="E545" t="s">
        <v>1934</v>
      </c>
      <c r="F545" t="s">
        <v>2969</v>
      </c>
    </row>
    <row r="546" spans="1:6" x14ac:dyDescent="0.25">
      <c r="A546" t="s">
        <v>1935</v>
      </c>
      <c r="B546" t="s">
        <v>547</v>
      </c>
      <c r="C546" t="s">
        <v>23</v>
      </c>
      <c r="D546">
        <v>1</v>
      </c>
      <c r="E546" t="s">
        <v>1835</v>
      </c>
      <c r="F546" t="s">
        <v>2969</v>
      </c>
    </row>
    <row r="547" spans="1:6" x14ac:dyDescent="0.25">
      <c r="A547" t="s">
        <v>1935</v>
      </c>
      <c r="B547" t="s">
        <v>547</v>
      </c>
      <c r="C547" t="s">
        <v>23</v>
      </c>
      <c r="D547">
        <v>2</v>
      </c>
      <c r="E547" t="s">
        <v>1826</v>
      </c>
      <c r="F547" t="s">
        <v>2969</v>
      </c>
    </row>
    <row r="548" spans="1:6" x14ac:dyDescent="0.25">
      <c r="A548" t="s">
        <v>1935</v>
      </c>
      <c r="B548" t="s">
        <v>547</v>
      </c>
      <c r="C548" t="s">
        <v>23</v>
      </c>
      <c r="D548">
        <v>3</v>
      </c>
      <c r="E548" t="s">
        <v>2042</v>
      </c>
      <c r="F548" t="s">
        <v>2969</v>
      </c>
    </row>
    <row r="549" spans="1:6" x14ac:dyDescent="0.25">
      <c r="A549" t="s">
        <v>1935</v>
      </c>
      <c r="B549" t="s">
        <v>547</v>
      </c>
      <c r="C549" t="s">
        <v>23</v>
      </c>
      <c r="D549">
        <v>4</v>
      </c>
      <c r="E549" t="s">
        <v>55</v>
      </c>
      <c r="F549" t="s">
        <v>2969</v>
      </c>
    </row>
    <row r="550" spans="1:6" x14ac:dyDescent="0.25">
      <c r="A550" t="s">
        <v>1936</v>
      </c>
      <c r="B550" t="s">
        <v>548</v>
      </c>
      <c r="C550" t="s">
        <v>31</v>
      </c>
      <c r="D550">
        <v>1</v>
      </c>
      <c r="E550" t="s">
        <v>1673</v>
      </c>
      <c r="F550" t="s">
        <v>2969</v>
      </c>
    </row>
    <row r="551" spans="1:6" x14ac:dyDescent="0.25">
      <c r="A551" t="s">
        <v>1936</v>
      </c>
      <c r="B551" t="s">
        <v>548</v>
      </c>
      <c r="C551" t="s">
        <v>31</v>
      </c>
      <c r="D551">
        <v>2</v>
      </c>
      <c r="E551" t="s">
        <v>1739</v>
      </c>
      <c r="F551" t="s">
        <v>2969</v>
      </c>
    </row>
    <row r="552" spans="1:6" x14ac:dyDescent="0.25">
      <c r="A552" t="s">
        <v>1937</v>
      </c>
      <c r="B552" t="s">
        <v>549</v>
      </c>
      <c r="C552" t="s">
        <v>76</v>
      </c>
      <c r="D552">
        <v>1</v>
      </c>
      <c r="E552" t="s">
        <v>1683</v>
      </c>
      <c r="F552" t="s">
        <v>2969</v>
      </c>
    </row>
    <row r="553" spans="1:6" x14ac:dyDescent="0.25">
      <c r="A553" t="s">
        <v>1937</v>
      </c>
      <c r="B553" t="s">
        <v>549</v>
      </c>
      <c r="C553" t="s">
        <v>76</v>
      </c>
      <c r="D553">
        <v>2</v>
      </c>
      <c r="E553" t="s">
        <v>2128</v>
      </c>
      <c r="F553" t="s">
        <v>2969</v>
      </c>
    </row>
    <row r="554" spans="1:6" x14ac:dyDescent="0.25">
      <c r="A554" t="s">
        <v>1937</v>
      </c>
      <c r="B554" t="s">
        <v>549</v>
      </c>
      <c r="C554" t="s">
        <v>76</v>
      </c>
      <c r="D554">
        <v>3</v>
      </c>
      <c r="E554" t="s">
        <v>2786</v>
      </c>
      <c r="F554" t="s">
        <v>2969</v>
      </c>
    </row>
    <row r="555" spans="1:6" x14ac:dyDescent="0.25">
      <c r="A555" t="s">
        <v>1937</v>
      </c>
      <c r="B555" t="s">
        <v>549</v>
      </c>
      <c r="C555" t="s">
        <v>76</v>
      </c>
      <c r="D555">
        <v>4</v>
      </c>
      <c r="E555" t="s">
        <v>2971</v>
      </c>
      <c r="F555" t="s">
        <v>2969</v>
      </c>
    </row>
    <row r="556" spans="1:6" x14ac:dyDescent="0.25">
      <c r="A556" t="s">
        <v>1938</v>
      </c>
      <c r="B556" t="s">
        <v>550</v>
      </c>
      <c r="C556" t="s">
        <v>121</v>
      </c>
      <c r="D556">
        <v>1</v>
      </c>
      <c r="E556" t="s">
        <v>1655</v>
      </c>
      <c r="F556" t="s">
        <v>2969</v>
      </c>
    </row>
    <row r="557" spans="1:6" x14ac:dyDescent="0.25">
      <c r="A557" t="s">
        <v>1939</v>
      </c>
      <c r="B557" t="s">
        <v>552</v>
      </c>
      <c r="C557" t="s">
        <v>112</v>
      </c>
      <c r="D557">
        <v>1</v>
      </c>
      <c r="E557" t="s">
        <v>33</v>
      </c>
      <c r="F557" t="s">
        <v>2969</v>
      </c>
    </row>
    <row r="558" spans="1:6" x14ac:dyDescent="0.25">
      <c r="A558" t="s">
        <v>1939</v>
      </c>
      <c r="B558" t="s">
        <v>552</v>
      </c>
      <c r="C558" t="s">
        <v>112</v>
      </c>
      <c r="D558">
        <v>2</v>
      </c>
      <c r="E558" t="s">
        <v>30</v>
      </c>
      <c r="F558" t="s">
        <v>2969</v>
      </c>
    </row>
    <row r="559" spans="1:6" x14ac:dyDescent="0.25">
      <c r="A559" t="s">
        <v>1940</v>
      </c>
      <c r="B559" t="s">
        <v>554</v>
      </c>
      <c r="C559" t="s">
        <v>85</v>
      </c>
      <c r="D559">
        <v>1</v>
      </c>
      <c r="E559" t="s">
        <v>1857</v>
      </c>
      <c r="F559" t="s">
        <v>2969</v>
      </c>
    </row>
    <row r="560" spans="1:6" x14ac:dyDescent="0.25">
      <c r="A560" t="s">
        <v>1941</v>
      </c>
      <c r="B560" t="s">
        <v>555</v>
      </c>
      <c r="C560" t="s">
        <v>59</v>
      </c>
      <c r="D560">
        <v>1</v>
      </c>
      <c r="E560" t="s">
        <v>1667</v>
      </c>
      <c r="F560" t="s">
        <v>2969</v>
      </c>
    </row>
    <row r="561" spans="1:6" x14ac:dyDescent="0.25">
      <c r="A561" t="s">
        <v>1941</v>
      </c>
      <c r="B561" t="s">
        <v>555</v>
      </c>
      <c r="C561" t="s">
        <v>59</v>
      </c>
      <c r="D561">
        <v>2</v>
      </c>
      <c r="E561" t="s">
        <v>1857</v>
      </c>
      <c r="F561" t="s">
        <v>2969</v>
      </c>
    </row>
    <row r="562" spans="1:6" x14ac:dyDescent="0.25">
      <c r="A562" t="s">
        <v>1942</v>
      </c>
      <c r="B562" t="s">
        <v>556</v>
      </c>
      <c r="C562" t="s">
        <v>118</v>
      </c>
      <c r="D562">
        <v>1</v>
      </c>
      <c r="E562" t="s">
        <v>1695</v>
      </c>
      <c r="F562" t="s">
        <v>2969</v>
      </c>
    </row>
    <row r="563" spans="1:6" x14ac:dyDescent="0.25">
      <c r="A563" t="s">
        <v>1942</v>
      </c>
      <c r="B563" t="s">
        <v>556</v>
      </c>
      <c r="C563" t="s">
        <v>118</v>
      </c>
      <c r="D563">
        <v>2</v>
      </c>
      <c r="E563" t="s">
        <v>2217</v>
      </c>
      <c r="F563" t="s">
        <v>2969</v>
      </c>
    </row>
    <row r="564" spans="1:6" x14ac:dyDescent="0.25">
      <c r="A564" t="s">
        <v>1942</v>
      </c>
      <c r="B564" t="s">
        <v>556</v>
      </c>
      <c r="C564" t="s">
        <v>118</v>
      </c>
      <c r="D564">
        <v>3</v>
      </c>
      <c r="E564" t="s">
        <v>2472</v>
      </c>
      <c r="F564" t="s">
        <v>2969</v>
      </c>
    </row>
    <row r="565" spans="1:6" x14ac:dyDescent="0.25">
      <c r="A565" t="s">
        <v>1943</v>
      </c>
      <c r="B565" t="s">
        <v>557</v>
      </c>
      <c r="C565" t="s">
        <v>49</v>
      </c>
      <c r="D565">
        <v>1</v>
      </c>
      <c r="E565" t="s">
        <v>96</v>
      </c>
      <c r="F565" t="s">
        <v>2969</v>
      </c>
    </row>
    <row r="566" spans="1:6" x14ac:dyDescent="0.25">
      <c r="A566" t="s">
        <v>1943</v>
      </c>
      <c r="B566" t="s">
        <v>557</v>
      </c>
      <c r="C566" t="s">
        <v>49</v>
      </c>
      <c r="D566">
        <v>2</v>
      </c>
      <c r="E566" t="s">
        <v>1953</v>
      </c>
      <c r="F566" t="s">
        <v>2969</v>
      </c>
    </row>
    <row r="567" spans="1:6" x14ac:dyDescent="0.25">
      <c r="A567" t="s">
        <v>1943</v>
      </c>
      <c r="B567" t="s">
        <v>557</v>
      </c>
      <c r="C567" t="s">
        <v>49</v>
      </c>
      <c r="D567">
        <v>3</v>
      </c>
      <c r="E567" t="s">
        <v>2169</v>
      </c>
      <c r="F567" t="s">
        <v>2969</v>
      </c>
    </row>
    <row r="568" spans="1:6" x14ac:dyDescent="0.25">
      <c r="A568" t="s">
        <v>1943</v>
      </c>
      <c r="B568" t="s">
        <v>557</v>
      </c>
      <c r="C568" t="s">
        <v>49</v>
      </c>
      <c r="D568">
        <v>4</v>
      </c>
      <c r="E568" t="s">
        <v>2088</v>
      </c>
      <c r="F568" t="s">
        <v>2969</v>
      </c>
    </row>
    <row r="569" spans="1:6" x14ac:dyDescent="0.25">
      <c r="A569" t="s">
        <v>1944</v>
      </c>
      <c r="B569" t="s">
        <v>558</v>
      </c>
      <c r="C569" t="s">
        <v>83</v>
      </c>
      <c r="D569">
        <v>1</v>
      </c>
      <c r="E569" t="s">
        <v>1886</v>
      </c>
      <c r="F569" t="s">
        <v>2969</v>
      </c>
    </row>
    <row r="570" spans="1:6" x14ac:dyDescent="0.25">
      <c r="A570" t="s">
        <v>1944</v>
      </c>
      <c r="B570" t="s">
        <v>558</v>
      </c>
      <c r="C570" t="s">
        <v>83</v>
      </c>
      <c r="D570">
        <v>2</v>
      </c>
      <c r="E570" t="s">
        <v>2336</v>
      </c>
      <c r="F570" t="s">
        <v>2969</v>
      </c>
    </row>
    <row r="571" spans="1:6" x14ac:dyDescent="0.25">
      <c r="A571" t="s">
        <v>1945</v>
      </c>
      <c r="B571" t="s">
        <v>559</v>
      </c>
      <c r="C571" t="s">
        <v>116</v>
      </c>
      <c r="D571">
        <v>1</v>
      </c>
      <c r="E571" t="s">
        <v>1946</v>
      </c>
      <c r="F571" t="s">
        <v>2969</v>
      </c>
    </row>
    <row r="572" spans="1:6" x14ac:dyDescent="0.25">
      <c r="A572" t="s">
        <v>1945</v>
      </c>
      <c r="B572" t="s">
        <v>559</v>
      </c>
      <c r="C572" t="s">
        <v>116</v>
      </c>
      <c r="D572">
        <v>2</v>
      </c>
      <c r="E572" t="s">
        <v>1803</v>
      </c>
      <c r="F572" t="s">
        <v>2969</v>
      </c>
    </row>
    <row r="573" spans="1:6" x14ac:dyDescent="0.25">
      <c r="A573" t="s">
        <v>1947</v>
      </c>
      <c r="B573" t="s">
        <v>561</v>
      </c>
      <c r="C573" t="s">
        <v>43</v>
      </c>
      <c r="D573">
        <v>1</v>
      </c>
      <c r="E573" t="s">
        <v>1948</v>
      </c>
      <c r="F573" t="s">
        <v>2969</v>
      </c>
    </row>
    <row r="574" spans="1:6" x14ac:dyDescent="0.25">
      <c r="A574" t="s">
        <v>1947</v>
      </c>
      <c r="B574" t="s">
        <v>561</v>
      </c>
      <c r="C574" t="s">
        <v>43</v>
      </c>
      <c r="D574">
        <v>2</v>
      </c>
      <c r="E574" t="s">
        <v>1649</v>
      </c>
      <c r="F574" t="s">
        <v>2969</v>
      </c>
    </row>
    <row r="575" spans="1:6" x14ac:dyDescent="0.25">
      <c r="A575" t="s">
        <v>1949</v>
      </c>
      <c r="B575" t="s">
        <v>562</v>
      </c>
      <c r="C575" t="s">
        <v>97</v>
      </c>
      <c r="D575">
        <v>1</v>
      </c>
      <c r="E575" t="s">
        <v>68</v>
      </c>
      <c r="F575" t="s">
        <v>2969</v>
      </c>
    </row>
    <row r="576" spans="1:6" x14ac:dyDescent="0.25">
      <c r="A576" t="s">
        <v>1949</v>
      </c>
      <c r="B576" t="s">
        <v>562</v>
      </c>
      <c r="C576" t="s">
        <v>97</v>
      </c>
      <c r="D576">
        <v>2</v>
      </c>
      <c r="E576" t="s">
        <v>1645</v>
      </c>
      <c r="F576" t="s">
        <v>2969</v>
      </c>
    </row>
    <row r="577" spans="1:6" x14ac:dyDescent="0.25">
      <c r="A577" t="s">
        <v>1949</v>
      </c>
      <c r="B577" t="s">
        <v>562</v>
      </c>
      <c r="C577" t="s">
        <v>97</v>
      </c>
      <c r="D577">
        <v>3</v>
      </c>
      <c r="E577" t="s">
        <v>1639</v>
      </c>
      <c r="F577" t="s">
        <v>2969</v>
      </c>
    </row>
    <row r="578" spans="1:6" x14ac:dyDescent="0.25">
      <c r="A578" t="s">
        <v>1949</v>
      </c>
      <c r="B578" t="s">
        <v>562</v>
      </c>
      <c r="C578" t="s">
        <v>97</v>
      </c>
      <c r="D578">
        <v>4</v>
      </c>
      <c r="E578" t="s">
        <v>1917</v>
      </c>
      <c r="F578" t="s">
        <v>2969</v>
      </c>
    </row>
    <row r="579" spans="1:6" x14ac:dyDescent="0.25">
      <c r="A579" t="s">
        <v>1950</v>
      </c>
      <c r="B579" t="s">
        <v>563</v>
      </c>
      <c r="C579" t="s">
        <v>112</v>
      </c>
      <c r="D579">
        <v>1</v>
      </c>
      <c r="E579" t="s">
        <v>1951</v>
      </c>
      <c r="F579" t="s">
        <v>2969</v>
      </c>
    </row>
    <row r="580" spans="1:6" x14ac:dyDescent="0.25">
      <c r="A580" t="s">
        <v>1950</v>
      </c>
      <c r="B580" t="s">
        <v>563</v>
      </c>
      <c r="C580" t="s">
        <v>112</v>
      </c>
      <c r="D580">
        <v>2</v>
      </c>
      <c r="E580" t="s">
        <v>1701</v>
      </c>
      <c r="F580" t="s">
        <v>2969</v>
      </c>
    </row>
    <row r="581" spans="1:6" x14ac:dyDescent="0.25">
      <c r="A581" t="s">
        <v>1952</v>
      </c>
      <c r="B581" t="s">
        <v>564</v>
      </c>
      <c r="C581" t="s">
        <v>87</v>
      </c>
      <c r="D581">
        <v>1</v>
      </c>
      <c r="E581" t="s">
        <v>1953</v>
      </c>
      <c r="F581" t="s">
        <v>2969</v>
      </c>
    </row>
    <row r="582" spans="1:6" x14ac:dyDescent="0.25">
      <c r="A582" t="s">
        <v>1952</v>
      </c>
      <c r="B582" t="s">
        <v>564</v>
      </c>
      <c r="C582" t="s">
        <v>87</v>
      </c>
      <c r="D582">
        <v>2</v>
      </c>
      <c r="E582" t="s">
        <v>1917</v>
      </c>
      <c r="F582" t="s">
        <v>2969</v>
      </c>
    </row>
    <row r="583" spans="1:6" x14ac:dyDescent="0.25">
      <c r="A583" t="s">
        <v>1952</v>
      </c>
      <c r="B583" t="s">
        <v>564</v>
      </c>
      <c r="C583" t="s">
        <v>87</v>
      </c>
      <c r="D583">
        <v>3</v>
      </c>
      <c r="E583" t="s">
        <v>2003</v>
      </c>
      <c r="F583" t="s">
        <v>2969</v>
      </c>
    </row>
    <row r="584" spans="1:6" x14ac:dyDescent="0.25">
      <c r="A584" t="s">
        <v>1954</v>
      </c>
      <c r="B584" t="s">
        <v>565</v>
      </c>
      <c r="C584" t="s">
        <v>87</v>
      </c>
      <c r="D584">
        <v>1</v>
      </c>
      <c r="E584" t="s">
        <v>68</v>
      </c>
      <c r="F584" t="s">
        <v>2969</v>
      </c>
    </row>
    <row r="585" spans="1:6" x14ac:dyDescent="0.25">
      <c r="A585" t="s">
        <v>1954</v>
      </c>
      <c r="B585" t="s">
        <v>565</v>
      </c>
      <c r="C585" t="s">
        <v>87</v>
      </c>
      <c r="D585">
        <v>2</v>
      </c>
      <c r="E585" t="s">
        <v>2751</v>
      </c>
      <c r="F585" t="s">
        <v>2969</v>
      </c>
    </row>
    <row r="586" spans="1:6" x14ac:dyDescent="0.25">
      <c r="A586" t="s">
        <v>1954</v>
      </c>
      <c r="B586" t="s">
        <v>565</v>
      </c>
      <c r="C586" t="s">
        <v>87</v>
      </c>
      <c r="D586">
        <v>3</v>
      </c>
      <c r="E586" t="s">
        <v>96</v>
      </c>
      <c r="F586" t="s">
        <v>2969</v>
      </c>
    </row>
    <row r="587" spans="1:6" x14ac:dyDescent="0.25">
      <c r="A587" t="s">
        <v>1954</v>
      </c>
      <c r="B587" t="s">
        <v>565</v>
      </c>
      <c r="C587" t="s">
        <v>87</v>
      </c>
      <c r="D587">
        <v>4</v>
      </c>
      <c r="E587" t="s">
        <v>1917</v>
      </c>
      <c r="F587" t="s">
        <v>2969</v>
      </c>
    </row>
    <row r="588" spans="1:6" x14ac:dyDescent="0.25">
      <c r="A588" t="s">
        <v>1955</v>
      </c>
      <c r="B588" t="s">
        <v>566</v>
      </c>
      <c r="C588" t="s">
        <v>94</v>
      </c>
      <c r="D588">
        <v>1</v>
      </c>
      <c r="E588" t="s">
        <v>1956</v>
      </c>
      <c r="F588" t="s">
        <v>2969</v>
      </c>
    </row>
    <row r="589" spans="1:6" x14ac:dyDescent="0.25">
      <c r="A589" t="s">
        <v>1957</v>
      </c>
      <c r="B589" t="s">
        <v>568</v>
      </c>
      <c r="C589" t="s">
        <v>112</v>
      </c>
      <c r="D589">
        <v>1</v>
      </c>
      <c r="E589" t="s">
        <v>13</v>
      </c>
      <c r="F589" t="s">
        <v>2969</v>
      </c>
    </row>
    <row r="590" spans="1:6" x14ac:dyDescent="0.25">
      <c r="A590" t="s">
        <v>1957</v>
      </c>
      <c r="B590" t="s">
        <v>568</v>
      </c>
      <c r="C590" t="s">
        <v>112</v>
      </c>
      <c r="D590">
        <v>2</v>
      </c>
      <c r="E590" t="s">
        <v>1651</v>
      </c>
      <c r="F590" t="s">
        <v>2969</v>
      </c>
    </row>
    <row r="591" spans="1:6" x14ac:dyDescent="0.25">
      <c r="A591" t="s">
        <v>1957</v>
      </c>
      <c r="B591" t="s">
        <v>568</v>
      </c>
      <c r="C591" t="s">
        <v>112</v>
      </c>
      <c r="D591">
        <v>3</v>
      </c>
      <c r="E591" t="s">
        <v>1859</v>
      </c>
      <c r="F591" t="s">
        <v>2969</v>
      </c>
    </row>
    <row r="592" spans="1:6" x14ac:dyDescent="0.25">
      <c r="A592" t="s">
        <v>1958</v>
      </c>
      <c r="B592" t="s">
        <v>570</v>
      </c>
      <c r="C592" t="s">
        <v>123</v>
      </c>
      <c r="D592">
        <v>1</v>
      </c>
      <c r="E592" t="s">
        <v>1624</v>
      </c>
      <c r="F592" t="s">
        <v>2969</v>
      </c>
    </row>
    <row r="593" spans="1:6" x14ac:dyDescent="0.25">
      <c r="A593" t="s">
        <v>1958</v>
      </c>
      <c r="B593" t="s">
        <v>570</v>
      </c>
      <c r="C593" t="s">
        <v>123</v>
      </c>
      <c r="D593">
        <v>2</v>
      </c>
      <c r="E593" t="s">
        <v>1621</v>
      </c>
      <c r="F593" t="s">
        <v>2969</v>
      </c>
    </row>
    <row r="594" spans="1:6" x14ac:dyDescent="0.25">
      <c r="A594" t="s">
        <v>1959</v>
      </c>
      <c r="B594" t="s">
        <v>571</v>
      </c>
      <c r="C594" t="s">
        <v>49</v>
      </c>
      <c r="D594">
        <v>1</v>
      </c>
      <c r="E594" t="s">
        <v>1960</v>
      </c>
      <c r="F594" t="s">
        <v>2969</v>
      </c>
    </row>
    <row r="595" spans="1:6" x14ac:dyDescent="0.25">
      <c r="A595" t="s">
        <v>1959</v>
      </c>
      <c r="B595" t="s">
        <v>571</v>
      </c>
      <c r="C595" t="s">
        <v>49</v>
      </c>
      <c r="D595">
        <v>2</v>
      </c>
      <c r="E595" t="s">
        <v>2003</v>
      </c>
      <c r="F595" t="s">
        <v>2969</v>
      </c>
    </row>
    <row r="596" spans="1:6" x14ac:dyDescent="0.25">
      <c r="A596" t="s">
        <v>1961</v>
      </c>
      <c r="B596" t="s">
        <v>572</v>
      </c>
      <c r="C596" t="s">
        <v>103</v>
      </c>
      <c r="D596">
        <v>1</v>
      </c>
      <c r="E596" t="s">
        <v>1643</v>
      </c>
      <c r="F596" t="s">
        <v>2969</v>
      </c>
    </row>
    <row r="597" spans="1:6" x14ac:dyDescent="0.25">
      <c r="A597" t="s">
        <v>1962</v>
      </c>
      <c r="B597" t="s">
        <v>574</v>
      </c>
      <c r="C597" t="s">
        <v>8</v>
      </c>
      <c r="D597">
        <v>1</v>
      </c>
      <c r="E597" t="s">
        <v>1789</v>
      </c>
      <c r="F597" t="s">
        <v>2969</v>
      </c>
    </row>
    <row r="598" spans="1:6" x14ac:dyDescent="0.25">
      <c r="A598" t="s">
        <v>1962</v>
      </c>
      <c r="B598" t="s">
        <v>574</v>
      </c>
      <c r="C598" t="s">
        <v>8</v>
      </c>
      <c r="D598">
        <v>2</v>
      </c>
      <c r="E598" t="s">
        <v>1822</v>
      </c>
      <c r="F598" t="s">
        <v>2969</v>
      </c>
    </row>
    <row r="599" spans="1:6" x14ac:dyDescent="0.25">
      <c r="A599" t="s">
        <v>1962</v>
      </c>
      <c r="B599" t="s">
        <v>574</v>
      </c>
      <c r="C599" t="s">
        <v>8</v>
      </c>
      <c r="D599">
        <v>3</v>
      </c>
      <c r="E599" t="s">
        <v>106</v>
      </c>
      <c r="F599" t="s">
        <v>2969</v>
      </c>
    </row>
    <row r="600" spans="1:6" x14ac:dyDescent="0.25">
      <c r="A600" t="s">
        <v>1962</v>
      </c>
      <c r="B600" t="s">
        <v>574</v>
      </c>
      <c r="C600" t="s">
        <v>8</v>
      </c>
      <c r="D600">
        <v>4</v>
      </c>
      <c r="E600" t="s">
        <v>1711</v>
      </c>
      <c r="F600" t="s">
        <v>2969</v>
      </c>
    </row>
    <row r="601" spans="1:6" x14ac:dyDescent="0.25">
      <c r="A601" t="s">
        <v>1963</v>
      </c>
      <c r="B601" t="s">
        <v>576</v>
      </c>
      <c r="C601" t="s">
        <v>65</v>
      </c>
      <c r="D601">
        <v>1</v>
      </c>
      <c r="E601" t="s">
        <v>1801</v>
      </c>
      <c r="F601" t="s">
        <v>2969</v>
      </c>
    </row>
    <row r="602" spans="1:6" x14ac:dyDescent="0.25">
      <c r="A602" t="s">
        <v>1963</v>
      </c>
      <c r="B602" t="s">
        <v>576</v>
      </c>
      <c r="C602" t="s">
        <v>65</v>
      </c>
      <c r="D602">
        <v>2</v>
      </c>
      <c r="E602" t="s">
        <v>1657</v>
      </c>
      <c r="F602" t="s">
        <v>2969</v>
      </c>
    </row>
    <row r="603" spans="1:6" x14ac:dyDescent="0.25">
      <c r="A603" t="s">
        <v>1964</v>
      </c>
      <c r="B603" t="s">
        <v>577</v>
      </c>
      <c r="C603" t="s">
        <v>79</v>
      </c>
      <c r="D603">
        <v>1</v>
      </c>
      <c r="E603" t="s">
        <v>1653</v>
      </c>
      <c r="F603" t="s">
        <v>2969</v>
      </c>
    </row>
    <row r="604" spans="1:6" x14ac:dyDescent="0.25">
      <c r="A604" t="s">
        <v>1964</v>
      </c>
      <c r="B604" t="s">
        <v>577</v>
      </c>
      <c r="C604" t="s">
        <v>79</v>
      </c>
      <c r="D604">
        <v>2</v>
      </c>
      <c r="E604" t="s">
        <v>124</v>
      </c>
      <c r="F604" t="s">
        <v>2969</v>
      </c>
    </row>
    <row r="605" spans="1:6" x14ac:dyDescent="0.25">
      <c r="A605" t="s">
        <v>1965</v>
      </c>
      <c r="B605" t="s">
        <v>578</v>
      </c>
      <c r="C605" t="s">
        <v>43</v>
      </c>
      <c r="D605">
        <v>1</v>
      </c>
      <c r="E605" t="s">
        <v>1713</v>
      </c>
      <c r="F605" t="s">
        <v>2969</v>
      </c>
    </row>
    <row r="606" spans="1:6" x14ac:dyDescent="0.25">
      <c r="A606" t="s">
        <v>1965</v>
      </c>
      <c r="B606" t="s">
        <v>578</v>
      </c>
      <c r="C606" t="s">
        <v>43</v>
      </c>
      <c r="D606">
        <v>2</v>
      </c>
      <c r="E606" t="s">
        <v>1697</v>
      </c>
      <c r="F606" t="s">
        <v>2969</v>
      </c>
    </row>
    <row r="607" spans="1:6" x14ac:dyDescent="0.25">
      <c r="A607" t="s">
        <v>1965</v>
      </c>
      <c r="B607" t="s">
        <v>578</v>
      </c>
      <c r="C607" t="s">
        <v>43</v>
      </c>
      <c r="D607">
        <v>3</v>
      </c>
      <c r="E607" t="s">
        <v>131</v>
      </c>
      <c r="F607" t="s">
        <v>2969</v>
      </c>
    </row>
    <row r="608" spans="1:6" x14ac:dyDescent="0.25">
      <c r="A608" t="s">
        <v>1966</v>
      </c>
      <c r="B608" t="s">
        <v>579</v>
      </c>
      <c r="C608" t="s">
        <v>14</v>
      </c>
      <c r="D608">
        <v>1</v>
      </c>
      <c r="E608" t="s">
        <v>1637</v>
      </c>
      <c r="F608" t="s">
        <v>2969</v>
      </c>
    </row>
    <row r="609" spans="1:6" x14ac:dyDescent="0.25">
      <c r="A609" t="s">
        <v>1966</v>
      </c>
      <c r="B609" t="s">
        <v>579</v>
      </c>
      <c r="C609" t="s">
        <v>14</v>
      </c>
      <c r="D609">
        <v>2</v>
      </c>
      <c r="E609" t="s">
        <v>106</v>
      </c>
      <c r="F609" t="s">
        <v>2969</v>
      </c>
    </row>
    <row r="610" spans="1:6" x14ac:dyDescent="0.25">
      <c r="A610" t="s">
        <v>1966</v>
      </c>
      <c r="B610" t="s">
        <v>579</v>
      </c>
      <c r="C610" t="s">
        <v>14</v>
      </c>
      <c r="D610">
        <v>3</v>
      </c>
      <c r="E610" t="s">
        <v>104</v>
      </c>
      <c r="F610" t="s">
        <v>2969</v>
      </c>
    </row>
    <row r="611" spans="1:6" x14ac:dyDescent="0.25">
      <c r="A611" t="s">
        <v>1966</v>
      </c>
      <c r="B611" t="s">
        <v>579</v>
      </c>
      <c r="C611" t="s">
        <v>14</v>
      </c>
      <c r="D611">
        <v>4</v>
      </c>
      <c r="E611" t="s">
        <v>91</v>
      </c>
      <c r="F611" t="s">
        <v>2969</v>
      </c>
    </row>
    <row r="612" spans="1:6" x14ac:dyDescent="0.25">
      <c r="A612" t="s">
        <v>1966</v>
      </c>
      <c r="B612" t="s">
        <v>579</v>
      </c>
      <c r="C612" t="s">
        <v>14</v>
      </c>
      <c r="D612">
        <v>5</v>
      </c>
      <c r="E612" t="s">
        <v>1741</v>
      </c>
      <c r="F612" t="s">
        <v>2969</v>
      </c>
    </row>
    <row r="613" spans="1:6" x14ac:dyDescent="0.25">
      <c r="A613" t="s">
        <v>1966</v>
      </c>
      <c r="B613" t="s">
        <v>579</v>
      </c>
      <c r="C613" t="s">
        <v>14</v>
      </c>
      <c r="D613">
        <v>6</v>
      </c>
      <c r="E613" t="s">
        <v>1758</v>
      </c>
      <c r="F613" t="s">
        <v>2969</v>
      </c>
    </row>
    <row r="614" spans="1:6" x14ac:dyDescent="0.25">
      <c r="A614" t="s">
        <v>1966</v>
      </c>
      <c r="B614" t="s">
        <v>579</v>
      </c>
      <c r="C614" t="s">
        <v>14</v>
      </c>
      <c r="D614">
        <v>7</v>
      </c>
      <c r="E614" t="s">
        <v>124</v>
      </c>
      <c r="F614" t="s">
        <v>1692</v>
      </c>
    </row>
    <row r="615" spans="1:6" x14ac:dyDescent="0.25">
      <c r="A615" t="s">
        <v>1967</v>
      </c>
      <c r="B615" t="s">
        <v>580</v>
      </c>
      <c r="C615" t="s">
        <v>79</v>
      </c>
      <c r="D615">
        <v>1</v>
      </c>
      <c r="E615" t="s">
        <v>1657</v>
      </c>
      <c r="F615" t="s">
        <v>2969</v>
      </c>
    </row>
    <row r="616" spans="1:6" x14ac:dyDescent="0.25">
      <c r="A616" t="s">
        <v>1967</v>
      </c>
      <c r="B616" t="s">
        <v>580</v>
      </c>
      <c r="C616" t="s">
        <v>79</v>
      </c>
      <c r="D616">
        <v>2</v>
      </c>
      <c r="E616" t="s">
        <v>68</v>
      </c>
      <c r="F616" t="s">
        <v>2969</v>
      </c>
    </row>
    <row r="617" spans="1:6" x14ac:dyDescent="0.25">
      <c r="A617" t="s">
        <v>1967</v>
      </c>
      <c r="B617" t="s">
        <v>580</v>
      </c>
      <c r="C617" t="s">
        <v>79</v>
      </c>
      <c r="D617">
        <v>3</v>
      </c>
      <c r="E617" t="s">
        <v>1634</v>
      </c>
      <c r="F617" t="s">
        <v>2969</v>
      </c>
    </row>
    <row r="618" spans="1:6" x14ac:dyDescent="0.25">
      <c r="A618" t="s">
        <v>1968</v>
      </c>
      <c r="B618" t="s">
        <v>581</v>
      </c>
      <c r="C618" t="s">
        <v>127</v>
      </c>
      <c r="D618">
        <v>1</v>
      </c>
      <c r="E618" t="s">
        <v>111</v>
      </c>
      <c r="F618" t="s">
        <v>2969</v>
      </c>
    </row>
    <row r="619" spans="1:6" x14ac:dyDescent="0.25">
      <c r="A619" t="s">
        <v>1968</v>
      </c>
      <c r="B619" t="s">
        <v>581</v>
      </c>
      <c r="C619" t="s">
        <v>127</v>
      </c>
      <c r="D619">
        <v>2</v>
      </c>
      <c r="E619" t="s">
        <v>96</v>
      </c>
      <c r="F619" t="s">
        <v>2969</v>
      </c>
    </row>
    <row r="620" spans="1:6" x14ac:dyDescent="0.25">
      <c r="A620" t="s">
        <v>1969</v>
      </c>
      <c r="B620" t="s">
        <v>582</v>
      </c>
      <c r="C620" t="s">
        <v>118</v>
      </c>
      <c r="D620">
        <v>1</v>
      </c>
      <c r="E620" t="s">
        <v>30</v>
      </c>
      <c r="F620" t="s">
        <v>2969</v>
      </c>
    </row>
    <row r="621" spans="1:6" x14ac:dyDescent="0.25">
      <c r="A621" t="s">
        <v>1969</v>
      </c>
      <c r="B621" t="s">
        <v>582</v>
      </c>
      <c r="C621" t="s">
        <v>118</v>
      </c>
      <c r="D621">
        <v>2</v>
      </c>
      <c r="E621" t="s">
        <v>131</v>
      </c>
      <c r="F621" t="s">
        <v>2969</v>
      </c>
    </row>
    <row r="622" spans="1:6" x14ac:dyDescent="0.25">
      <c r="A622" t="s">
        <v>1970</v>
      </c>
      <c r="B622" t="s">
        <v>584</v>
      </c>
      <c r="C622" t="s">
        <v>90</v>
      </c>
      <c r="D622">
        <v>1</v>
      </c>
      <c r="E622" t="s">
        <v>1728</v>
      </c>
      <c r="F622" t="s">
        <v>2969</v>
      </c>
    </row>
    <row r="623" spans="1:6" x14ac:dyDescent="0.25">
      <c r="A623" t="s">
        <v>1970</v>
      </c>
      <c r="B623" t="s">
        <v>584</v>
      </c>
      <c r="C623" t="s">
        <v>90</v>
      </c>
      <c r="D623">
        <v>2</v>
      </c>
      <c r="E623" t="s">
        <v>1772</v>
      </c>
      <c r="F623" t="s">
        <v>2969</v>
      </c>
    </row>
    <row r="624" spans="1:6" x14ac:dyDescent="0.25">
      <c r="A624" t="s">
        <v>1971</v>
      </c>
      <c r="B624" t="s">
        <v>586</v>
      </c>
      <c r="C624" t="s">
        <v>20</v>
      </c>
      <c r="D624">
        <v>1</v>
      </c>
      <c r="E624" t="s">
        <v>1809</v>
      </c>
      <c r="F624" t="s">
        <v>2969</v>
      </c>
    </row>
    <row r="625" spans="1:6" x14ac:dyDescent="0.25">
      <c r="A625" t="s">
        <v>1971</v>
      </c>
      <c r="B625" t="s">
        <v>586</v>
      </c>
      <c r="C625" t="s">
        <v>20</v>
      </c>
      <c r="D625">
        <v>2</v>
      </c>
      <c r="E625" t="s">
        <v>2081</v>
      </c>
      <c r="F625" t="s">
        <v>2969</v>
      </c>
    </row>
    <row r="626" spans="1:6" x14ac:dyDescent="0.25">
      <c r="A626" t="s">
        <v>1971</v>
      </c>
      <c r="B626" t="s">
        <v>586</v>
      </c>
      <c r="C626" t="s">
        <v>20</v>
      </c>
      <c r="D626">
        <v>3</v>
      </c>
      <c r="E626" t="s">
        <v>1739</v>
      </c>
      <c r="F626" t="s">
        <v>2969</v>
      </c>
    </row>
    <row r="627" spans="1:6" x14ac:dyDescent="0.25">
      <c r="A627" t="s">
        <v>1972</v>
      </c>
      <c r="B627" t="s">
        <v>587</v>
      </c>
      <c r="C627" t="s">
        <v>123</v>
      </c>
      <c r="D627">
        <v>1</v>
      </c>
      <c r="E627" t="s">
        <v>1781</v>
      </c>
      <c r="F627" t="s">
        <v>2969</v>
      </c>
    </row>
    <row r="628" spans="1:6" x14ac:dyDescent="0.25">
      <c r="A628" t="s">
        <v>1973</v>
      </c>
      <c r="B628" t="s">
        <v>588</v>
      </c>
      <c r="C628" t="s">
        <v>83</v>
      </c>
      <c r="D628">
        <v>1</v>
      </c>
      <c r="E628" t="s">
        <v>1663</v>
      </c>
      <c r="F628" t="s">
        <v>2969</v>
      </c>
    </row>
    <row r="629" spans="1:6" x14ac:dyDescent="0.25">
      <c r="A629" t="s">
        <v>1974</v>
      </c>
      <c r="B629" t="s">
        <v>589</v>
      </c>
      <c r="C629" t="s">
        <v>14</v>
      </c>
      <c r="D629">
        <v>1</v>
      </c>
      <c r="E629" t="s">
        <v>1904</v>
      </c>
      <c r="F629" t="s">
        <v>2969</v>
      </c>
    </row>
    <row r="630" spans="1:6" x14ac:dyDescent="0.25">
      <c r="A630" t="s">
        <v>1975</v>
      </c>
      <c r="B630" t="s">
        <v>590</v>
      </c>
      <c r="C630" t="s">
        <v>37</v>
      </c>
      <c r="D630">
        <v>1</v>
      </c>
      <c r="E630" t="s">
        <v>1809</v>
      </c>
      <c r="F630" t="s">
        <v>2969</v>
      </c>
    </row>
    <row r="631" spans="1:6" x14ac:dyDescent="0.25">
      <c r="A631" t="s">
        <v>1976</v>
      </c>
      <c r="B631" t="s">
        <v>591</v>
      </c>
      <c r="C631" t="s">
        <v>136</v>
      </c>
      <c r="D631">
        <v>1</v>
      </c>
      <c r="E631" t="s">
        <v>1789</v>
      </c>
      <c r="F631" t="s">
        <v>2969</v>
      </c>
    </row>
    <row r="632" spans="1:6" x14ac:dyDescent="0.25">
      <c r="A632" t="s">
        <v>1976</v>
      </c>
      <c r="B632" t="s">
        <v>591</v>
      </c>
      <c r="C632" t="s">
        <v>136</v>
      </c>
      <c r="D632">
        <v>2</v>
      </c>
      <c r="E632" t="s">
        <v>2130</v>
      </c>
      <c r="F632" t="s">
        <v>2969</v>
      </c>
    </row>
    <row r="633" spans="1:6" x14ac:dyDescent="0.25">
      <c r="A633" t="s">
        <v>1976</v>
      </c>
      <c r="B633" t="s">
        <v>591</v>
      </c>
      <c r="C633" t="s">
        <v>136</v>
      </c>
      <c r="D633">
        <v>3</v>
      </c>
      <c r="E633" t="s">
        <v>106</v>
      </c>
      <c r="F633" t="s">
        <v>2969</v>
      </c>
    </row>
    <row r="634" spans="1:6" x14ac:dyDescent="0.25">
      <c r="A634" t="s">
        <v>1976</v>
      </c>
      <c r="B634" t="s">
        <v>591</v>
      </c>
      <c r="C634" t="s">
        <v>136</v>
      </c>
      <c r="D634">
        <v>4</v>
      </c>
      <c r="E634" t="s">
        <v>82</v>
      </c>
      <c r="F634" t="s">
        <v>2969</v>
      </c>
    </row>
    <row r="635" spans="1:6" x14ac:dyDescent="0.25">
      <c r="A635" t="s">
        <v>1976</v>
      </c>
      <c r="B635" t="s">
        <v>591</v>
      </c>
      <c r="C635" t="s">
        <v>136</v>
      </c>
      <c r="D635">
        <v>5</v>
      </c>
      <c r="E635" t="s">
        <v>1709</v>
      </c>
      <c r="F635" t="s">
        <v>2969</v>
      </c>
    </row>
    <row r="636" spans="1:6" x14ac:dyDescent="0.25">
      <c r="A636" t="s">
        <v>1977</v>
      </c>
      <c r="B636" t="s">
        <v>592</v>
      </c>
      <c r="C636" t="s">
        <v>134</v>
      </c>
      <c r="D636">
        <v>1</v>
      </c>
      <c r="E636" t="s">
        <v>1685</v>
      </c>
      <c r="F636" t="s">
        <v>2969</v>
      </c>
    </row>
    <row r="637" spans="1:6" x14ac:dyDescent="0.25">
      <c r="A637" t="s">
        <v>1977</v>
      </c>
      <c r="B637" t="s">
        <v>592</v>
      </c>
      <c r="C637" t="s">
        <v>134</v>
      </c>
      <c r="D637">
        <v>2</v>
      </c>
      <c r="E637" t="s">
        <v>2472</v>
      </c>
      <c r="F637" t="s">
        <v>2969</v>
      </c>
    </row>
    <row r="638" spans="1:6" x14ac:dyDescent="0.25">
      <c r="A638" t="s">
        <v>1977</v>
      </c>
      <c r="B638" t="s">
        <v>592</v>
      </c>
      <c r="C638" t="s">
        <v>134</v>
      </c>
      <c r="D638">
        <v>3</v>
      </c>
      <c r="E638" t="s">
        <v>2017</v>
      </c>
      <c r="F638" t="s">
        <v>2969</v>
      </c>
    </row>
    <row r="639" spans="1:6" x14ac:dyDescent="0.25">
      <c r="A639" t="s">
        <v>1978</v>
      </c>
      <c r="B639" t="s">
        <v>594</v>
      </c>
      <c r="C639" t="s">
        <v>83</v>
      </c>
      <c r="D639">
        <v>1</v>
      </c>
      <c r="E639" t="s">
        <v>1701</v>
      </c>
      <c r="F639" t="s">
        <v>2969</v>
      </c>
    </row>
    <row r="640" spans="1:6" x14ac:dyDescent="0.25">
      <c r="A640" t="s">
        <v>1978</v>
      </c>
      <c r="B640" t="s">
        <v>594</v>
      </c>
      <c r="C640" t="s">
        <v>83</v>
      </c>
      <c r="D640">
        <v>2</v>
      </c>
      <c r="E640" t="s">
        <v>1707</v>
      </c>
      <c r="F640" t="s">
        <v>2969</v>
      </c>
    </row>
    <row r="641" spans="1:6" x14ac:dyDescent="0.25">
      <c r="A641" t="s">
        <v>1978</v>
      </c>
      <c r="B641" t="s">
        <v>594</v>
      </c>
      <c r="C641" t="s">
        <v>83</v>
      </c>
      <c r="D641">
        <v>3</v>
      </c>
      <c r="E641" t="s">
        <v>1809</v>
      </c>
      <c r="F641" t="s">
        <v>2969</v>
      </c>
    </row>
    <row r="642" spans="1:6" x14ac:dyDescent="0.25">
      <c r="A642" t="s">
        <v>1979</v>
      </c>
      <c r="B642" t="s">
        <v>595</v>
      </c>
      <c r="C642" t="s">
        <v>128</v>
      </c>
      <c r="D642">
        <v>1</v>
      </c>
      <c r="E642" t="s">
        <v>1824</v>
      </c>
      <c r="F642" t="s">
        <v>2969</v>
      </c>
    </row>
    <row r="643" spans="1:6" x14ac:dyDescent="0.25">
      <c r="A643" t="s">
        <v>1980</v>
      </c>
      <c r="B643" t="s">
        <v>597</v>
      </c>
      <c r="C643" t="s">
        <v>100</v>
      </c>
      <c r="D643">
        <v>1</v>
      </c>
      <c r="E643" t="s">
        <v>1917</v>
      </c>
      <c r="F643" t="s">
        <v>2969</v>
      </c>
    </row>
    <row r="644" spans="1:6" x14ac:dyDescent="0.25">
      <c r="A644" t="s">
        <v>1980</v>
      </c>
      <c r="B644" t="s">
        <v>597</v>
      </c>
      <c r="C644" t="s">
        <v>100</v>
      </c>
      <c r="D644">
        <v>2</v>
      </c>
      <c r="E644" t="s">
        <v>2003</v>
      </c>
      <c r="F644" t="s">
        <v>2969</v>
      </c>
    </row>
    <row r="645" spans="1:6" x14ac:dyDescent="0.25">
      <c r="A645" t="s">
        <v>1980</v>
      </c>
      <c r="B645" t="s">
        <v>597</v>
      </c>
      <c r="C645" t="s">
        <v>100</v>
      </c>
      <c r="D645">
        <v>3</v>
      </c>
      <c r="E645" t="s">
        <v>1934</v>
      </c>
      <c r="F645" t="s">
        <v>2969</v>
      </c>
    </row>
    <row r="646" spans="1:6" x14ac:dyDescent="0.25">
      <c r="A646" t="s">
        <v>1981</v>
      </c>
      <c r="B646" t="s">
        <v>598</v>
      </c>
      <c r="C646" t="s">
        <v>134</v>
      </c>
      <c r="D646">
        <v>1</v>
      </c>
      <c r="E646" t="s">
        <v>137</v>
      </c>
      <c r="F646" t="s">
        <v>2969</v>
      </c>
    </row>
    <row r="647" spans="1:6" x14ac:dyDescent="0.25">
      <c r="A647" t="s">
        <v>1981</v>
      </c>
      <c r="B647" t="s">
        <v>598</v>
      </c>
      <c r="C647" t="s">
        <v>134</v>
      </c>
      <c r="D647">
        <v>2</v>
      </c>
      <c r="E647" t="s">
        <v>2038</v>
      </c>
      <c r="F647" t="s">
        <v>2969</v>
      </c>
    </row>
    <row r="648" spans="1:6" x14ac:dyDescent="0.25">
      <c r="A648" t="s">
        <v>1982</v>
      </c>
      <c r="B648" t="s">
        <v>600</v>
      </c>
      <c r="C648" t="s">
        <v>110</v>
      </c>
      <c r="D648">
        <v>1</v>
      </c>
      <c r="E648" t="s">
        <v>1983</v>
      </c>
      <c r="F648" t="s">
        <v>2969</v>
      </c>
    </row>
    <row r="649" spans="1:6" x14ac:dyDescent="0.25">
      <c r="A649" t="s">
        <v>1982</v>
      </c>
      <c r="B649" t="s">
        <v>600</v>
      </c>
      <c r="C649" t="s">
        <v>110</v>
      </c>
      <c r="D649">
        <v>2</v>
      </c>
      <c r="E649" t="s">
        <v>2972</v>
      </c>
      <c r="F649" t="s">
        <v>2969</v>
      </c>
    </row>
    <row r="650" spans="1:6" x14ac:dyDescent="0.25">
      <c r="A650" t="s">
        <v>1984</v>
      </c>
      <c r="B650" t="s">
        <v>602</v>
      </c>
      <c r="C650" t="s">
        <v>97</v>
      </c>
      <c r="D650">
        <v>1</v>
      </c>
      <c r="E650" t="s">
        <v>78</v>
      </c>
      <c r="F650" t="s">
        <v>2969</v>
      </c>
    </row>
    <row r="651" spans="1:6" x14ac:dyDescent="0.25">
      <c r="A651" t="s">
        <v>1984</v>
      </c>
      <c r="B651" t="s">
        <v>602</v>
      </c>
      <c r="C651" t="s">
        <v>97</v>
      </c>
      <c r="D651">
        <v>2</v>
      </c>
      <c r="E651" t="s">
        <v>1801</v>
      </c>
      <c r="F651" t="s">
        <v>2969</v>
      </c>
    </row>
    <row r="652" spans="1:6" x14ac:dyDescent="0.25">
      <c r="A652" t="s">
        <v>1985</v>
      </c>
      <c r="B652" t="s">
        <v>604</v>
      </c>
      <c r="C652" t="s">
        <v>83</v>
      </c>
      <c r="D652">
        <v>1</v>
      </c>
      <c r="E652" t="s">
        <v>1824</v>
      </c>
      <c r="F652" t="s">
        <v>2969</v>
      </c>
    </row>
    <row r="653" spans="1:6" x14ac:dyDescent="0.25">
      <c r="A653" t="s">
        <v>1985</v>
      </c>
      <c r="B653" t="s">
        <v>604</v>
      </c>
      <c r="C653" t="s">
        <v>83</v>
      </c>
      <c r="D653">
        <v>2</v>
      </c>
      <c r="E653" t="s">
        <v>1948</v>
      </c>
      <c r="F653" t="s">
        <v>2969</v>
      </c>
    </row>
    <row r="654" spans="1:6" x14ac:dyDescent="0.25">
      <c r="A654" t="s">
        <v>1986</v>
      </c>
      <c r="B654" t="s">
        <v>605</v>
      </c>
      <c r="C654" t="s">
        <v>118</v>
      </c>
      <c r="D654">
        <v>1</v>
      </c>
      <c r="E654" t="s">
        <v>1724</v>
      </c>
      <c r="F654" t="s">
        <v>2969</v>
      </c>
    </row>
    <row r="655" spans="1:6" x14ac:dyDescent="0.25">
      <c r="A655" t="s">
        <v>1987</v>
      </c>
      <c r="B655" t="s">
        <v>607</v>
      </c>
      <c r="C655" t="s">
        <v>125</v>
      </c>
      <c r="D655">
        <v>1</v>
      </c>
      <c r="E655" t="s">
        <v>72</v>
      </c>
      <c r="F655" t="s">
        <v>2969</v>
      </c>
    </row>
    <row r="656" spans="1:6" x14ac:dyDescent="0.25">
      <c r="A656" t="s">
        <v>1987</v>
      </c>
      <c r="B656" t="s">
        <v>607</v>
      </c>
      <c r="C656" t="s">
        <v>125</v>
      </c>
      <c r="D656">
        <v>2</v>
      </c>
      <c r="E656" t="s">
        <v>2336</v>
      </c>
      <c r="F656" t="s">
        <v>2969</v>
      </c>
    </row>
    <row r="657" spans="1:6" x14ac:dyDescent="0.25">
      <c r="A657" t="s">
        <v>1987</v>
      </c>
      <c r="B657" t="s">
        <v>607</v>
      </c>
      <c r="C657" t="s">
        <v>125</v>
      </c>
      <c r="D657">
        <v>3</v>
      </c>
      <c r="E657" t="s">
        <v>1824</v>
      </c>
      <c r="F657" t="s">
        <v>2969</v>
      </c>
    </row>
    <row r="658" spans="1:6" x14ac:dyDescent="0.25">
      <c r="A658" t="s">
        <v>1987</v>
      </c>
      <c r="B658" t="s">
        <v>607</v>
      </c>
      <c r="C658" t="s">
        <v>125</v>
      </c>
      <c r="D658">
        <v>4</v>
      </c>
      <c r="E658" t="s">
        <v>1701</v>
      </c>
      <c r="F658" t="s">
        <v>2969</v>
      </c>
    </row>
    <row r="659" spans="1:6" x14ac:dyDescent="0.25">
      <c r="A659" t="s">
        <v>1988</v>
      </c>
      <c r="B659" t="s">
        <v>608</v>
      </c>
      <c r="C659" t="s">
        <v>27</v>
      </c>
      <c r="D659">
        <v>1</v>
      </c>
      <c r="E659" t="s">
        <v>1661</v>
      </c>
      <c r="F659" t="s">
        <v>2969</v>
      </c>
    </row>
    <row r="660" spans="1:6" x14ac:dyDescent="0.25">
      <c r="A660" t="s">
        <v>1988</v>
      </c>
      <c r="B660" t="s">
        <v>608</v>
      </c>
      <c r="C660" t="s">
        <v>27</v>
      </c>
      <c r="D660">
        <v>2</v>
      </c>
      <c r="E660" t="s">
        <v>2046</v>
      </c>
      <c r="F660" t="s">
        <v>2969</v>
      </c>
    </row>
    <row r="661" spans="1:6" x14ac:dyDescent="0.25">
      <c r="A661" t="s">
        <v>1988</v>
      </c>
      <c r="B661" t="s">
        <v>608</v>
      </c>
      <c r="C661" t="s">
        <v>27</v>
      </c>
      <c r="D661">
        <v>3</v>
      </c>
      <c r="E661" t="s">
        <v>1691</v>
      </c>
      <c r="F661" t="s">
        <v>2969</v>
      </c>
    </row>
    <row r="662" spans="1:6" x14ac:dyDescent="0.25">
      <c r="A662" t="s">
        <v>1989</v>
      </c>
      <c r="B662" t="s">
        <v>609</v>
      </c>
      <c r="C662" t="s">
        <v>27</v>
      </c>
      <c r="D662">
        <v>1</v>
      </c>
      <c r="E662" t="s">
        <v>109</v>
      </c>
      <c r="F662" t="s">
        <v>2969</v>
      </c>
    </row>
    <row r="663" spans="1:6" x14ac:dyDescent="0.25">
      <c r="A663" t="s">
        <v>1989</v>
      </c>
      <c r="B663" t="s">
        <v>609</v>
      </c>
      <c r="C663" t="s">
        <v>27</v>
      </c>
      <c r="D663">
        <v>2</v>
      </c>
      <c r="E663" t="s">
        <v>1785</v>
      </c>
      <c r="F663" t="s">
        <v>2969</v>
      </c>
    </row>
    <row r="664" spans="1:6" x14ac:dyDescent="0.25">
      <c r="A664" t="s">
        <v>1990</v>
      </c>
      <c r="B664" t="s">
        <v>610</v>
      </c>
      <c r="C664" t="s">
        <v>43</v>
      </c>
      <c r="D664">
        <v>1</v>
      </c>
      <c r="E664" t="s">
        <v>120</v>
      </c>
      <c r="F664" t="s">
        <v>2969</v>
      </c>
    </row>
    <row r="665" spans="1:6" x14ac:dyDescent="0.25">
      <c r="A665" t="s">
        <v>1991</v>
      </c>
      <c r="B665" t="s">
        <v>612</v>
      </c>
      <c r="C665" t="s">
        <v>31</v>
      </c>
      <c r="D665">
        <v>1</v>
      </c>
      <c r="E665" t="s">
        <v>1739</v>
      </c>
      <c r="F665" t="s">
        <v>2969</v>
      </c>
    </row>
    <row r="666" spans="1:6" x14ac:dyDescent="0.25">
      <c r="A666" t="s">
        <v>1991</v>
      </c>
      <c r="B666" t="s">
        <v>612</v>
      </c>
      <c r="C666" t="s">
        <v>31</v>
      </c>
      <c r="D666">
        <v>2</v>
      </c>
      <c r="E666" t="s">
        <v>1859</v>
      </c>
      <c r="F666" t="s">
        <v>2969</v>
      </c>
    </row>
    <row r="667" spans="1:6" x14ac:dyDescent="0.25">
      <c r="A667" t="s">
        <v>1991</v>
      </c>
      <c r="B667" t="s">
        <v>612</v>
      </c>
      <c r="C667" t="s">
        <v>31</v>
      </c>
      <c r="D667">
        <v>3</v>
      </c>
      <c r="E667" t="s">
        <v>70</v>
      </c>
      <c r="F667" t="s">
        <v>2969</v>
      </c>
    </row>
    <row r="668" spans="1:6" x14ac:dyDescent="0.25">
      <c r="A668" t="s">
        <v>1992</v>
      </c>
      <c r="B668" t="s">
        <v>614</v>
      </c>
      <c r="C668" t="s">
        <v>136</v>
      </c>
      <c r="D668">
        <v>1</v>
      </c>
      <c r="E668" t="s">
        <v>1653</v>
      </c>
      <c r="F668" t="s">
        <v>2969</v>
      </c>
    </row>
    <row r="669" spans="1:6" x14ac:dyDescent="0.25">
      <c r="A669" t="s">
        <v>1992</v>
      </c>
      <c r="B669" t="s">
        <v>614</v>
      </c>
      <c r="C669" t="s">
        <v>136</v>
      </c>
      <c r="D669">
        <v>2</v>
      </c>
      <c r="E669" t="s">
        <v>75</v>
      </c>
      <c r="F669" t="s">
        <v>2969</v>
      </c>
    </row>
    <row r="670" spans="1:6" x14ac:dyDescent="0.25">
      <c r="A670" t="s">
        <v>1993</v>
      </c>
      <c r="B670" t="s">
        <v>615</v>
      </c>
      <c r="C670" t="s">
        <v>105</v>
      </c>
      <c r="D670">
        <v>1</v>
      </c>
      <c r="E670" t="s">
        <v>96</v>
      </c>
      <c r="F670" t="s">
        <v>2969</v>
      </c>
    </row>
    <row r="671" spans="1:6" x14ac:dyDescent="0.25">
      <c r="A671" t="s">
        <v>1993</v>
      </c>
      <c r="B671" t="s">
        <v>615</v>
      </c>
      <c r="C671" t="s">
        <v>105</v>
      </c>
      <c r="D671">
        <v>2</v>
      </c>
      <c r="E671" t="s">
        <v>1719</v>
      </c>
      <c r="F671" t="s">
        <v>2969</v>
      </c>
    </row>
    <row r="672" spans="1:6" x14ac:dyDescent="0.25">
      <c r="A672" t="s">
        <v>1994</v>
      </c>
      <c r="B672" t="s">
        <v>616</v>
      </c>
      <c r="C672" t="s">
        <v>101</v>
      </c>
      <c r="D672">
        <v>1</v>
      </c>
      <c r="E672" t="s">
        <v>1995</v>
      </c>
      <c r="F672" t="s">
        <v>2969</v>
      </c>
    </row>
    <row r="673" spans="1:6" x14ac:dyDescent="0.25">
      <c r="A673" t="s">
        <v>1994</v>
      </c>
      <c r="B673" t="s">
        <v>616</v>
      </c>
      <c r="C673" t="s">
        <v>101</v>
      </c>
      <c r="D673">
        <v>2</v>
      </c>
      <c r="E673" t="s">
        <v>22</v>
      </c>
      <c r="F673" t="s">
        <v>2969</v>
      </c>
    </row>
    <row r="674" spans="1:6" x14ac:dyDescent="0.25">
      <c r="A674" t="s">
        <v>1996</v>
      </c>
      <c r="B674" t="s">
        <v>617</v>
      </c>
      <c r="C674" t="s">
        <v>34</v>
      </c>
      <c r="D674">
        <v>1</v>
      </c>
      <c r="E674" t="s">
        <v>106</v>
      </c>
      <c r="F674" t="s">
        <v>2969</v>
      </c>
    </row>
    <row r="675" spans="1:6" x14ac:dyDescent="0.25">
      <c r="A675" t="s">
        <v>1996</v>
      </c>
      <c r="B675" t="s">
        <v>617</v>
      </c>
      <c r="C675" t="s">
        <v>34</v>
      </c>
      <c r="D675">
        <v>2</v>
      </c>
      <c r="E675" t="s">
        <v>104</v>
      </c>
      <c r="F675" t="s">
        <v>2969</v>
      </c>
    </row>
    <row r="676" spans="1:6" x14ac:dyDescent="0.25">
      <c r="A676" t="s">
        <v>1996</v>
      </c>
      <c r="B676" t="s">
        <v>617</v>
      </c>
      <c r="C676" t="s">
        <v>34</v>
      </c>
      <c r="D676">
        <v>3</v>
      </c>
      <c r="E676" t="s">
        <v>1711</v>
      </c>
      <c r="F676" t="s">
        <v>2969</v>
      </c>
    </row>
    <row r="677" spans="1:6" x14ac:dyDescent="0.25">
      <c r="A677" t="s">
        <v>1997</v>
      </c>
      <c r="B677" t="s">
        <v>619</v>
      </c>
      <c r="C677" t="s">
        <v>66</v>
      </c>
      <c r="D677">
        <v>1</v>
      </c>
      <c r="E677" t="s">
        <v>1781</v>
      </c>
      <c r="F677" t="s">
        <v>2969</v>
      </c>
    </row>
    <row r="678" spans="1:6" x14ac:dyDescent="0.25">
      <c r="A678" t="s">
        <v>1997</v>
      </c>
      <c r="B678" t="s">
        <v>619</v>
      </c>
      <c r="C678" t="s">
        <v>66</v>
      </c>
      <c r="D678">
        <v>2</v>
      </c>
      <c r="E678" t="s">
        <v>1815</v>
      </c>
      <c r="F678" t="s">
        <v>2969</v>
      </c>
    </row>
    <row r="679" spans="1:6" x14ac:dyDescent="0.25">
      <c r="A679" t="s">
        <v>1998</v>
      </c>
      <c r="B679" t="s">
        <v>620</v>
      </c>
      <c r="C679" t="s">
        <v>116</v>
      </c>
      <c r="D679">
        <v>1</v>
      </c>
      <c r="E679" t="s">
        <v>1699</v>
      </c>
      <c r="F679" t="s">
        <v>2969</v>
      </c>
    </row>
    <row r="680" spans="1:6" x14ac:dyDescent="0.25">
      <c r="A680" t="s">
        <v>1999</v>
      </c>
      <c r="B680" t="s">
        <v>621</v>
      </c>
      <c r="C680" t="s">
        <v>23</v>
      </c>
      <c r="D680">
        <v>1</v>
      </c>
      <c r="E680" t="s">
        <v>1824</v>
      </c>
      <c r="F680" t="s">
        <v>2969</v>
      </c>
    </row>
    <row r="681" spans="1:6" x14ac:dyDescent="0.25">
      <c r="A681" t="s">
        <v>1999</v>
      </c>
      <c r="B681" t="s">
        <v>621</v>
      </c>
      <c r="C681" t="s">
        <v>23</v>
      </c>
      <c r="D681">
        <v>2</v>
      </c>
      <c r="E681" t="s">
        <v>1649</v>
      </c>
      <c r="F681" t="s">
        <v>2969</v>
      </c>
    </row>
    <row r="682" spans="1:6" x14ac:dyDescent="0.25">
      <c r="A682" t="s">
        <v>1999</v>
      </c>
      <c r="B682" t="s">
        <v>621</v>
      </c>
      <c r="C682" t="s">
        <v>23</v>
      </c>
      <c r="D682">
        <v>3</v>
      </c>
      <c r="E682" t="s">
        <v>1701</v>
      </c>
      <c r="F682" t="s">
        <v>2969</v>
      </c>
    </row>
    <row r="683" spans="1:6" x14ac:dyDescent="0.25">
      <c r="A683" t="s">
        <v>1999</v>
      </c>
      <c r="B683" t="s">
        <v>621</v>
      </c>
      <c r="C683" t="s">
        <v>23</v>
      </c>
      <c r="D683">
        <v>4</v>
      </c>
      <c r="E683" t="s">
        <v>1704</v>
      </c>
      <c r="F683" t="s">
        <v>2969</v>
      </c>
    </row>
    <row r="684" spans="1:6" x14ac:dyDescent="0.25">
      <c r="A684" t="s">
        <v>2000</v>
      </c>
      <c r="B684" t="s">
        <v>622</v>
      </c>
      <c r="C684" t="s">
        <v>130</v>
      </c>
      <c r="D684">
        <v>1</v>
      </c>
      <c r="E684" t="s">
        <v>70</v>
      </c>
      <c r="F684" t="s">
        <v>2969</v>
      </c>
    </row>
    <row r="685" spans="1:6" x14ac:dyDescent="0.25">
      <c r="A685" t="s">
        <v>2000</v>
      </c>
      <c r="B685" t="s">
        <v>622</v>
      </c>
      <c r="C685" t="s">
        <v>130</v>
      </c>
      <c r="D685">
        <v>2</v>
      </c>
      <c r="E685" t="s">
        <v>2217</v>
      </c>
      <c r="F685" t="s">
        <v>2969</v>
      </c>
    </row>
    <row r="686" spans="1:6" x14ac:dyDescent="0.25">
      <c r="A686" t="s">
        <v>2000</v>
      </c>
      <c r="B686" t="s">
        <v>622</v>
      </c>
      <c r="C686" t="s">
        <v>130</v>
      </c>
      <c r="D686">
        <v>3</v>
      </c>
      <c r="E686" t="s">
        <v>1685</v>
      </c>
      <c r="F686" t="s">
        <v>2969</v>
      </c>
    </row>
    <row r="687" spans="1:6" x14ac:dyDescent="0.25">
      <c r="A687" t="s">
        <v>2000</v>
      </c>
      <c r="B687" t="s">
        <v>622</v>
      </c>
      <c r="C687" t="s">
        <v>130</v>
      </c>
      <c r="D687">
        <v>4</v>
      </c>
      <c r="E687" t="s">
        <v>2017</v>
      </c>
      <c r="F687" t="s">
        <v>2969</v>
      </c>
    </row>
    <row r="688" spans="1:6" x14ac:dyDescent="0.25">
      <c r="A688" t="s">
        <v>2001</v>
      </c>
      <c r="B688" t="s">
        <v>624</v>
      </c>
      <c r="C688" t="s">
        <v>100</v>
      </c>
      <c r="D688">
        <v>1</v>
      </c>
      <c r="E688" t="s">
        <v>1862</v>
      </c>
      <c r="F688" t="s">
        <v>2969</v>
      </c>
    </row>
    <row r="689" spans="1:6" x14ac:dyDescent="0.25">
      <c r="A689" t="s">
        <v>2002</v>
      </c>
      <c r="B689" t="s">
        <v>625</v>
      </c>
      <c r="C689" t="s">
        <v>110</v>
      </c>
      <c r="D689">
        <v>1</v>
      </c>
      <c r="E689" t="s">
        <v>2003</v>
      </c>
      <c r="F689" t="s">
        <v>2969</v>
      </c>
    </row>
    <row r="690" spans="1:6" x14ac:dyDescent="0.25">
      <c r="A690" t="s">
        <v>2002</v>
      </c>
      <c r="B690" t="s">
        <v>625</v>
      </c>
      <c r="C690" t="s">
        <v>110</v>
      </c>
      <c r="D690">
        <v>2</v>
      </c>
      <c r="E690" t="s">
        <v>1751</v>
      </c>
      <c r="F690" t="s">
        <v>2969</v>
      </c>
    </row>
    <row r="691" spans="1:6" x14ac:dyDescent="0.25">
      <c r="A691" t="s">
        <v>2002</v>
      </c>
      <c r="B691" t="s">
        <v>625</v>
      </c>
      <c r="C691" t="s">
        <v>110</v>
      </c>
      <c r="D691">
        <v>3</v>
      </c>
      <c r="E691" t="s">
        <v>1678</v>
      </c>
      <c r="F691" t="s">
        <v>2969</v>
      </c>
    </row>
    <row r="692" spans="1:6" x14ac:dyDescent="0.25">
      <c r="A692" t="s">
        <v>2004</v>
      </c>
      <c r="B692" t="s">
        <v>626</v>
      </c>
      <c r="C692" t="s">
        <v>107</v>
      </c>
      <c r="D692">
        <v>1</v>
      </c>
      <c r="E692" t="s">
        <v>1779</v>
      </c>
      <c r="F692" t="s">
        <v>2969</v>
      </c>
    </row>
    <row r="693" spans="1:6" x14ac:dyDescent="0.25">
      <c r="A693" t="s">
        <v>2004</v>
      </c>
      <c r="B693" t="s">
        <v>626</v>
      </c>
      <c r="C693" t="s">
        <v>107</v>
      </c>
      <c r="D693">
        <v>2</v>
      </c>
      <c r="E693" t="s">
        <v>2230</v>
      </c>
      <c r="F693" t="s">
        <v>2969</v>
      </c>
    </row>
    <row r="694" spans="1:6" x14ac:dyDescent="0.25">
      <c r="A694" t="s">
        <v>2005</v>
      </c>
      <c r="B694" t="s">
        <v>627</v>
      </c>
      <c r="C694" t="s">
        <v>31</v>
      </c>
      <c r="D694">
        <v>1</v>
      </c>
      <c r="E694" t="s">
        <v>1701</v>
      </c>
      <c r="F694" t="s">
        <v>2969</v>
      </c>
    </row>
    <row r="695" spans="1:6" x14ac:dyDescent="0.25">
      <c r="A695" t="s">
        <v>2005</v>
      </c>
      <c r="B695" t="s">
        <v>627</v>
      </c>
      <c r="C695" t="s">
        <v>31</v>
      </c>
      <c r="D695">
        <v>2</v>
      </c>
      <c r="E695" t="s">
        <v>30</v>
      </c>
      <c r="F695" t="s">
        <v>2969</v>
      </c>
    </row>
    <row r="696" spans="1:6" x14ac:dyDescent="0.25">
      <c r="A696" t="s">
        <v>2006</v>
      </c>
      <c r="B696" t="s">
        <v>628</v>
      </c>
      <c r="C696" t="s">
        <v>116</v>
      </c>
      <c r="D696">
        <v>1</v>
      </c>
      <c r="E696" t="s">
        <v>1826</v>
      </c>
      <c r="F696" t="s">
        <v>2969</v>
      </c>
    </row>
    <row r="697" spans="1:6" x14ac:dyDescent="0.25">
      <c r="A697" t="s">
        <v>2006</v>
      </c>
      <c r="B697" t="s">
        <v>628</v>
      </c>
      <c r="C697" t="s">
        <v>116</v>
      </c>
      <c r="D697">
        <v>2</v>
      </c>
      <c r="E697" t="s">
        <v>2611</v>
      </c>
      <c r="F697" t="s">
        <v>2969</v>
      </c>
    </row>
    <row r="698" spans="1:6" x14ac:dyDescent="0.25">
      <c r="A698" t="s">
        <v>2006</v>
      </c>
      <c r="B698" t="s">
        <v>628</v>
      </c>
      <c r="C698" t="s">
        <v>116</v>
      </c>
      <c r="D698">
        <v>3</v>
      </c>
      <c r="E698" t="s">
        <v>1931</v>
      </c>
      <c r="F698" t="s">
        <v>2969</v>
      </c>
    </row>
    <row r="699" spans="1:6" x14ac:dyDescent="0.25">
      <c r="A699" t="s">
        <v>2006</v>
      </c>
      <c r="B699" t="s">
        <v>628</v>
      </c>
      <c r="C699" t="s">
        <v>116</v>
      </c>
      <c r="D699">
        <v>4</v>
      </c>
      <c r="E699" t="s">
        <v>1908</v>
      </c>
      <c r="F699" t="s">
        <v>2969</v>
      </c>
    </row>
    <row r="700" spans="1:6" x14ac:dyDescent="0.25">
      <c r="A700" t="s">
        <v>2007</v>
      </c>
      <c r="B700" t="s">
        <v>630</v>
      </c>
      <c r="C700" t="s">
        <v>31</v>
      </c>
      <c r="D700">
        <v>1</v>
      </c>
      <c r="E700" t="s">
        <v>1915</v>
      </c>
      <c r="F700" t="s">
        <v>2969</v>
      </c>
    </row>
    <row r="701" spans="1:6" x14ac:dyDescent="0.25">
      <c r="A701" t="s">
        <v>2007</v>
      </c>
      <c r="B701" t="s">
        <v>630</v>
      </c>
      <c r="C701" t="s">
        <v>31</v>
      </c>
      <c r="D701">
        <v>2</v>
      </c>
      <c r="E701" t="s">
        <v>70</v>
      </c>
      <c r="F701" t="s">
        <v>2969</v>
      </c>
    </row>
    <row r="702" spans="1:6" x14ac:dyDescent="0.25">
      <c r="A702" t="s">
        <v>2008</v>
      </c>
      <c r="B702" t="s">
        <v>632</v>
      </c>
      <c r="C702" t="s">
        <v>136</v>
      </c>
      <c r="D702">
        <v>1</v>
      </c>
      <c r="E702" t="s">
        <v>78</v>
      </c>
      <c r="F702" t="s">
        <v>2969</v>
      </c>
    </row>
    <row r="703" spans="1:6" x14ac:dyDescent="0.25">
      <c r="A703" t="s">
        <v>2009</v>
      </c>
      <c r="B703" t="s">
        <v>633</v>
      </c>
      <c r="C703" t="s">
        <v>98</v>
      </c>
      <c r="D703">
        <v>1</v>
      </c>
      <c r="E703" t="s">
        <v>133</v>
      </c>
      <c r="F703" t="s">
        <v>2969</v>
      </c>
    </row>
    <row r="704" spans="1:6" x14ac:dyDescent="0.25">
      <c r="A704" t="s">
        <v>2009</v>
      </c>
      <c r="B704" t="s">
        <v>633</v>
      </c>
      <c r="C704" t="s">
        <v>98</v>
      </c>
      <c r="D704">
        <v>2</v>
      </c>
      <c r="E704" t="s">
        <v>1680</v>
      </c>
      <c r="F704" t="s">
        <v>2969</v>
      </c>
    </row>
    <row r="705" spans="1:6" x14ac:dyDescent="0.25">
      <c r="A705" t="s">
        <v>2009</v>
      </c>
      <c r="B705" t="s">
        <v>633</v>
      </c>
      <c r="C705" t="s">
        <v>98</v>
      </c>
      <c r="D705">
        <v>3</v>
      </c>
      <c r="E705" t="s">
        <v>1651</v>
      </c>
      <c r="F705" t="s">
        <v>2969</v>
      </c>
    </row>
    <row r="706" spans="1:6" x14ac:dyDescent="0.25">
      <c r="A706" t="s">
        <v>2009</v>
      </c>
      <c r="B706" t="s">
        <v>633</v>
      </c>
      <c r="C706" t="s">
        <v>98</v>
      </c>
      <c r="D706">
        <v>4</v>
      </c>
      <c r="E706" t="s">
        <v>1687</v>
      </c>
      <c r="F706" t="s">
        <v>2969</v>
      </c>
    </row>
    <row r="707" spans="1:6" x14ac:dyDescent="0.25">
      <c r="A707" t="s">
        <v>2010</v>
      </c>
      <c r="B707" t="s">
        <v>635</v>
      </c>
      <c r="C707" t="s">
        <v>46</v>
      </c>
      <c r="D707">
        <v>1</v>
      </c>
      <c r="E707" t="s">
        <v>1781</v>
      </c>
      <c r="F707" t="s">
        <v>2969</v>
      </c>
    </row>
    <row r="708" spans="1:6" x14ac:dyDescent="0.25">
      <c r="A708" t="s">
        <v>2010</v>
      </c>
      <c r="B708" t="s">
        <v>635</v>
      </c>
      <c r="C708" t="s">
        <v>46</v>
      </c>
      <c r="D708">
        <v>2</v>
      </c>
      <c r="E708" t="s">
        <v>2032</v>
      </c>
      <c r="F708" t="s">
        <v>2969</v>
      </c>
    </row>
    <row r="709" spans="1:6" x14ac:dyDescent="0.25">
      <c r="A709" t="s">
        <v>2010</v>
      </c>
      <c r="B709" t="s">
        <v>635</v>
      </c>
      <c r="C709" t="s">
        <v>46</v>
      </c>
      <c r="D709">
        <v>3</v>
      </c>
      <c r="E709" t="s">
        <v>1820</v>
      </c>
      <c r="F709" t="s">
        <v>2969</v>
      </c>
    </row>
    <row r="710" spans="1:6" x14ac:dyDescent="0.25">
      <c r="A710" t="s">
        <v>2011</v>
      </c>
      <c r="B710" t="s">
        <v>636</v>
      </c>
      <c r="C710" t="s">
        <v>125</v>
      </c>
      <c r="D710">
        <v>1</v>
      </c>
      <c r="E710" t="s">
        <v>1995</v>
      </c>
      <c r="F710" t="s">
        <v>2969</v>
      </c>
    </row>
    <row r="711" spans="1:6" x14ac:dyDescent="0.25">
      <c r="A711" t="s">
        <v>2011</v>
      </c>
      <c r="B711" t="s">
        <v>636</v>
      </c>
      <c r="C711" t="s">
        <v>125</v>
      </c>
      <c r="D711">
        <v>2</v>
      </c>
      <c r="E711" t="s">
        <v>84</v>
      </c>
      <c r="F711" t="s">
        <v>2969</v>
      </c>
    </row>
    <row r="712" spans="1:6" x14ac:dyDescent="0.25">
      <c r="A712" t="s">
        <v>2011</v>
      </c>
      <c r="B712" t="s">
        <v>636</v>
      </c>
      <c r="C712" t="s">
        <v>125</v>
      </c>
      <c r="D712">
        <v>3</v>
      </c>
      <c r="E712" t="s">
        <v>99</v>
      </c>
      <c r="F712" t="s">
        <v>2969</v>
      </c>
    </row>
    <row r="713" spans="1:6" x14ac:dyDescent="0.25">
      <c r="A713" t="s">
        <v>2012</v>
      </c>
      <c r="B713" t="s">
        <v>638</v>
      </c>
      <c r="C713" t="s">
        <v>20</v>
      </c>
      <c r="D713">
        <v>1</v>
      </c>
      <c r="E713" t="s">
        <v>1824</v>
      </c>
      <c r="F713" t="s">
        <v>2969</v>
      </c>
    </row>
    <row r="714" spans="1:6" x14ac:dyDescent="0.25">
      <c r="A714" t="s">
        <v>2012</v>
      </c>
      <c r="B714" t="s">
        <v>638</v>
      </c>
      <c r="C714" t="s">
        <v>20</v>
      </c>
      <c r="D714">
        <v>2</v>
      </c>
      <c r="E714" t="s">
        <v>1649</v>
      </c>
      <c r="F714" t="s">
        <v>2969</v>
      </c>
    </row>
    <row r="715" spans="1:6" x14ac:dyDescent="0.25">
      <c r="A715" t="s">
        <v>2012</v>
      </c>
      <c r="B715" t="s">
        <v>638</v>
      </c>
      <c r="C715" t="s">
        <v>20</v>
      </c>
      <c r="D715">
        <v>3</v>
      </c>
      <c r="E715" t="s">
        <v>1707</v>
      </c>
      <c r="F715" t="s">
        <v>2969</v>
      </c>
    </row>
    <row r="716" spans="1:6" x14ac:dyDescent="0.25">
      <c r="A716" t="s">
        <v>2013</v>
      </c>
      <c r="B716" t="s">
        <v>639</v>
      </c>
      <c r="C716" t="s">
        <v>46</v>
      </c>
      <c r="D716">
        <v>1</v>
      </c>
      <c r="E716" t="s">
        <v>1645</v>
      </c>
      <c r="F716" t="s">
        <v>2969</v>
      </c>
    </row>
    <row r="717" spans="1:6" x14ac:dyDescent="0.25">
      <c r="A717" t="s">
        <v>2013</v>
      </c>
      <c r="B717" t="s">
        <v>639</v>
      </c>
      <c r="C717" t="s">
        <v>46</v>
      </c>
      <c r="D717">
        <v>2</v>
      </c>
      <c r="E717" t="s">
        <v>1634</v>
      </c>
      <c r="F717" t="s">
        <v>2969</v>
      </c>
    </row>
    <row r="718" spans="1:6" x14ac:dyDescent="0.25">
      <c r="A718" t="s">
        <v>2013</v>
      </c>
      <c r="B718" t="s">
        <v>639</v>
      </c>
      <c r="C718" t="s">
        <v>46</v>
      </c>
      <c r="D718">
        <v>3</v>
      </c>
      <c r="E718" t="s">
        <v>1953</v>
      </c>
      <c r="F718" t="s">
        <v>2969</v>
      </c>
    </row>
    <row r="719" spans="1:6" x14ac:dyDescent="0.25">
      <c r="A719" t="s">
        <v>2013</v>
      </c>
      <c r="B719" t="s">
        <v>639</v>
      </c>
      <c r="C719" t="s">
        <v>46</v>
      </c>
      <c r="D719">
        <v>4</v>
      </c>
      <c r="E719" t="s">
        <v>2003</v>
      </c>
      <c r="F719" t="s">
        <v>2969</v>
      </c>
    </row>
    <row r="720" spans="1:6" x14ac:dyDescent="0.25">
      <c r="A720" t="s">
        <v>2013</v>
      </c>
      <c r="B720" t="s">
        <v>639</v>
      </c>
      <c r="C720" t="s">
        <v>46</v>
      </c>
      <c r="D720">
        <v>5</v>
      </c>
      <c r="E720" t="s">
        <v>2032</v>
      </c>
      <c r="F720" t="s">
        <v>2969</v>
      </c>
    </row>
    <row r="721" spans="1:6" x14ac:dyDescent="0.25">
      <c r="A721" t="s">
        <v>2013</v>
      </c>
      <c r="B721" t="s">
        <v>639</v>
      </c>
      <c r="C721" t="s">
        <v>46</v>
      </c>
      <c r="D721">
        <v>6</v>
      </c>
      <c r="E721" t="s">
        <v>1923</v>
      </c>
      <c r="F721" t="s">
        <v>2969</v>
      </c>
    </row>
    <row r="722" spans="1:6" x14ac:dyDescent="0.25">
      <c r="A722" t="s">
        <v>2013</v>
      </c>
      <c r="B722" t="s">
        <v>639</v>
      </c>
      <c r="C722" t="s">
        <v>46</v>
      </c>
      <c r="D722">
        <v>7</v>
      </c>
      <c r="E722" t="s">
        <v>1828</v>
      </c>
      <c r="F722" t="s">
        <v>1692</v>
      </c>
    </row>
    <row r="723" spans="1:6" x14ac:dyDescent="0.25">
      <c r="A723" t="s">
        <v>2014</v>
      </c>
      <c r="B723" t="s">
        <v>640</v>
      </c>
      <c r="C723" t="s">
        <v>127</v>
      </c>
      <c r="D723">
        <v>1</v>
      </c>
      <c r="E723" t="s">
        <v>1643</v>
      </c>
      <c r="F723" t="s">
        <v>2969</v>
      </c>
    </row>
    <row r="724" spans="1:6" x14ac:dyDescent="0.25">
      <c r="A724" t="s">
        <v>2014</v>
      </c>
      <c r="B724" t="s">
        <v>640</v>
      </c>
      <c r="C724" t="s">
        <v>127</v>
      </c>
      <c r="D724">
        <v>2</v>
      </c>
      <c r="E724" t="s">
        <v>1960</v>
      </c>
      <c r="F724" t="s">
        <v>2969</v>
      </c>
    </row>
    <row r="725" spans="1:6" x14ac:dyDescent="0.25">
      <c r="A725" t="s">
        <v>2014</v>
      </c>
      <c r="B725" t="s">
        <v>640</v>
      </c>
      <c r="C725" t="s">
        <v>127</v>
      </c>
      <c r="D725">
        <v>3</v>
      </c>
      <c r="E725" t="s">
        <v>1751</v>
      </c>
      <c r="F725" t="s">
        <v>2969</v>
      </c>
    </row>
    <row r="726" spans="1:6" x14ac:dyDescent="0.25">
      <c r="A726" t="s">
        <v>2014</v>
      </c>
      <c r="B726" t="s">
        <v>640</v>
      </c>
      <c r="C726" t="s">
        <v>127</v>
      </c>
      <c r="D726">
        <v>4</v>
      </c>
      <c r="E726" t="s">
        <v>1844</v>
      </c>
      <c r="F726" t="s">
        <v>2969</v>
      </c>
    </row>
    <row r="727" spans="1:6" x14ac:dyDescent="0.25">
      <c r="A727" t="s">
        <v>2015</v>
      </c>
      <c r="B727" t="s">
        <v>641</v>
      </c>
      <c r="C727" t="s">
        <v>87</v>
      </c>
      <c r="D727">
        <v>1</v>
      </c>
      <c r="E727" t="s">
        <v>96</v>
      </c>
      <c r="F727" t="s">
        <v>2969</v>
      </c>
    </row>
    <row r="728" spans="1:6" x14ac:dyDescent="0.25">
      <c r="A728" t="s">
        <v>2015</v>
      </c>
      <c r="B728" t="s">
        <v>641</v>
      </c>
      <c r="C728" t="s">
        <v>87</v>
      </c>
      <c r="D728">
        <v>2</v>
      </c>
      <c r="E728" t="s">
        <v>1639</v>
      </c>
      <c r="F728" t="s">
        <v>2969</v>
      </c>
    </row>
    <row r="729" spans="1:6" x14ac:dyDescent="0.25">
      <c r="A729" t="s">
        <v>2015</v>
      </c>
      <c r="B729" t="s">
        <v>641</v>
      </c>
      <c r="C729" t="s">
        <v>87</v>
      </c>
      <c r="D729">
        <v>3</v>
      </c>
      <c r="E729" t="s">
        <v>1624</v>
      </c>
      <c r="F729" t="s">
        <v>2969</v>
      </c>
    </row>
    <row r="730" spans="1:6" x14ac:dyDescent="0.25">
      <c r="A730" t="s">
        <v>2016</v>
      </c>
      <c r="B730" t="s">
        <v>642</v>
      </c>
      <c r="C730" t="s">
        <v>107</v>
      </c>
      <c r="D730">
        <v>1</v>
      </c>
      <c r="E730" t="s">
        <v>2017</v>
      </c>
      <c r="F730" t="s">
        <v>2969</v>
      </c>
    </row>
    <row r="731" spans="1:6" x14ac:dyDescent="0.25">
      <c r="A731" t="s">
        <v>2016</v>
      </c>
      <c r="B731" t="s">
        <v>642</v>
      </c>
      <c r="C731" t="s">
        <v>107</v>
      </c>
      <c r="D731">
        <v>2</v>
      </c>
      <c r="E731" t="s">
        <v>2230</v>
      </c>
      <c r="F731" t="s">
        <v>2969</v>
      </c>
    </row>
    <row r="732" spans="1:6" x14ac:dyDescent="0.25">
      <c r="A732" t="s">
        <v>2018</v>
      </c>
      <c r="B732" t="s">
        <v>644</v>
      </c>
      <c r="C732" t="s">
        <v>56</v>
      </c>
      <c r="D732">
        <v>1</v>
      </c>
      <c r="E732" t="s">
        <v>1908</v>
      </c>
      <c r="F732" t="s">
        <v>2969</v>
      </c>
    </row>
    <row r="733" spans="1:6" x14ac:dyDescent="0.25">
      <c r="A733" t="s">
        <v>2019</v>
      </c>
      <c r="B733" t="s">
        <v>645</v>
      </c>
      <c r="C733" t="s">
        <v>118</v>
      </c>
      <c r="D733">
        <v>1</v>
      </c>
      <c r="E733" t="s">
        <v>13</v>
      </c>
      <c r="F733" t="s">
        <v>2969</v>
      </c>
    </row>
    <row r="734" spans="1:6" x14ac:dyDescent="0.25">
      <c r="A734" t="s">
        <v>2019</v>
      </c>
      <c r="B734" t="s">
        <v>645</v>
      </c>
      <c r="C734" t="s">
        <v>118</v>
      </c>
      <c r="D734">
        <v>2</v>
      </c>
      <c r="E734" t="s">
        <v>1673</v>
      </c>
      <c r="F734" t="s">
        <v>2969</v>
      </c>
    </row>
    <row r="735" spans="1:6" x14ac:dyDescent="0.25">
      <c r="A735" t="s">
        <v>2019</v>
      </c>
      <c r="B735" t="s">
        <v>645</v>
      </c>
      <c r="C735" t="s">
        <v>118</v>
      </c>
      <c r="D735">
        <v>3</v>
      </c>
      <c r="E735" t="s">
        <v>1687</v>
      </c>
      <c r="F735" t="s">
        <v>2969</v>
      </c>
    </row>
    <row r="736" spans="1:6" x14ac:dyDescent="0.25">
      <c r="A736" t="s">
        <v>2020</v>
      </c>
      <c r="B736" t="s">
        <v>647</v>
      </c>
      <c r="C736" t="s">
        <v>34</v>
      </c>
      <c r="D736">
        <v>1</v>
      </c>
      <c r="E736" t="s">
        <v>2021</v>
      </c>
      <c r="F736" t="s">
        <v>2969</v>
      </c>
    </row>
    <row r="737" spans="1:6" x14ac:dyDescent="0.25">
      <c r="A737" t="s">
        <v>2020</v>
      </c>
      <c r="B737" t="s">
        <v>647</v>
      </c>
      <c r="C737" t="s">
        <v>34</v>
      </c>
      <c r="D737">
        <v>2</v>
      </c>
      <c r="E737" t="s">
        <v>2094</v>
      </c>
      <c r="F737" t="s">
        <v>2969</v>
      </c>
    </row>
    <row r="738" spans="1:6" x14ac:dyDescent="0.25">
      <c r="A738" t="s">
        <v>2020</v>
      </c>
      <c r="B738" t="s">
        <v>647</v>
      </c>
      <c r="C738" t="s">
        <v>34</v>
      </c>
      <c r="D738">
        <v>3</v>
      </c>
      <c r="E738" t="s">
        <v>1721</v>
      </c>
      <c r="F738" t="s">
        <v>2969</v>
      </c>
    </row>
    <row r="739" spans="1:6" x14ac:dyDescent="0.25">
      <c r="A739" t="s">
        <v>2022</v>
      </c>
      <c r="B739" t="s">
        <v>648</v>
      </c>
      <c r="C739" t="s">
        <v>105</v>
      </c>
      <c r="D739">
        <v>1</v>
      </c>
      <c r="E739" t="s">
        <v>1728</v>
      </c>
      <c r="F739" t="s">
        <v>2969</v>
      </c>
    </row>
    <row r="740" spans="1:6" x14ac:dyDescent="0.25">
      <c r="A740" t="s">
        <v>2022</v>
      </c>
      <c r="B740" t="s">
        <v>648</v>
      </c>
      <c r="C740" t="s">
        <v>105</v>
      </c>
      <c r="D740">
        <v>2</v>
      </c>
      <c r="E740" t="s">
        <v>1772</v>
      </c>
      <c r="F740" t="s">
        <v>2969</v>
      </c>
    </row>
    <row r="741" spans="1:6" x14ac:dyDescent="0.25">
      <c r="A741" t="s">
        <v>2022</v>
      </c>
      <c r="B741" t="s">
        <v>648</v>
      </c>
      <c r="C741" t="s">
        <v>105</v>
      </c>
      <c r="D741">
        <v>3</v>
      </c>
      <c r="E741" t="s">
        <v>1801</v>
      </c>
      <c r="F741" t="s">
        <v>2969</v>
      </c>
    </row>
    <row r="742" spans="1:6" x14ac:dyDescent="0.25">
      <c r="A742" t="s">
        <v>2023</v>
      </c>
      <c r="B742" t="s">
        <v>649</v>
      </c>
      <c r="C742" t="s">
        <v>121</v>
      </c>
      <c r="D742">
        <v>1</v>
      </c>
      <c r="E742" t="s">
        <v>1653</v>
      </c>
      <c r="F742" t="s">
        <v>2969</v>
      </c>
    </row>
    <row r="743" spans="1:6" x14ac:dyDescent="0.25">
      <c r="A743" t="s">
        <v>2024</v>
      </c>
      <c r="B743" t="s">
        <v>651</v>
      </c>
      <c r="C743" t="s">
        <v>49</v>
      </c>
      <c r="D743">
        <v>1</v>
      </c>
      <c r="E743" t="s">
        <v>1639</v>
      </c>
      <c r="F743" t="s">
        <v>2969</v>
      </c>
    </row>
    <row r="744" spans="1:6" x14ac:dyDescent="0.25">
      <c r="A744" t="s">
        <v>2025</v>
      </c>
      <c r="B744" t="s">
        <v>652</v>
      </c>
      <c r="C744" t="s">
        <v>49</v>
      </c>
      <c r="D744">
        <v>1</v>
      </c>
      <c r="E744" t="s">
        <v>1844</v>
      </c>
      <c r="F744" t="s">
        <v>2969</v>
      </c>
    </row>
    <row r="745" spans="1:6" x14ac:dyDescent="0.25">
      <c r="A745" t="s">
        <v>2025</v>
      </c>
      <c r="B745" t="s">
        <v>652</v>
      </c>
      <c r="C745" t="s">
        <v>49</v>
      </c>
      <c r="D745">
        <v>2</v>
      </c>
      <c r="E745" t="s">
        <v>2456</v>
      </c>
      <c r="F745" t="s">
        <v>2969</v>
      </c>
    </row>
    <row r="746" spans="1:6" x14ac:dyDescent="0.25">
      <c r="A746" t="s">
        <v>2026</v>
      </c>
      <c r="B746" t="s">
        <v>654</v>
      </c>
      <c r="C746" t="s">
        <v>39</v>
      </c>
      <c r="D746">
        <v>1</v>
      </c>
      <c r="E746" t="s">
        <v>1896</v>
      </c>
      <c r="F746" t="s">
        <v>2969</v>
      </c>
    </row>
    <row r="747" spans="1:6" x14ac:dyDescent="0.25">
      <c r="A747" t="s">
        <v>2026</v>
      </c>
      <c r="B747" t="s">
        <v>654</v>
      </c>
      <c r="C747" t="s">
        <v>39</v>
      </c>
      <c r="D747">
        <v>2</v>
      </c>
      <c r="E747" t="s">
        <v>2042</v>
      </c>
      <c r="F747" t="s">
        <v>2969</v>
      </c>
    </row>
    <row r="748" spans="1:6" x14ac:dyDescent="0.25">
      <c r="A748" t="s">
        <v>2026</v>
      </c>
      <c r="B748" t="s">
        <v>654</v>
      </c>
      <c r="C748" t="s">
        <v>39</v>
      </c>
      <c r="D748">
        <v>3</v>
      </c>
      <c r="E748" t="s">
        <v>1647</v>
      </c>
      <c r="F748" t="s">
        <v>2969</v>
      </c>
    </row>
    <row r="749" spans="1:6" x14ac:dyDescent="0.25">
      <c r="A749" t="s">
        <v>2026</v>
      </c>
      <c r="B749" t="s">
        <v>654</v>
      </c>
      <c r="C749" t="s">
        <v>39</v>
      </c>
      <c r="D749">
        <v>4</v>
      </c>
      <c r="E749" t="s">
        <v>1869</v>
      </c>
      <c r="F749" t="s">
        <v>2969</v>
      </c>
    </row>
    <row r="750" spans="1:6" x14ac:dyDescent="0.25">
      <c r="A750" t="s">
        <v>2026</v>
      </c>
      <c r="B750" t="s">
        <v>654</v>
      </c>
      <c r="C750" t="s">
        <v>39</v>
      </c>
      <c r="D750">
        <v>5</v>
      </c>
      <c r="E750" t="s">
        <v>22</v>
      </c>
      <c r="F750" t="s">
        <v>2969</v>
      </c>
    </row>
    <row r="751" spans="1:6" x14ac:dyDescent="0.25">
      <c r="A751" t="s">
        <v>2027</v>
      </c>
      <c r="B751" t="s">
        <v>655</v>
      </c>
      <c r="C751" t="s">
        <v>134</v>
      </c>
      <c r="D751">
        <v>1</v>
      </c>
      <c r="E751" t="s">
        <v>1724</v>
      </c>
      <c r="F751" t="s">
        <v>2969</v>
      </c>
    </row>
    <row r="752" spans="1:6" x14ac:dyDescent="0.25">
      <c r="A752" t="s">
        <v>2027</v>
      </c>
      <c r="B752" t="s">
        <v>655</v>
      </c>
      <c r="C752" t="s">
        <v>134</v>
      </c>
      <c r="D752">
        <v>2</v>
      </c>
      <c r="E752" t="s">
        <v>1859</v>
      </c>
      <c r="F752" t="s">
        <v>2969</v>
      </c>
    </row>
    <row r="753" spans="1:6" x14ac:dyDescent="0.25">
      <c r="A753" t="s">
        <v>2027</v>
      </c>
      <c r="B753" t="s">
        <v>655</v>
      </c>
      <c r="C753" t="s">
        <v>134</v>
      </c>
      <c r="D753">
        <v>3</v>
      </c>
      <c r="E753" t="s">
        <v>1915</v>
      </c>
      <c r="F753" t="s">
        <v>2969</v>
      </c>
    </row>
    <row r="754" spans="1:6" x14ac:dyDescent="0.25">
      <c r="A754" t="s">
        <v>2027</v>
      </c>
      <c r="B754" t="s">
        <v>655</v>
      </c>
      <c r="C754" t="s">
        <v>134</v>
      </c>
      <c r="D754">
        <v>4</v>
      </c>
      <c r="E754" t="s">
        <v>1661</v>
      </c>
      <c r="F754" t="s">
        <v>2969</v>
      </c>
    </row>
    <row r="755" spans="1:6" x14ac:dyDescent="0.25">
      <c r="A755" t="s">
        <v>2028</v>
      </c>
      <c r="B755" t="s">
        <v>657</v>
      </c>
      <c r="C755" t="s">
        <v>110</v>
      </c>
      <c r="D755">
        <v>1</v>
      </c>
      <c r="E755" t="s">
        <v>2029</v>
      </c>
      <c r="F755" t="s">
        <v>2969</v>
      </c>
    </row>
    <row r="756" spans="1:6" x14ac:dyDescent="0.25">
      <c r="A756" t="s">
        <v>2028</v>
      </c>
      <c r="B756" t="s">
        <v>657</v>
      </c>
      <c r="C756" t="s">
        <v>110</v>
      </c>
      <c r="D756">
        <v>2</v>
      </c>
      <c r="E756" t="s">
        <v>2973</v>
      </c>
      <c r="F756" t="s">
        <v>2969</v>
      </c>
    </row>
    <row r="757" spans="1:6" x14ac:dyDescent="0.25">
      <c r="A757" t="s">
        <v>2030</v>
      </c>
      <c r="B757" t="s">
        <v>658</v>
      </c>
      <c r="C757" t="s">
        <v>69</v>
      </c>
      <c r="D757">
        <v>1</v>
      </c>
      <c r="E757" t="s">
        <v>1807</v>
      </c>
      <c r="F757" t="s">
        <v>2969</v>
      </c>
    </row>
    <row r="758" spans="1:6" x14ac:dyDescent="0.25">
      <c r="A758" t="s">
        <v>2030</v>
      </c>
      <c r="B758" t="s">
        <v>658</v>
      </c>
      <c r="C758" t="s">
        <v>69</v>
      </c>
      <c r="D758">
        <v>2</v>
      </c>
      <c r="E758" t="s">
        <v>1760</v>
      </c>
      <c r="F758" t="s">
        <v>2969</v>
      </c>
    </row>
    <row r="759" spans="1:6" x14ac:dyDescent="0.25">
      <c r="A759" t="s">
        <v>2030</v>
      </c>
      <c r="B759" t="s">
        <v>658</v>
      </c>
      <c r="C759" t="s">
        <v>69</v>
      </c>
      <c r="D759">
        <v>3</v>
      </c>
      <c r="E759" t="s">
        <v>2038</v>
      </c>
      <c r="F759" t="s">
        <v>2969</v>
      </c>
    </row>
    <row r="760" spans="1:6" x14ac:dyDescent="0.25">
      <c r="A760" t="s">
        <v>2030</v>
      </c>
      <c r="B760" t="s">
        <v>658</v>
      </c>
      <c r="C760" t="s">
        <v>69</v>
      </c>
      <c r="D760">
        <v>4</v>
      </c>
      <c r="E760" t="s">
        <v>2094</v>
      </c>
      <c r="F760" t="s">
        <v>2969</v>
      </c>
    </row>
    <row r="761" spans="1:6" x14ac:dyDescent="0.25">
      <c r="A761" t="s">
        <v>2031</v>
      </c>
      <c r="B761" t="s">
        <v>659</v>
      </c>
      <c r="C761" t="s">
        <v>123</v>
      </c>
      <c r="D761">
        <v>1</v>
      </c>
      <c r="E761" t="s">
        <v>2032</v>
      </c>
      <c r="F761" t="s">
        <v>2969</v>
      </c>
    </row>
    <row r="762" spans="1:6" x14ac:dyDescent="0.25">
      <c r="A762" t="s">
        <v>2033</v>
      </c>
      <c r="B762" t="s">
        <v>660</v>
      </c>
      <c r="C762" t="s">
        <v>27</v>
      </c>
      <c r="D762">
        <v>1</v>
      </c>
      <c r="E762" t="s">
        <v>1695</v>
      </c>
      <c r="F762" t="s">
        <v>2969</v>
      </c>
    </row>
    <row r="763" spans="1:6" x14ac:dyDescent="0.25">
      <c r="A763" t="s">
        <v>2033</v>
      </c>
      <c r="B763" t="s">
        <v>660</v>
      </c>
      <c r="C763" t="s">
        <v>27</v>
      </c>
      <c r="D763">
        <v>2</v>
      </c>
      <c r="E763" t="s">
        <v>1661</v>
      </c>
      <c r="F763" t="s">
        <v>2969</v>
      </c>
    </row>
    <row r="764" spans="1:6" x14ac:dyDescent="0.25">
      <c r="A764" t="s">
        <v>2033</v>
      </c>
      <c r="B764" t="s">
        <v>660</v>
      </c>
      <c r="C764" t="s">
        <v>27</v>
      </c>
      <c r="D764">
        <v>3</v>
      </c>
      <c r="E764" t="s">
        <v>2472</v>
      </c>
      <c r="F764" t="s">
        <v>2969</v>
      </c>
    </row>
    <row r="765" spans="1:6" x14ac:dyDescent="0.25">
      <c r="A765" t="s">
        <v>2034</v>
      </c>
      <c r="B765" t="s">
        <v>661</v>
      </c>
      <c r="C765" t="s">
        <v>113</v>
      </c>
      <c r="D765">
        <v>1</v>
      </c>
      <c r="E765" t="s">
        <v>1787</v>
      </c>
      <c r="F765" t="s">
        <v>2969</v>
      </c>
    </row>
    <row r="766" spans="1:6" x14ac:dyDescent="0.25">
      <c r="A766" t="s">
        <v>2034</v>
      </c>
      <c r="B766" t="s">
        <v>661</v>
      </c>
      <c r="C766" t="s">
        <v>113</v>
      </c>
      <c r="D766">
        <v>2</v>
      </c>
      <c r="E766" t="s">
        <v>1697</v>
      </c>
      <c r="F766" t="s">
        <v>2969</v>
      </c>
    </row>
    <row r="767" spans="1:6" x14ac:dyDescent="0.25">
      <c r="A767" t="s">
        <v>2035</v>
      </c>
      <c r="B767" t="s">
        <v>662</v>
      </c>
      <c r="C767" t="s">
        <v>73</v>
      </c>
      <c r="D767">
        <v>1</v>
      </c>
      <c r="E767" t="s">
        <v>1728</v>
      </c>
      <c r="F767" t="s">
        <v>2969</v>
      </c>
    </row>
    <row r="768" spans="1:6" x14ac:dyDescent="0.25">
      <c r="A768" t="s">
        <v>2035</v>
      </c>
      <c r="B768" t="s">
        <v>662</v>
      </c>
      <c r="C768" t="s">
        <v>73</v>
      </c>
      <c r="D768">
        <v>2</v>
      </c>
      <c r="E768" t="s">
        <v>1857</v>
      </c>
      <c r="F768" t="s">
        <v>2969</v>
      </c>
    </row>
    <row r="769" spans="1:6" x14ac:dyDescent="0.25">
      <c r="A769" t="s">
        <v>2035</v>
      </c>
      <c r="B769" t="s">
        <v>662</v>
      </c>
      <c r="C769" t="s">
        <v>73</v>
      </c>
      <c r="D769">
        <v>3</v>
      </c>
      <c r="E769" t="s">
        <v>1657</v>
      </c>
      <c r="F769" t="s">
        <v>2969</v>
      </c>
    </row>
    <row r="770" spans="1:6" x14ac:dyDescent="0.25">
      <c r="A770" t="s">
        <v>2035</v>
      </c>
      <c r="B770" t="s">
        <v>662</v>
      </c>
      <c r="C770" t="s">
        <v>73</v>
      </c>
      <c r="D770">
        <v>4</v>
      </c>
      <c r="E770" t="s">
        <v>1645</v>
      </c>
      <c r="F770" t="s">
        <v>2969</v>
      </c>
    </row>
    <row r="771" spans="1:6" x14ac:dyDescent="0.25">
      <c r="A771" t="s">
        <v>2036</v>
      </c>
      <c r="B771" t="s">
        <v>663</v>
      </c>
      <c r="C771" t="s">
        <v>20</v>
      </c>
      <c r="D771">
        <v>1</v>
      </c>
      <c r="E771" t="s">
        <v>109</v>
      </c>
      <c r="F771" t="s">
        <v>2969</v>
      </c>
    </row>
    <row r="772" spans="1:6" x14ac:dyDescent="0.25">
      <c r="A772" t="s">
        <v>2037</v>
      </c>
      <c r="B772" t="s">
        <v>665</v>
      </c>
      <c r="C772" t="s">
        <v>107</v>
      </c>
      <c r="D772">
        <v>1</v>
      </c>
      <c r="E772" t="s">
        <v>2038</v>
      </c>
      <c r="F772" t="s">
        <v>2969</v>
      </c>
    </row>
    <row r="773" spans="1:6" x14ac:dyDescent="0.25">
      <c r="A773" t="s">
        <v>2039</v>
      </c>
      <c r="B773" t="s">
        <v>666</v>
      </c>
      <c r="C773" t="s">
        <v>118</v>
      </c>
      <c r="D773">
        <v>1</v>
      </c>
      <c r="E773" t="s">
        <v>1695</v>
      </c>
      <c r="F773" t="s">
        <v>2969</v>
      </c>
    </row>
    <row r="774" spans="1:6" x14ac:dyDescent="0.25">
      <c r="A774" t="s">
        <v>2039</v>
      </c>
      <c r="B774" t="s">
        <v>666</v>
      </c>
      <c r="C774" t="s">
        <v>118</v>
      </c>
      <c r="D774">
        <v>2</v>
      </c>
      <c r="E774" t="s">
        <v>1891</v>
      </c>
      <c r="F774" t="s">
        <v>2969</v>
      </c>
    </row>
    <row r="775" spans="1:6" x14ac:dyDescent="0.25">
      <c r="A775" t="s">
        <v>2040</v>
      </c>
      <c r="B775" t="s">
        <v>667</v>
      </c>
      <c r="C775" t="s">
        <v>100</v>
      </c>
      <c r="D775">
        <v>1</v>
      </c>
      <c r="E775" t="s">
        <v>1751</v>
      </c>
      <c r="F775" t="s">
        <v>2969</v>
      </c>
    </row>
    <row r="776" spans="1:6" x14ac:dyDescent="0.25">
      <c r="A776" t="s">
        <v>2041</v>
      </c>
      <c r="B776" t="s">
        <v>668</v>
      </c>
      <c r="C776" t="s">
        <v>101</v>
      </c>
      <c r="D776">
        <v>1</v>
      </c>
      <c r="E776" t="s">
        <v>2042</v>
      </c>
      <c r="F776" t="s">
        <v>2969</v>
      </c>
    </row>
    <row r="777" spans="1:6" x14ac:dyDescent="0.25">
      <c r="A777" t="s">
        <v>2043</v>
      </c>
      <c r="B777" t="s">
        <v>669</v>
      </c>
      <c r="C777" t="s">
        <v>46</v>
      </c>
      <c r="D777">
        <v>1</v>
      </c>
      <c r="E777" t="s">
        <v>1621</v>
      </c>
      <c r="F777" t="s">
        <v>2969</v>
      </c>
    </row>
    <row r="778" spans="1:6" x14ac:dyDescent="0.25">
      <c r="A778" t="s">
        <v>2044</v>
      </c>
      <c r="B778" t="s">
        <v>670</v>
      </c>
      <c r="C778" t="s">
        <v>136</v>
      </c>
      <c r="D778">
        <v>1</v>
      </c>
      <c r="E778" t="s">
        <v>1879</v>
      </c>
      <c r="F778" t="s">
        <v>2969</v>
      </c>
    </row>
    <row r="779" spans="1:6" x14ac:dyDescent="0.25">
      <c r="A779" t="s">
        <v>2044</v>
      </c>
      <c r="B779" t="s">
        <v>670</v>
      </c>
      <c r="C779" t="s">
        <v>136</v>
      </c>
      <c r="D779">
        <v>2</v>
      </c>
      <c r="E779" t="s">
        <v>91</v>
      </c>
      <c r="F779" t="s">
        <v>2969</v>
      </c>
    </row>
    <row r="780" spans="1:6" x14ac:dyDescent="0.25">
      <c r="A780" t="s">
        <v>2044</v>
      </c>
      <c r="B780" t="s">
        <v>670</v>
      </c>
      <c r="C780" t="s">
        <v>136</v>
      </c>
      <c r="D780">
        <v>3</v>
      </c>
      <c r="E780" t="s">
        <v>1741</v>
      </c>
      <c r="F780" t="s">
        <v>2969</v>
      </c>
    </row>
    <row r="781" spans="1:6" x14ac:dyDescent="0.25">
      <c r="A781" t="s">
        <v>2045</v>
      </c>
      <c r="B781" t="s">
        <v>671</v>
      </c>
      <c r="C781" t="s">
        <v>134</v>
      </c>
      <c r="D781">
        <v>1</v>
      </c>
      <c r="E781" t="s">
        <v>2046</v>
      </c>
      <c r="F781" t="s">
        <v>2969</v>
      </c>
    </row>
    <row r="782" spans="1:6" x14ac:dyDescent="0.25">
      <c r="A782" t="s">
        <v>2045</v>
      </c>
      <c r="B782" t="s">
        <v>671</v>
      </c>
      <c r="C782" t="s">
        <v>134</v>
      </c>
      <c r="D782">
        <v>2</v>
      </c>
      <c r="E782" t="s">
        <v>1754</v>
      </c>
      <c r="F782" t="s">
        <v>2969</v>
      </c>
    </row>
    <row r="783" spans="1:6" x14ac:dyDescent="0.25">
      <c r="A783" t="s">
        <v>2047</v>
      </c>
      <c r="B783" t="s">
        <v>672</v>
      </c>
      <c r="C783" t="s">
        <v>92</v>
      </c>
      <c r="D783">
        <v>1</v>
      </c>
      <c r="E783" t="s">
        <v>51</v>
      </c>
      <c r="F783" t="s">
        <v>2969</v>
      </c>
    </row>
    <row r="784" spans="1:6" x14ac:dyDescent="0.25">
      <c r="A784" t="s">
        <v>2047</v>
      </c>
      <c r="B784" t="s">
        <v>672</v>
      </c>
      <c r="C784" t="s">
        <v>92</v>
      </c>
      <c r="D784">
        <v>2</v>
      </c>
      <c r="E784" t="s">
        <v>78</v>
      </c>
      <c r="F784" t="s">
        <v>2969</v>
      </c>
    </row>
    <row r="785" spans="1:6" x14ac:dyDescent="0.25">
      <c r="A785" t="s">
        <v>2048</v>
      </c>
      <c r="B785" t="s">
        <v>673</v>
      </c>
      <c r="C785" t="s">
        <v>127</v>
      </c>
      <c r="D785">
        <v>1</v>
      </c>
      <c r="E785" t="s">
        <v>1621</v>
      </c>
      <c r="F785" t="s">
        <v>2969</v>
      </c>
    </row>
    <row r="786" spans="1:6" x14ac:dyDescent="0.25">
      <c r="A786" t="s">
        <v>2048</v>
      </c>
      <c r="B786" t="s">
        <v>673</v>
      </c>
      <c r="C786" t="s">
        <v>127</v>
      </c>
      <c r="D786">
        <v>2</v>
      </c>
      <c r="E786" t="s">
        <v>1751</v>
      </c>
      <c r="F786" t="s">
        <v>2969</v>
      </c>
    </row>
    <row r="787" spans="1:6" x14ac:dyDescent="0.25">
      <c r="A787" t="s">
        <v>2048</v>
      </c>
      <c r="B787" t="s">
        <v>673</v>
      </c>
      <c r="C787" t="s">
        <v>127</v>
      </c>
      <c r="D787">
        <v>3</v>
      </c>
      <c r="E787" t="s">
        <v>1934</v>
      </c>
      <c r="F787" t="s">
        <v>2969</v>
      </c>
    </row>
    <row r="788" spans="1:6" x14ac:dyDescent="0.25">
      <c r="A788" t="s">
        <v>2049</v>
      </c>
      <c r="B788" t="s">
        <v>675</v>
      </c>
      <c r="C788" t="s">
        <v>101</v>
      </c>
      <c r="D788">
        <v>1</v>
      </c>
      <c r="E788" t="s">
        <v>1795</v>
      </c>
      <c r="F788" t="s">
        <v>2969</v>
      </c>
    </row>
    <row r="789" spans="1:6" x14ac:dyDescent="0.25">
      <c r="A789" t="s">
        <v>2049</v>
      </c>
      <c r="B789" t="s">
        <v>675</v>
      </c>
      <c r="C789" t="s">
        <v>101</v>
      </c>
      <c r="D789">
        <v>2</v>
      </c>
      <c r="E789" t="s">
        <v>1908</v>
      </c>
      <c r="F789" t="s">
        <v>2969</v>
      </c>
    </row>
    <row r="790" spans="1:6" x14ac:dyDescent="0.25">
      <c r="A790" t="s">
        <v>2049</v>
      </c>
      <c r="B790" t="s">
        <v>675</v>
      </c>
      <c r="C790" t="s">
        <v>101</v>
      </c>
      <c r="D790">
        <v>3</v>
      </c>
      <c r="E790" t="s">
        <v>2344</v>
      </c>
      <c r="F790" t="s">
        <v>2969</v>
      </c>
    </row>
    <row r="791" spans="1:6" x14ac:dyDescent="0.25">
      <c r="A791" t="s">
        <v>2050</v>
      </c>
      <c r="B791" t="s">
        <v>676</v>
      </c>
      <c r="C791" t="s">
        <v>39</v>
      </c>
      <c r="D791">
        <v>1</v>
      </c>
      <c r="E791" t="s">
        <v>1670</v>
      </c>
      <c r="F791" t="s">
        <v>2969</v>
      </c>
    </row>
    <row r="792" spans="1:6" x14ac:dyDescent="0.25">
      <c r="A792" t="s">
        <v>2051</v>
      </c>
      <c r="B792" t="s">
        <v>677</v>
      </c>
      <c r="C792" t="s">
        <v>125</v>
      </c>
      <c r="D792">
        <v>1</v>
      </c>
      <c r="E792" t="s">
        <v>133</v>
      </c>
      <c r="F792" t="s">
        <v>2969</v>
      </c>
    </row>
    <row r="793" spans="1:6" x14ac:dyDescent="0.25">
      <c r="A793" t="s">
        <v>2051</v>
      </c>
      <c r="B793" t="s">
        <v>677</v>
      </c>
      <c r="C793" t="s">
        <v>125</v>
      </c>
      <c r="D793">
        <v>2</v>
      </c>
      <c r="E793" t="s">
        <v>1680</v>
      </c>
      <c r="F793" t="s">
        <v>2969</v>
      </c>
    </row>
    <row r="794" spans="1:6" x14ac:dyDescent="0.25">
      <c r="A794" t="s">
        <v>2051</v>
      </c>
      <c r="B794" t="s">
        <v>677</v>
      </c>
      <c r="C794" t="s">
        <v>125</v>
      </c>
      <c r="D794">
        <v>3</v>
      </c>
      <c r="E794" t="s">
        <v>1704</v>
      </c>
      <c r="F794" t="s">
        <v>2969</v>
      </c>
    </row>
    <row r="795" spans="1:6" x14ac:dyDescent="0.25">
      <c r="A795" t="s">
        <v>2052</v>
      </c>
      <c r="B795" t="s">
        <v>678</v>
      </c>
      <c r="C795" t="s">
        <v>123</v>
      </c>
      <c r="D795">
        <v>1</v>
      </c>
      <c r="E795" t="s">
        <v>1678</v>
      </c>
      <c r="F795" t="s">
        <v>2969</v>
      </c>
    </row>
    <row r="796" spans="1:6" x14ac:dyDescent="0.25">
      <c r="A796" t="s">
        <v>2052</v>
      </c>
      <c r="B796" t="s">
        <v>678</v>
      </c>
      <c r="C796" t="s">
        <v>123</v>
      </c>
      <c r="D796">
        <v>2</v>
      </c>
      <c r="E796" t="s">
        <v>1844</v>
      </c>
      <c r="F796" t="s">
        <v>2969</v>
      </c>
    </row>
    <row r="797" spans="1:6" x14ac:dyDescent="0.25">
      <c r="A797" t="s">
        <v>2052</v>
      </c>
      <c r="B797" t="s">
        <v>678</v>
      </c>
      <c r="C797" t="s">
        <v>123</v>
      </c>
      <c r="D797">
        <v>3</v>
      </c>
      <c r="E797" t="s">
        <v>2456</v>
      </c>
      <c r="F797" t="s">
        <v>2969</v>
      </c>
    </row>
    <row r="798" spans="1:6" x14ac:dyDescent="0.25">
      <c r="A798" t="s">
        <v>2052</v>
      </c>
      <c r="B798" t="s">
        <v>678</v>
      </c>
      <c r="C798" t="s">
        <v>123</v>
      </c>
      <c r="D798">
        <v>4</v>
      </c>
      <c r="E798" t="s">
        <v>2064</v>
      </c>
      <c r="F798" t="s">
        <v>2969</v>
      </c>
    </row>
    <row r="799" spans="1:6" x14ac:dyDescent="0.25">
      <c r="A799" t="s">
        <v>2053</v>
      </c>
      <c r="B799" t="s">
        <v>680</v>
      </c>
      <c r="C799" t="s">
        <v>39</v>
      </c>
      <c r="D799">
        <v>1</v>
      </c>
      <c r="E799" t="s">
        <v>1699</v>
      </c>
      <c r="F799" t="s">
        <v>2969</v>
      </c>
    </row>
    <row r="800" spans="1:6" x14ac:dyDescent="0.25">
      <c r="A800" t="s">
        <v>2053</v>
      </c>
      <c r="B800" t="s">
        <v>680</v>
      </c>
      <c r="C800" t="s">
        <v>39</v>
      </c>
      <c r="D800">
        <v>2</v>
      </c>
      <c r="E800" t="s">
        <v>1647</v>
      </c>
      <c r="F800" t="s">
        <v>2969</v>
      </c>
    </row>
    <row r="801" spans="1:6" x14ac:dyDescent="0.25">
      <c r="A801" t="s">
        <v>2053</v>
      </c>
      <c r="B801" t="s">
        <v>680</v>
      </c>
      <c r="C801" t="s">
        <v>39</v>
      </c>
      <c r="D801">
        <v>3</v>
      </c>
      <c r="E801" t="s">
        <v>1795</v>
      </c>
      <c r="F801" t="s">
        <v>2969</v>
      </c>
    </row>
    <row r="802" spans="1:6" x14ac:dyDescent="0.25">
      <c r="A802" t="s">
        <v>2053</v>
      </c>
      <c r="B802" t="s">
        <v>680</v>
      </c>
      <c r="C802" t="s">
        <v>39</v>
      </c>
      <c r="D802">
        <v>4</v>
      </c>
      <c r="E802" t="s">
        <v>1869</v>
      </c>
      <c r="F802" t="s">
        <v>2969</v>
      </c>
    </row>
    <row r="803" spans="1:6" x14ac:dyDescent="0.25">
      <c r="A803" t="s">
        <v>2053</v>
      </c>
      <c r="B803" t="s">
        <v>680</v>
      </c>
      <c r="C803" t="s">
        <v>39</v>
      </c>
      <c r="D803">
        <v>5</v>
      </c>
      <c r="E803" t="s">
        <v>84</v>
      </c>
      <c r="F803" t="s">
        <v>2969</v>
      </c>
    </row>
    <row r="804" spans="1:6" x14ac:dyDescent="0.25">
      <c r="A804" t="s">
        <v>2053</v>
      </c>
      <c r="B804" t="s">
        <v>680</v>
      </c>
      <c r="C804" t="s">
        <v>39</v>
      </c>
      <c r="D804">
        <v>6</v>
      </c>
      <c r="E804" t="s">
        <v>99</v>
      </c>
      <c r="F804" t="s">
        <v>2969</v>
      </c>
    </row>
    <row r="805" spans="1:6" x14ac:dyDescent="0.25">
      <c r="A805" t="s">
        <v>2053</v>
      </c>
      <c r="B805" t="s">
        <v>680</v>
      </c>
      <c r="C805" t="s">
        <v>39</v>
      </c>
      <c r="D805">
        <v>7</v>
      </c>
      <c r="E805" t="s">
        <v>72</v>
      </c>
      <c r="F805" t="s">
        <v>1692</v>
      </c>
    </row>
    <row r="806" spans="1:6" x14ac:dyDescent="0.25">
      <c r="A806" t="s">
        <v>2054</v>
      </c>
      <c r="B806" t="s">
        <v>682</v>
      </c>
      <c r="C806" t="s">
        <v>56</v>
      </c>
      <c r="D806">
        <v>1</v>
      </c>
      <c r="E806" t="s">
        <v>135</v>
      </c>
      <c r="F806" t="s">
        <v>2969</v>
      </c>
    </row>
    <row r="807" spans="1:6" x14ac:dyDescent="0.25">
      <c r="A807" t="s">
        <v>2055</v>
      </c>
      <c r="B807" t="s">
        <v>684</v>
      </c>
      <c r="C807" t="s">
        <v>27</v>
      </c>
      <c r="D807">
        <v>1</v>
      </c>
      <c r="E807" t="s">
        <v>1915</v>
      </c>
      <c r="F807" t="s">
        <v>2969</v>
      </c>
    </row>
    <row r="808" spans="1:6" x14ac:dyDescent="0.25">
      <c r="A808" t="s">
        <v>2055</v>
      </c>
      <c r="B808" t="s">
        <v>684</v>
      </c>
      <c r="C808" t="s">
        <v>27</v>
      </c>
      <c r="D808">
        <v>2</v>
      </c>
      <c r="E808" t="s">
        <v>70</v>
      </c>
      <c r="F808" t="s">
        <v>2969</v>
      </c>
    </row>
    <row r="809" spans="1:6" x14ac:dyDescent="0.25">
      <c r="A809" t="s">
        <v>2055</v>
      </c>
      <c r="B809" t="s">
        <v>684</v>
      </c>
      <c r="C809" t="s">
        <v>27</v>
      </c>
      <c r="D809">
        <v>3</v>
      </c>
      <c r="E809" t="s">
        <v>1661</v>
      </c>
      <c r="F809" t="s">
        <v>2969</v>
      </c>
    </row>
    <row r="810" spans="1:6" x14ac:dyDescent="0.25">
      <c r="A810" t="s">
        <v>2056</v>
      </c>
      <c r="B810" t="s">
        <v>685</v>
      </c>
      <c r="C810" t="s">
        <v>27</v>
      </c>
      <c r="D810">
        <v>1</v>
      </c>
      <c r="E810" t="s">
        <v>1704</v>
      </c>
      <c r="F810" t="s">
        <v>2969</v>
      </c>
    </row>
    <row r="811" spans="1:6" x14ac:dyDescent="0.25">
      <c r="A811" t="s">
        <v>2056</v>
      </c>
      <c r="B811" t="s">
        <v>685</v>
      </c>
      <c r="C811" t="s">
        <v>27</v>
      </c>
      <c r="D811">
        <v>2</v>
      </c>
      <c r="E811" t="s">
        <v>1724</v>
      </c>
      <c r="F811" t="s">
        <v>2969</v>
      </c>
    </row>
    <row r="812" spans="1:6" x14ac:dyDescent="0.25">
      <c r="A812" t="s">
        <v>2056</v>
      </c>
      <c r="B812" t="s">
        <v>685</v>
      </c>
      <c r="C812" t="s">
        <v>27</v>
      </c>
      <c r="D812">
        <v>3</v>
      </c>
      <c r="E812" t="s">
        <v>1687</v>
      </c>
      <c r="F812" t="s">
        <v>2969</v>
      </c>
    </row>
    <row r="813" spans="1:6" x14ac:dyDescent="0.25">
      <c r="A813" t="s">
        <v>2057</v>
      </c>
      <c r="B813" t="s">
        <v>687</v>
      </c>
      <c r="C813" t="s">
        <v>46</v>
      </c>
      <c r="D813">
        <v>1</v>
      </c>
      <c r="E813" t="s">
        <v>1657</v>
      </c>
      <c r="F813" t="s">
        <v>2969</v>
      </c>
    </row>
    <row r="814" spans="1:6" x14ac:dyDescent="0.25">
      <c r="A814" t="s">
        <v>2057</v>
      </c>
      <c r="B814" t="s">
        <v>687</v>
      </c>
      <c r="C814" t="s">
        <v>46</v>
      </c>
      <c r="D814">
        <v>2</v>
      </c>
      <c r="E814" t="s">
        <v>2751</v>
      </c>
      <c r="F814" t="s">
        <v>2969</v>
      </c>
    </row>
    <row r="815" spans="1:6" x14ac:dyDescent="0.25">
      <c r="A815" t="s">
        <v>2058</v>
      </c>
      <c r="B815" t="s">
        <v>689</v>
      </c>
      <c r="C815" t="s">
        <v>90</v>
      </c>
      <c r="D815">
        <v>1</v>
      </c>
      <c r="E815" t="s">
        <v>2003</v>
      </c>
      <c r="F815" t="s">
        <v>2969</v>
      </c>
    </row>
    <row r="816" spans="1:6" x14ac:dyDescent="0.25">
      <c r="A816" t="s">
        <v>2058</v>
      </c>
      <c r="B816" t="s">
        <v>689</v>
      </c>
      <c r="C816" t="s">
        <v>90</v>
      </c>
      <c r="D816">
        <v>2</v>
      </c>
      <c r="E816" t="s">
        <v>1781</v>
      </c>
      <c r="F816" t="s">
        <v>2969</v>
      </c>
    </row>
    <row r="817" spans="1:6" x14ac:dyDescent="0.25">
      <c r="A817" t="s">
        <v>2058</v>
      </c>
      <c r="B817" t="s">
        <v>689</v>
      </c>
      <c r="C817" t="s">
        <v>90</v>
      </c>
      <c r="D817">
        <v>3</v>
      </c>
      <c r="E817" t="s">
        <v>1678</v>
      </c>
      <c r="F817" t="s">
        <v>2969</v>
      </c>
    </row>
    <row r="818" spans="1:6" x14ac:dyDescent="0.25">
      <c r="A818" t="s">
        <v>2058</v>
      </c>
      <c r="B818" t="s">
        <v>689</v>
      </c>
      <c r="C818" t="s">
        <v>90</v>
      </c>
      <c r="D818">
        <v>4</v>
      </c>
      <c r="E818" t="s">
        <v>2115</v>
      </c>
      <c r="F818" t="s">
        <v>2969</v>
      </c>
    </row>
    <row r="819" spans="1:6" x14ac:dyDescent="0.25">
      <c r="A819" t="s">
        <v>2058</v>
      </c>
      <c r="B819" t="s">
        <v>689</v>
      </c>
      <c r="C819" t="s">
        <v>90</v>
      </c>
      <c r="D819">
        <v>5</v>
      </c>
      <c r="E819" t="s">
        <v>2460</v>
      </c>
      <c r="F819" t="s">
        <v>2969</v>
      </c>
    </row>
    <row r="820" spans="1:6" x14ac:dyDescent="0.25">
      <c r="A820" t="s">
        <v>2059</v>
      </c>
      <c r="B820" t="s">
        <v>690</v>
      </c>
      <c r="C820" t="s">
        <v>121</v>
      </c>
      <c r="D820">
        <v>1</v>
      </c>
      <c r="E820" t="s">
        <v>1812</v>
      </c>
      <c r="F820" t="s">
        <v>2969</v>
      </c>
    </row>
    <row r="821" spans="1:6" x14ac:dyDescent="0.25">
      <c r="A821" t="s">
        <v>2059</v>
      </c>
      <c r="B821" t="s">
        <v>690</v>
      </c>
      <c r="C821" t="s">
        <v>121</v>
      </c>
      <c r="D821">
        <v>2</v>
      </c>
      <c r="E821" t="s">
        <v>78</v>
      </c>
      <c r="F821" t="s">
        <v>2969</v>
      </c>
    </row>
    <row r="822" spans="1:6" x14ac:dyDescent="0.25">
      <c r="A822" t="s">
        <v>2059</v>
      </c>
      <c r="B822" t="s">
        <v>690</v>
      </c>
      <c r="C822" t="s">
        <v>121</v>
      </c>
      <c r="D822">
        <v>3</v>
      </c>
      <c r="E822" t="s">
        <v>2751</v>
      </c>
      <c r="F822" t="s">
        <v>2969</v>
      </c>
    </row>
    <row r="823" spans="1:6" x14ac:dyDescent="0.25">
      <c r="A823" t="s">
        <v>2060</v>
      </c>
      <c r="B823" t="s">
        <v>691</v>
      </c>
      <c r="C823" t="s">
        <v>101</v>
      </c>
      <c r="D823">
        <v>1</v>
      </c>
      <c r="E823" t="s">
        <v>120</v>
      </c>
      <c r="F823" t="s">
        <v>2969</v>
      </c>
    </row>
    <row r="824" spans="1:6" x14ac:dyDescent="0.25">
      <c r="A824" t="s">
        <v>2061</v>
      </c>
      <c r="B824" t="s">
        <v>692</v>
      </c>
      <c r="C824" t="s">
        <v>112</v>
      </c>
      <c r="D824">
        <v>1</v>
      </c>
      <c r="E824" t="s">
        <v>1785</v>
      </c>
      <c r="F824" t="s">
        <v>2969</v>
      </c>
    </row>
    <row r="825" spans="1:6" x14ac:dyDescent="0.25">
      <c r="A825" t="s">
        <v>2061</v>
      </c>
      <c r="B825" t="s">
        <v>692</v>
      </c>
      <c r="C825" t="s">
        <v>112</v>
      </c>
      <c r="D825">
        <v>2</v>
      </c>
      <c r="E825" t="s">
        <v>1651</v>
      </c>
      <c r="F825" t="s">
        <v>2969</v>
      </c>
    </row>
    <row r="826" spans="1:6" x14ac:dyDescent="0.25">
      <c r="A826" t="s">
        <v>2062</v>
      </c>
      <c r="B826" t="s">
        <v>693</v>
      </c>
      <c r="C826" t="s">
        <v>113</v>
      </c>
      <c r="D826">
        <v>1</v>
      </c>
      <c r="E826" t="s">
        <v>99</v>
      </c>
      <c r="F826" t="s">
        <v>2969</v>
      </c>
    </row>
    <row r="827" spans="1:6" x14ac:dyDescent="0.25">
      <c r="A827" t="s">
        <v>2063</v>
      </c>
      <c r="B827" t="s">
        <v>694</v>
      </c>
      <c r="C827" t="s">
        <v>94</v>
      </c>
      <c r="D827">
        <v>1</v>
      </c>
      <c r="E827" t="s">
        <v>2064</v>
      </c>
      <c r="F827" t="s">
        <v>2969</v>
      </c>
    </row>
    <row r="828" spans="1:6" x14ac:dyDescent="0.25">
      <c r="A828" t="s">
        <v>2063</v>
      </c>
      <c r="B828" t="s">
        <v>694</v>
      </c>
      <c r="C828" t="s">
        <v>94</v>
      </c>
      <c r="D828">
        <v>2</v>
      </c>
      <c r="E828" t="s">
        <v>2380</v>
      </c>
      <c r="F828" t="s">
        <v>2969</v>
      </c>
    </row>
    <row r="829" spans="1:6" x14ac:dyDescent="0.25">
      <c r="A829" t="s">
        <v>2063</v>
      </c>
      <c r="B829" t="s">
        <v>694</v>
      </c>
      <c r="C829" t="s">
        <v>94</v>
      </c>
      <c r="D829">
        <v>3</v>
      </c>
      <c r="E829" t="s">
        <v>2973</v>
      </c>
      <c r="F829" t="s">
        <v>2969</v>
      </c>
    </row>
    <row r="830" spans="1:6" x14ac:dyDescent="0.25">
      <c r="A830" t="s">
        <v>2063</v>
      </c>
      <c r="B830" t="s">
        <v>694</v>
      </c>
      <c r="C830" t="s">
        <v>94</v>
      </c>
      <c r="D830">
        <v>4</v>
      </c>
      <c r="E830" t="s">
        <v>2972</v>
      </c>
      <c r="F830" t="s">
        <v>2969</v>
      </c>
    </row>
    <row r="831" spans="1:6" x14ac:dyDescent="0.25">
      <c r="A831" t="s">
        <v>2065</v>
      </c>
      <c r="B831" t="s">
        <v>696</v>
      </c>
      <c r="C831" t="s">
        <v>97</v>
      </c>
      <c r="D831">
        <v>1</v>
      </c>
      <c r="E831" t="s">
        <v>1637</v>
      </c>
      <c r="F831" t="s">
        <v>2969</v>
      </c>
    </row>
    <row r="832" spans="1:6" x14ac:dyDescent="0.25">
      <c r="A832" t="s">
        <v>2065</v>
      </c>
      <c r="B832" t="s">
        <v>696</v>
      </c>
      <c r="C832" t="s">
        <v>97</v>
      </c>
      <c r="D832">
        <v>2</v>
      </c>
      <c r="E832" t="s">
        <v>1721</v>
      </c>
      <c r="F832" t="s">
        <v>2969</v>
      </c>
    </row>
    <row r="833" spans="1:6" x14ac:dyDescent="0.25">
      <c r="A833" t="s">
        <v>2065</v>
      </c>
      <c r="B833" t="s">
        <v>696</v>
      </c>
      <c r="C833" t="s">
        <v>97</v>
      </c>
      <c r="D833">
        <v>3</v>
      </c>
      <c r="E833" t="s">
        <v>1709</v>
      </c>
      <c r="F833" t="s">
        <v>2969</v>
      </c>
    </row>
    <row r="834" spans="1:6" x14ac:dyDescent="0.25">
      <c r="A834" t="s">
        <v>2065</v>
      </c>
      <c r="B834" t="s">
        <v>696</v>
      </c>
      <c r="C834" t="s">
        <v>97</v>
      </c>
      <c r="D834">
        <v>4</v>
      </c>
      <c r="E834" t="s">
        <v>75</v>
      </c>
      <c r="F834" t="s">
        <v>2969</v>
      </c>
    </row>
    <row r="835" spans="1:6" x14ac:dyDescent="0.25">
      <c r="A835" t="s">
        <v>2065</v>
      </c>
      <c r="B835" t="s">
        <v>696</v>
      </c>
      <c r="C835" t="s">
        <v>97</v>
      </c>
      <c r="D835">
        <v>5</v>
      </c>
      <c r="E835" t="s">
        <v>1728</v>
      </c>
      <c r="F835" t="s">
        <v>2969</v>
      </c>
    </row>
    <row r="836" spans="1:6" x14ac:dyDescent="0.25">
      <c r="A836" t="s">
        <v>2065</v>
      </c>
      <c r="B836" t="s">
        <v>696</v>
      </c>
      <c r="C836" t="s">
        <v>97</v>
      </c>
      <c r="D836">
        <v>6</v>
      </c>
      <c r="E836" t="s">
        <v>1772</v>
      </c>
      <c r="F836" t="s">
        <v>2969</v>
      </c>
    </row>
    <row r="837" spans="1:6" x14ac:dyDescent="0.25">
      <c r="A837" t="s">
        <v>2065</v>
      </c>
      <c r="B837" t="s">
        <v>696</v>
      </c>
      <c r="C837" t="s">
        <v>97</v>
      </c>
      <c r="D837">
        <v>7</v>
      </c>
      <c r="E837" t="s">
        <v>78</v>
      </c>
      <c r="F837" t="s">
        <v>1692</v>
      </c>
    </row>
    <row r="838" spans="1:6" x14ac:dyDescent="0.25">
      <c r="A838" t="s">
        <v>2066</v>
      </c>
      <c r="B838" t="s">
        <v>698</v>
      </c>
      <c r="C838" t="s">
        <v>66</v>
      </c>
      <c r="D838">
        <v>1</v>
      </c>
      <c r="E838" t="s">
        <v>2064</v>
      </c>
      <c r="F838" t="s">
        <v>2969</v>
      </c>
    </row>
    <row r="839" spans="1:6" x14ac:dyDescent="0.25">
      <c r="A839" t="s">
        <v>2066</v>
      </c>
      <c r="B839" t="s">
        <v>698</v>
      </c>
      <c r="C839" t="s">
        <v>66</v>
      </c>
      <c r="D839">
        <v>2</v>
      </c>
      <c r="E839" t="s">
        <v>2380</v>
      </c>
      <c r="F839" t="s">
        <v>2969</v>
      </c>
    </row>
    <row r="840" spans="1:6" x14ac:dyDescent="0.25">
      <c r="A840" t="s">
        <v>2066</v>
      </c>
      <c r="B840" t="s">
        <v>698</v>
      </c>
      <c r="C840" t="s">
        <v>66</v>
      </c>
      <c r="D840">
        <v>3</v>
      </c>
      <c r="E840" t="s">
        <v>2973</v>
      </c>
      <c r="F840" t="s">
        <v>2969</v>
      </c>
    </row>
    <row r="841" spans="1:6" x14ac:dyDescent="0.25">
      <c r="A841" t="s">
        <v>2067</v>
      </c>
      <c r="B841" t="s">
        <v>699</v>
      </c>
      <c r="C841" t="s">
        <v>65</v>
      </c>
      <c r="D841">
        <v>1</v>
      </c>
      <c r="E841" t="s">
        <v>1643</v>
      </c>
      <c r="F841" t="s">
        <v>2969</v>
      </c>
    </row>
    <row r="842" spans="1:6" x14ac:dyDescent="0.25">
      <c r="A842" t="s">
        <v>2068</v>
      </c>
      <c r="B842" t="s">
        <v>700</v>
      </c>
      <c r="C842" t="s">
        <v>76</v>
      </c>
      <c r="D842">
        <v>1</v>
      </c>
      <c r="E842" t="s">
        <v>1862</v>
      </c>
      <c r="F842" t="s">
        <v>2969</v>
      </c>
    </row>
    <row r="843" spans="1:6" x14ac:dyDescent="0.25">
      <c r="A843" t="s">
        <v>2068</v>
      </c>
      <c r="B843" t="s">
        <v>700</v>
      </c>
      <c r="C843" t="s">
        <v>76</v>
      </c>
      <c r="D843">
        <v>2</v>
      </c>
      <c r="E843" t="s">
        <v>111</v>
      </c>
      <c r="F843" t="s">
        <v>2969</v>
      </c>
    </row>
    <row r="844" spans="1:6" x14ac:dyDescent="0.25">
      <c r="A844" t="s">
        <v>2069</v>
      </c>
      <c r="B844" t="s">
        <v>701</v>
      </c>
      <c r="C844" t="s">
        <v>123</v>
      </c>
      <c r="D844">
        <v>1</v>
      </c>
      <c r="E844" t="s">
        <v>111</v>
      </c>
      <c r="F844" t="s">
        <v>2969</v>
      </c>
    </row>
    <row r="845" spans="1:6" x14ac:dyDescent="0.25">
      <c r="A845" t="s">
        <v>2069</v>
      </c>
      <c r="B845" t="s">
        <v>701</v>
      </c>
      <c r="C845" t="s">
        <v>123</v>
      </c>
      <c r="D845">
        <v>2</v>
      </c>
      <c r="E845" t="s">
        <v>1645</v>
      </c>
      <c r="F845" t="s">
        <v>2969</v>
      </c>
    </row>
    <row r="846" spans="1:6" x14ac:dyDescent="0.25">
      <c r="A846" t="s">
        <v>2069</v>
      </c>
      <c r="B846" t="s">
        <v>701</v>
      </c>
      <c r="C846" t="s">
        <v>123</v>
      </c>
      <c r="D846">
        <v>3</v>
      </c>
      <c r="E846" t="s">
        <v>1639</v>
      </c>
      <c r="F846" t="s">
        <v>2969</v>
      </c>
    </row>
    <row r="847" spans="1:6" x14ac:dyDescent="0.25">
      <c r="A847" t="s">
        <v>2069</v>
      </c>
      <c r="B847" t="s">
        <v>701</v>
      </c>
      <c r="C847" t="s">
        <v>123</v>
      </c>
      <c r="D847">
        <v>4</v>
      </c>
      <c r="E847" t="s">
        <v>1751</v>
      </c>
      <c r="F847" t="s">
        <v>2969</v>
      </c>
    </row>
    <row r="848" spans="1:6" x14ac:dyDescent="0.25">
      <c r="A848" t="s">
        <v>2070</v>
      </c>
      <c r="B848" t="s">
        <v>703</v>
      </c>
      <c r="C848" t="s">
        <v>20</v>
      </c>
      <c r="D848">
        <v>1</v>
      </c>
      <c r="E848" t="s">
        <v>2071</v>
      </c>
      <c r="F848" t="s">
        <v>2969</v>
      </c>
    </row>
    <row r="849" spans="1:6" x14ac:dyDescent="0.25">
      <c r="A849" t="s">
        <v>2070</v>
      </c>
      <c r="B849" t="s">
        <v>703</v>
      </c>
      <c r="C849" t="s">
        <v>20</v>
      </c>
      <c r="D849">
        <v>2</v>
      </c>
      <c r="E849" t="s">
        <v>120</v>
      </c>
      <c r="F849" t="s">
        <v>2969</v>
      </c>
    </row>
    <row r="850" spans="1:6" x14ac:dyDescent="0.25">
      <c r="A850" t="s">
        <v>2072</v>
      </c>
      <c r="B850" t="s">
        <v>704</v>
      </c>
      <c r="C850" t="s">
        <v>127</v>
      </c>
      <c r="D850">
        <v>1</v>
      </c>
      <c r="E850" t="s">
        <v>64</v>
      </c>
      <c r="F850" t="s">
        <v>2969</v>
      </c>
    </row>
    <row r="851" spans="1:6" x14ac:dyDescent="0.25">
      <c r="A851" t="s">
        <v>2072</v>
      </c>
      <c r="B851" t="s">
        <v>704</v>
      </c>
      <c r="C851" t="s">
        <v>127</v>
      </c>
      <c r="D851">
        <v>2</v>
      </c>
      <c r="E851" t="s">
        <v>1645</v>
      </c>
      <c r="F851" t="s">
        <v>2969</v>
      </c>
    </row>
    <row r="852" spans="1:6" x14ac:dyDescent="0.25">
      <c r="A852" t="s">
        <v>2072</v>
      </c>
      <c r="B852" t="s">
        <v>704</v>
      </c>
      <c r="C852" t="s">
        <v>127</v>
      </c>
      <c r="D852">
        <v>3</v>
      </c>
      <c r="E852" t="s">
        <v>1624</v>
      </c>
      <c r="F852" t="s">
        <v>2969</v>
      </c>
    </row>
    <row r="853" spans="1:6" x14ac:dyDescent="0.25">
      <c r="A853" t="s">
        <v>2073</v>
      </c>
      <c r="B853" t="s">
        <v>705</v>
      </c>
      <c r="C853" t="s">
        <v>112</v>
      </c>
      <c r="D853">
        <v>1</v>
      </c>
      <c r="E853" t="s">
        <v>1649</v>
      </c>
      <c r="F853" t="s">
        <v>2969</v>
      </c>
    </row>
    <row r="854" spans="1:6" x14ac:dyDescent="0.25">
      <c r="A854" t="s">
        <v>2073</v>
      </c>
      <c r="B854" t="s">
        <v>705</v>
      </c>
      <c r="C854" t="s">
        <v>112</v>
      </c>
      <c r="D854">
        <v>2</v>
      </c>
      <c r="E854" t="s">
        <v>1787</v>
      </c>
      <c r="F854" t="s">
        <v>2969</v>
      </c>
    </row>
    <row r="855" spans="1:6" x14ac:dyDescent="0.25">
      <c r="A855" t="s">
        <v>2073</v>
      </c>
      <c r="B855" t="s">
        <v>705</v>
      </c>
      <c r="C855" t="s">
        <v>112</v>
      </c>
      <c r="D855">
        <v>3</v>
      </c>
      <c r="E855" t="s">
        <v>1707</v>
      </c>
      <c r="F855" t="s">
        <v>2969</v>
      </c>
    </row>
    <row r="856" spans="1:6" x14ac:dyDescent="0.25">
      <c r="A856" t="s">
        <v>2074</v>
      </c>
      <c r="B856" t="s">
        <v>707</v>
      </c>
      <c r="C856" t="s">
        <v>103</v>
      </c>
      <c r="D856">
        <v>1</v>
      </c>
      <c r="E856" t="s">
        <v>124</v>
      </c>
      <c r="F856" t="s">
        <v>2969</v>
      </c>
    </row>
    <row r="857" spans="1:6" x14ac:dyDescent="0.25">
      <c r="A857" t="s">
        <v>2074</v>
      </c>
      <c r="B857" t="s">
        <v>707</v>
      </c>
      <c r="C857" t="s">
        <v>103</v>
      </c>
      <c r="D857">
        <v>2</v>
      </c>
      <c r="E857" t="s">
        <v>1728</v>
      </c>
      <c r="F857" t="s">
        <v>2969</v>
      </c>
    </row>
    <row r="858" spans="1:6" x14ac:dyDescent="0.25">
      <c r="A858" t="s">
        <v>2074</v>
      </c>
      <c r="B858" t="s">
        <v>707</v>
      </c>
      <c r="C858" t="s">
        <v>103</v>
      </c>
      <c r="D858">
        <v>3</v>
      </c>
      <c r="E858" t="s">
        <v>78</v>
      </c>
      <c r="F858" t="s">
        <v>2969</v>
      </c>
    </row>
    <row r="859" spans="1:6" x14ac:dyDescent="0.25">
      <c r="A859" t="s">
        <v>2074</v>
      </c>
      <c r="B859" t="s">
        <v>707</v>
      </c>
      <c r="C859" t="s">
        <v>103</v>
      </c>
      <c r="D859">
        <v>4</v>
      </c>
      <c r="E859" t="s">
        <v>64</v>
      </c>
      <c r="F859" t="s">
        <v>2969</v>
      </c>
    </row>
    <row r="860" spans="1:6" x14ac:dyDescent="0.25">
      <c r="A860" t="s">
        <v>2075</v>
      </c>
      <c r="B860" t="s">
        <v>708</v>
      </c>
      <c r="C860" t="s">
        <v>118</v>
      </c>
      <c r="D860">
        <v>1</v>
      </c>
      <c r="E860" t="s">
        <v>1850</v>
      </c>
      <c r="F860" t="s">
        <v>2969</v>
      </c>
    </row>
    <row r="861" spans="1:6" x14ac:dyDescent="0.25">
      <c r="A861" t="s">
        <v>2075</v>
      </c>
      <c r="B861" t="s">
        <v>708</v>
      </c>
      <c r="C861" t="s">
        <v>118</v>
      </c>
      <c r="D861">
        <v>2</v>
      </c>
      <c r="E861" t="s">
        <v>1695</v>
      </c>
      <c r="F861" t="s">
        <v>2969</v>
      </c>
    </row>
    <row r="862" spans="1:6" x14ac:dyDescent="0.25">
      <c r="A862" t="s">
        <v>2075</v>
      </c>
      <c r="B862" t="s">
        <v>708</v>
      </c>
      <c r="C862" t="s">
        <v>118</v>
      </c>
      <c r="D862">
        <v>3</v>
      </c>
      <c r="E862" t="s">
        <v>1685</v>
      </c>
      <c r="F862" t="s">
        <v>2969</v>
      </c>
    </row>
    <row r="863" spans="1:6" x14ac:dyDescent="0.25">
      <c r="A863" t="s">
        <v>2076</v>
      </c>
      <c r="B863" t="s">
        <v>709</v>
      </c>
      <c r="C863" t="s">
        <v>113</v>
      </c>
      <c r="D863">
        <v>1</v>
      </c>
      <c r="E863" t="s">
        <v>22</v>
      </c>
      <c r="F863" t="s">
        <v>2969</v>
      </c>
    </row>
    <row r="864" spans="1:6" x14ac:dyDescent="0.25">
      <c r="A864" t="s">
        <v>2076</v>
      </c>
      <c r="B864" t="s">
        <v>709</v>
      </c>
      <c r="C864" t="s">
        <v>113</v>
      </c>
      <c r="D864">
        <v>2</v>
      </c>
      <c r="E864" t="s">
        <v>1731</v>
      </c>
      <c r="F864" t="s">
        <v>2969</v>
      </c>
    </row>
    <row r="865" spans="1:6" x14ac:dyDescent="0.25">
      <c r="A865" t="s">
        <v>2077</v>
      </c>
      <c r="B865" t="s">
        <v>710</v>
      </c>
      <c r="C865" t="s">
        <v>69</v>
      </c>
      <c r="D865">
        <v>1</v>
      </c>
      <c r="E865" t="s">
        <v>2078</v>
      </c>
      <c r="F865" t="s">
        <v>2969</v>
      </c>
    </row>
    <row r="866" spans="1:6" x14ac:dyDescent="0.25">
      <c r="A866" t="s">
        <v>2077</v>
      </c>
      <c r="B866" t="s">
        <v>710</v>
      </c>
      <c r="C866" t="s">
        <v>69</v>
      </c>
      <c r="D866">
        <v>2</v>
      </c>
      <c r="E866" t="s">
        <v>106</v>
      </c>
      <c r="F866" t="s">
        <v>2969</v>
      </c>
    </row>
    <row r="867" spans="1:6" x14ac:dyDescent="0.25">
      <c r="A867" t="s">
        <v>2077</v>
      </c>
      <c r="B867" t="s">
        <v>710</v>
      </c>
      <c r="C867" t="s">
        <v>69</v>
      </c>
      <c r="D867">
        <v>3</v>
      </c>
      <c r="E867" t="s">
        <v>104</v>
      </c>
      <c r="F867" t="s">
        <v>2969</v>
      </c>
    </row>
    <row r="868" spans="1:6" x14ac:dyDescent="0.25">
      <c r="A868" t="s">
        <v>2079</v>
      </c>
      <c r="B868" t="s">
        <v>711</v>
      </c>
      <c r="C868" t="s">
        <v>69</v>
      </c>
      <c r="D868">
        <v>1</v>
      </c>
      <c r="E868" t="s">
        <v>1655</v>
      </c>
      <c r="F868" t="s">
        <v>2969</v>
      </c>
    </row>
    <row r="869" spans="1:6" x14ac:dyDescent="0.25">
      <c r="A869" t="s">
        <v>2079</v>
      </c>
      <c r="B869" t="s">
        <v>711</v>
      </c>
      <c r="C869" t="s">
        <v>69</v>
      </c>
      <c r="D869">
        <v>2</v>
      </c>
      <c r="E869" t="s">
        <v>1879</v>
      </c>
      <c r="F869" t="s">
        <v>2969</v>
      </c>
    </row>
    <row r="870" spans="1:6" x14ac:dyDescent="0.25">
      <c r="A870" t="s">
        <v>2080</v>
      </c>
      <c r="B870" t="s">
        <v>712</v>
      </c>
      <c r="C870" t="s">
        <v>20</v>
      </c>
      <c r="D870">
        <v>1</v>
      </c>
      <c r="E870" t="s">
        <v>2081</v>
      </c>
      <c r="F870" t="s">
        <v>2969</v>
      </c>
    </row>
    <row r="871" spans="1:6" x14ac:dyDescent="0.25">
      <c r="A871" t="s">
        <v>2080</v>
      </c>
      <c r="B871" t="s">
        <v>712</v>
      </c>
      <c r="C871" t="s">
        <v>20</v>
      </c>
      <c r="D871">
        <v>2</v>
      </c>
      <c r="E871" t="s">
        <v>1651</v>
      </c>
      <c r="F871" t="s">
        <v>2969</v>
      </c>
    </row>
    <row r="872" spans="1:6" x14ac:dyDescent="0.25">
      <c r="A872" t="s">
        <v>2080</v>
      </c>
      <c r="B872" t="s">
        <v>712</v>
      </c>
      <c r="C872" t="s">
        <v>20</v>
      </c>
      <c r="D872">
        <v>3</v>
      </c>
      <c r="E872" t="s">
        <v>1859</v>
      </c>
      <c r="F872" t="s">
        <v>2969</v>
      </c>
    </row>
    <row r="873" spans="1:6" x14ac:dyDescent="0.25">
      <c r="A873" t="s">
        <v>2080</v>
      </c>
      <c r="B873" t="s">
        <v>712</v>
      </c>
      <c r="C873" t="s">
        <v>20</v>
      </c>
      <c r="D873">
        <v>4</v>
      </c>
      <c r="E873" t="s">
        <v>1661</v>
      </c>
      <c r="F873" t="s">
        <v>2969</v>
      </c>
    </row>
    <row r="874" spans="1:6" x14ac:dyDescent="0.25">
      <c r="A874" t="s">
        <v>2082</v>
      </c>
      <c r="B874" t="s">
        <v>713</v>
      </c>
      <c r="C874" t="s">
        <v>116</v>
      </c>
      <c r="D874">
        <v>1</v>
      </c>
      <c r="E874" t="s">
        <v>26</v>
      </c>
      <c r="F874" t="s">
        <v>2969</v>
      </c>
    </row>
    <row r="875" spans="1:6" x14ac:dyDescent="0.25">
      <c r="A875" t="s">
        <v>2083</v>
      </c>
      <c r="B875" t="s">
        <v>714</v>
      </c>
      <c r="C875" t="s">
        <v>112</v>
      </c>
      <c r="D875">
        <v>1</v>
      </c>
      <c r="E875" t="s">
        <v>1649</v>
      </c>
      <c r="F875" t="s">
        <v>2969</v>
      </c>
    </row>
    <row r="876" spans="1:6" x14ac:dyDescent="0.25">
      <c r="A876" t="s">
        <v>2083</v>
      </c>
      <c r="B876" t="s">
        <v>714</v>
      </c>
      <c r="C876" t="s">
        <v>112</v>
      </c>
      <c r="D876">
        <v>2</v>
      </c>
      <c r="E876" t="s">
        <v>1697</v>
      </c>
      <c r="F876" t="s">
        <v>2969</v>
      </c>
    </row>
    <row r="877" spans="1:6" x14ac:dyDescent="0.25">
      <c r="A877" t="s">
        <v>2083</v>
      </c>
      <c r="B877" t="s">
        <v>714</v>
      </c>
      <c r="C877" t="s">
        <v>112</v>
      </c>
      <c r="D877">
        <v>3</v>
      </c>
      <c r="E877" t="s">
        <v>133</v>
      </c>
      <c r="F877" t="s">
        <v>2969</v>
      </c>
    </row>
    <row r="878" spans="1:6" x14ac:dyDescent="0.25">
      <c r="A878" t="s">
        <v>2083</v>
      </c>
      <c r="B878" t="s">
        <v>714</v>
      </c>
      <c r="C878" t="s">
        <v>112</v>
      </c>
      <c r="D878">
        <v>4</v>
      </c>
      <c r="E878" t="s">
        <v>1704</v>
      </c>
      <c r="F878" t="s">
        <v>2969</v>
      </c>
    </row>
    <row r="879" spans="1:6" x14ac:dyDescent="0.25">
      <c r="A879" t="s">
        <v>2084</v>
      </c>
      <c r="B879" t="s">
        <v>716</v>
      </c>
      <c r="C879" t="s">
        <v>90</v>
      </c>
      <c r="D879">
        <v>1</v>
      </c>
      <c r="E879" t="s">
        <v>1726</v>
      </c>
      <c r="F879" t="s">
        <v>2969</v>
      </c>
    </row>
    <row r="880" spans="1:6" x14ac:dyDescent="0.25">
      <c r="A880" t="s">
        <v>2085</v>
      </c>
      <c r="B880" t="s">
        <v>717</v>
      </c>
      <c r="C880" t="s">
        <v>37</v>
      </c>
      <c r="D880">
        <v>1</v>
      </c>
      <c r="E880" t="s">
        <v>36</v>
      </c>
      <c r="F880" t="s">
        <v>2969</v>
      </c>
    </row>
    <row r="881" spans="1:6" x14ac:dyDescent="0.25">
      <c r="A881" t="s">
        <v>2085</v>
      </c>
      <c r="B881" t="s">
        <v>717</v>
      </c>
      <c r="C881" t="s">
        <v>37</v>
      </c>
      <c r="D881">
        <v>2</v>
      </c>
      <c r="E881" t="s">
        <v>1695</v>
      </c>
      <c r="F881" t="s">
        <v>2969</v>
      </c>
    </row>
    <row r="882" spans="1:6" x14ac:dyDescent="0.25">
      <c r="A882" t="s">
        <v>2085</v>
      </c>
      <c r="B882" t="s">
        <v>717</v>
      </c>
      <c r="C882" t="s">
        <v>37</v>
      </c>
      <c r="D882">
        <v>3</v>
      </c>
      <c r="E882" t="s">
        <v>1891</v>
      </c>
      <c r="F882" t="s">
        <v>2969</v>
      </c>
    </row>
    <row r="883" spans="1:6" x14ac:dyDescent="0.25">
      <c r="A883" t="s">
        <v>2085</v>
      </c>
      <c r="B883" t="s">
        <v>717</v>
      </c>
      <c r="C883" t="s">
        <v>37</v>
      </c>
      <c r="D883">
        <v>4</v>
      </c>
      <c r="E883" t="s">
        <v>1691</v>
      </c>
      <c r="F883" t="s">
        <v>2969</v>
      </c>
    </row>
    <row r="884" spans="1:6" x14ac:dyDescent="0.25">
      <c r="A884" t="s">
        <v>2085</v>
      </c>
      <c r="B884" t="s">
        <v>717</v>
      </c>
      <c r="C884" t="s">
        <v>37</v>
      </c>
      <c r="D884">
        <v>5</v>
      </c>
      <c r="E884" t="s">
        <v>2017</v>
      </c>
      <c r="F884" t="s">
        <v>2969</v>
      </c>
    </row>
    <row r="885" spans="1:6" x14ac:dyDescent="0.25">
      <c r="A885" t="s">
        <v>2085</v>
      </c>
      <c r="B885" t="s">
        <v>717</v>
      </c>
      <c r="C885" t="s">
        <v>37</v>
      </c>
      <c r="D885">
        <v>6</v>
      </c>
      <c r="E885" t="s">
        <v>2038</v>
      </c>
      <c r="F885" t="s">
        <v>2969</v>
      </c>
    </row>
    <row r="886" spans="1:6" x14ac:dyDescent="0.25">
      <c r="A886" t="s">
        <v>2085</v>
      </c>
      <c r="B886" t="s">
        <v>717</v>
      </c>
      <c r="C886" t="s">
        <v>37</v>
      </c>
      <c r="D886">
        <v>7</v>
      </c>
      <c r="E886" t="s">
        <v>1789</v>
      </c>
      <c r="F886" t="s">
        <v>1692</v>
      </c>
    </row>
    <row r="887" spans="1:6" x14ac:dyDescent="0.25">
      <c r="A887" t="s">
        <v>2086</v>
      </c>
      <c r="B887" t="s">
        <v>718</v>
      </c>
      <c r="C887" t="s">
        <v>34</v>
      </c>
      <c r="D887">
        <v>1</v>
      </c>
      <c r="E887" t="s">
        <v>106</v>
      </c>
      <c r="F887" t="s">
        <v>2969</v>
      </c>
    </row>
    <row r="888" spans="1:6" x14ac:dyDescent="0.25">
      <c r="A888" t="s">
        <v>2087</v>
      </c>
      <c r="B888" t="s">
        <v>719</v>
      </c>
      <c r="C888" t="s">
        <v>127</v>
      </c>
      <c r="D888">
        <v>1</v>
      </c>
      <c r="E888" t="s">
        <v>2088</v>
      </c>
      <c r="F888" t="s">
        <v>2969</v>
      </c>
    </row>
    <row r="889" spans="1:6" x14ac:dyDescent="0.25">
      <c r="A889" t="s">
        <v>2087</v>
      </c>
      <c r="B889" t="s">
        <v>719</v>
      </c>
      <c r="C889" t="s">
        <v>127</v>
      </c>
      <c r="D889">
        <v>2</v>
      </c>
      <c r="E889" t="s">
        <v>1844</v>
      </c>
      <c r="F889" t="s">
        <v>2969</v>
      </c>
    </row>
    <row r="890" spans="1:6" x14ac:dyDescent="0.25">
      <c r="A890" t="s">
        <v>2087</v>
      </c>
      <c r="B890" t="s">
        <v>719</v>
      </c>
      <c r="C890" t="s">
        <v>127</v>
      </c>
      <c r="D890">
        <v>3</v>
      </c>
      <c r="E890" t="s">
        <v>2128</v>
      </c>
      <c r="F890" t="s">
        <v>2969</v>
      </c>
    </row>
    <row r="891" spans="1:6" x14ac:dyDescent="0.25">
      <c r="A891" t="s">
        <v>2089</v>
      </c>
      <c r="B891" t="s">
        <v>720</v>
      </c>
      <c r="C891" t="s">
        <v>66</v>
      </c>
      <c r="D891">
        <v>1</v>
      </c>
      <c r="E891" t="s">
        <v>1683</v>
      </c>
      <c r="F891" t="s">
        <v>2969</v>
      </c>
    </row>
    <row r="892" spans="1:6" x14ac:dyDescent="0.25">
      <c r="A892" t="s">
        <v>2089</v>
      </c>
      <c r="B892" t="s">
        <v>720</v>
      </c>
      <c r="C892" t="s">
        <v>66</v>
      </c>
      <c r="D892">
        <v>2</v>
      </c>
      <c r="E892" t="s">
        <v>2460</v>
      </c>
      <c r="F892" t="s">
        <v>2969</v>
      </c>
    </row>
    <row r="893" spans="1:6" x14ac:dyDescent="0.25">
      <c r="A893" t="s">
        <v>2090</v>
      </c>
      <c r="B893" t="s">
        <v>721</v>
      </c>
      <c r="C893" t="s">
        <v>46</v>
      </c>
      <c r="D893">
        <v>1</v>
      </c>
      <c r="E893" t="s">
        <v>1812</v>
      </c>
      <c r="F893" t="s">
        <v>2969</v>
      </c>
    </row>
    <row r="894" spans="1:6" x14ac:dyDescent="0.25">
      <c r="A894" t="s">
        <v>2090</v>
      </c>
      <c r="B894" t="s">
        <v>721</v>
      </c>
      <c r="C894" t="s">
        <v>46</v>
      </c>
      <c r="D894">
        <v>2</v>
      </c>
      <c r="E894" t="s">
        <v>1772</v>
      </c>
      <c r="F894" t="s">
        <v>2969</v>
      </c>
    </row>
    <row r="895" spans="1:6" x14ac:dyDescent="0.25">
      <c r="A895" t="s">
        <v>2090</v>
      </c>
      <c r="B895" t="s">
        <v>721</v>
      </c>
      <c r="C895" t="s">
        <v>46</v>
      </c>
      <c r="D895">
        <v>3</v>
      </c>
      <c r="E895" t="s">
        <v>1726</v>
      </c>
      <c r="F895" t="s">
        <v>2969</v>
      </c>
    </row>
    <row r="896" spans="1:6" x14ac:dyDescent="0.25">
      <c r="A896" t="s">
        <v>2091</v>
      </c>
      <c r="B896" t="s">
        <v>722</v>
      </c>
      <c r="C896" t="s">
        <v>125</v>
      </c>
      <c r="D896">
        <v>1</v>
      </c>
      <c r="E896" t="s">
        <v>1869</v>
      </c>
      <c r="F896" t="s">
        <v>2969</v>
      </c>
    </row>
    <row r="897" spans="1:6" x14ac:dyDescent="0.25">
      <c r="A897" t="s">
        <v>2091</v>
      </c>
      <c r="B897" t="s">
        <v>722</v>
      </c>
      <c r="C897" t="s">
        <v>125</v>
      </c>
      <c r="D897">
        <v>2</v>
      </c>
      <c r="E897" t="s">
        <v>84</v>
      </c>
      <c r="F897" t="s">
        <v>2969</v>
      </c>
    </row>
    <row r="898" spans="1:6" x14ac:dyDescent="0.25">
      <c r="A898" t="s">
        <v>2092</v>
      </c>
      <c r="B898" t="s">
        <v>723</v>
      </c>
      <c r="C898" t="s">
        <v>123</v>
      </c>
      <c r="D898">
        <v>1</v>
      </c>
      <c r="E898" t="s">
        <v>1624</v>
      </c>
      <c r="F898" t="s">
        <v>2969</v>
      </c>
    </row>
    <row r="899" spans="1:6" x14ac:dyDescent="0.25">
      <c r="A899" t="s">
        <v>2093</v>
      </c>
      <c r="B899" t="s">
        <v>725</v>
      </c>
      <c r="C899" t="s">
        <v>8</v>
      </c>
      <c r="D899">
        <v>1</v>
      </c>
      <c r="E899" t="s">
        <v>2094</v>
      </c>
      <c r="F899" t="s">
        <v>2969</v>
      </c>
    </row>
    <row r="900" spans="1:6" x14ac:dyDescent="0.25">
      <c r="A900" t="s">
        <v>2093</v>
      </c>
      <c r="B900" t="s">
        <v>725</v>
      </c>
      <c r="C900" t="s">
        <v>8</v>
      </c>
      <c r="D900">
        <v>2</v>
      </c>
      <c r="E900" t="s">
        <v>1637</v>
      </c>
      <c r="F900" t="s">
        <v>2969</v>
      </c>
    </row>
    <row r="901" spans="1:6" x14ac:dyDescent="0.25">
      <c r="A901" t="s">
        <v>2095</v>
      </c>
      <c r="B901" t="s">
        <v>726</v>
      </c>
      <c r="C901" t="s">
        <v>79</v>
      </c>
      <c r="D901">
        <v>1</v>
      </c>
      <c r="E901" t="s">
        <v>1741</v>
      </c>
      <c r="F901" t="s">
        <v>2969</v>
      </c>
    </row>
    <row r="902" spans="1:6" x14ac:dyDescent="0.25">
      <c r="A902" t="s">
        <v>2095</v>
      </c>
      <c r="B902" t="s">
        <v>726</v>
      </c>
      <c r="C902" t="s">
        <v>79</v>
      </c>
      <c r="D902">
        <v>2</v>
      </c>
      <c r="E902" t="s">
        <v>124</v>
      </c>
      <c r="F902" t="s">
        <v>2969</v>
      </c>
    </row>
    <row r="903" spans="1:6" x14ac:dyDescent="0.25">
      <c r="A903" t="s">
        <v>2096</v>
      </c>
      <c r="B903" t="s">
        <v>727</v>
      </c>
      <c r="C903" t="s">
        <v>101</v>
      </c>
      <c r="D903">
        <v>1</v>
      </c>
      <c r="E903" t="s">
        <v>1803</v>
      </c>
      <c r="F903" t="s">
        <v>2969</v>
      </c>
    </row>
    <row r="904" spans="1:6" x14ac:dyDescent="0.25">
      <c r="A904" t="s">
        <v>2096</v>
      </c>
      <c r="B904" t="s">
        <v>727</v>
      </c>
      <c r="C904" t="s">
        <v>101</v>
      </c>
      <c r="D904">
        <v>2</v>
      </c>
      <c r="E904" t="s">
        <v>2611</v>
      </c>
      <c r="F904" t="s">
        <v>2969</v>
      </c>
    </row>
    <row r="905" spans="1:6" x14ac:dyDescent="0.25">
      <c r="A905" t="s">
        <v>2097</v>
      </c>
      <c r="B905" t="s">
        <v>728</v>
      </c>
      <c r="C905" t="s">
        <v>85</v>
      </c>
      <c r="D905">
        <v>1</v>
      </c>
      <c r="E905" t="s">
        <v>89</v>
      </c>
      <c r="F905" t="s">
        <v>2969</v>
      </c>
    </row>
    <row r="906" spans="1:6" x14ac:dyDescent="0.25">
      <c r="A906" t="s">
        <v>2097</v>
      </c>
      <c r="B906" t="s">
        <v>728</v>
      </c>
      <c r="C906" t="s">
        <v>85</v>
      </c>
      <c r="D906">
        <v>2</v>
      </c>
      <c r="E906" t="s">
        <v>1772</v>
      </c>
      <c r="F906" t="s">
        <v>2969</v>
      </c>
    </row>
    <row r="907" spans="1:6" x14ac:dyDescent="0.25">
      <c r="A907" t="s">
        <v>2098</v>
      </c>
      <c r="B907" t="s">
        <v>729</v>
      </c>
      <c r="C907" t="s">
        <v>128</v>
      </c>
      <c r="D907">
        <v>1</v>
      </c>
      <c r="E907" t="s">
        <v>1797</v>
      </c>
      <c r="F907" t="s">
        <v>2969</v>
      </c>
    </row>
    <row r="908" spans="1:6" x14ac:dyDescent="0.25">
      <c r="A908" t="s">
        <v>2099</v>
      </c>
      <c r="B908" t="s">
        <v>730</v>
      </c>
      <c r="C908" t="s">
        <v>116</v>
      </c>
      <c r="D908">
        <v>1</v>
      </c>
      <c r="E908" t="s">
        <v>2100</v>
      </c>
      <c r="F908" t="s">
        <v>2969</v>
      </c>
    </row>
    <row r="909" spans="1:6" x14ac:dyDescent="0.25">
      <c r="A909" t="s">
        <v>2099</v>
      </c>
      <c r="B909" t="s">
        <v>730</v>
      </c>
      <c r="C909" t="s">
        <v>116</v>
      </c>
      <c r="D909">
        <v>2</v>
      </c>
      <c r="E909" t="s">
        <v>2974</v>
      </c>
      <c r="F909" t="s">
        <v>2969</v>
      </c>
    </row>
    <row r="910" spans="1:6" x14ac:dyDescent="0.25">
      <c r="A910" t="s">
        <v>2099</v>
      </c>
      <c r="B910" t="s">
        <v>730</v>
      </c>
      <c r="C910" t="s">
        <v>116</v>
      </c>
      <c r="D910">
        <v>3</v>
      </c>
      <c r="E910" t="s">
        <v>2478</v>
      </c>
      <c r="F910" t="s">
        <v>2969</v>
      </c>
    </row>
    <row r="911" spans="1:6" x14ac:dyDescent="0.25">
      <c r="A911" t="s">
        <v>2101</v>
      </c>
      <c r="B911" t="s">
        <v>731</v>
      </c>
      <c r="C911" t="s">
        <v>79</v>
      </c>
      <c r="D911">
        <v>1</v>
      </c>
      <c r="E911" t="s">
        <v>96</v>
      </c>
      <c r="F911" t="s">
        <v>2969</v>
      </c>
    </row>
    <row r="912" spans="1:6" x14ac:dyDescent="0.25">
      <c r="A912" t="s">
        <v>2101</v>
      </c>
      <c r="B912" t="s">
        <v>731</v>
      </c>
      <c r="C912" t="s">
        <v>79</v>
      </c>
      <c r="D912">
        <v>2</v>
      </c>
      <c r="E912" t="s">
        <v>1719</v>
      </c>
      <c r="F912" t="s">
        <v>2969</v>
      </c>
    </row>
    <row r="913" spans="1:6" x14ac:dyDescent="0.25">
      <c r="A913" t="s">
        <v>2101</v>
      </c>
      <c r="B913" t="s">
        <v>731</v>
      </c>
      <c r="C913" t="s">
        <v>79</v>
      </c>
      <c r="D913">
        <v>3</v>
      </c>
      <c r="E913" t="s">
        <v>1621</v>
      </c>
      <c r="F913" t="s">
        <v>2969</v>
      </c>
    </row>
    <row r="914" spans="1:6" x14ac:dyDescent="0.25">
      <c r="A914" t="s">
        <v>2101</v>
      </c>
      <c r="B914" t="s">
        <v>731</v>
      </c>
      <c r="C914" t="s">
        <v>79</v>
      </c>
      <c r="D914">
        <v>4</v>
      </c>
      <c r="E914" t="s">
        <v>2088</v>
      </c>
      <c r="F914" t="s">
        <v>2969</v>
      </c>
    </row>
    <row r="915" spans="1:6" x14ac:dyDescent="0.25">
      <c r="A915" t="s">
        <v>2102</v>
      </c>
      <c r="B915" t="s">
        <v>732</v>
      </c>
      <c r="C915" t="s">
        <v>49</v>
      </c>
      <c r="D915">
        <v>1</v>
      </c>
      <c r="E915" t="s">
        <v>1844</v>
      </c>
      <c r="F915" t="s">
        <v>2969</v>
      </c>
    </row>
    <row r="916" spans="1:6" x14ac:dyDescent="0.25">
      <c r="A916" t="s">
        <v>2103</v>
      </c>
      <c r="B916" t="s">
        <v>733</v>
      </c>
      <c r="C916" t="s">
        <v>97</v>
      </c>
      <c r="D916">
        <v>1</v>
      </c>
      <c r="E916" t="s">
        <v>1655</v>
      </c>
      <c r="F916" t="s">
        <v>2969</v>
      </c>
    </row>
    <row r="917" spans="1:6" x14ac:dyDescent="0.25">
      <c r="A917" t="s">
        <v>2103</v>
      </c>
      <c r="B917" t="s">
        <v>733</v>
      </c>
      <c r="C917" t="s">
        <v>97</v>
      </c>
      <c r="D917">
        <v>2</v>
      </c>
      <c r="E917" t="s">
        <v>1879</v>
      </c>
      <c r="F917" t="s">
        <v>2969</v>
      </c>
    </row>
    <row r="918" spans="1:6" x14ac:dyDescent="0.25">
      <c r="A918" t="s">
        <v>2104</v>
      </c>
      <c r="B918" t="s">
        <v>734</v>
      </c>
      <c r="C918" t="s">
        <v>49</v>
      </c>
      <c r="D918">
        <v>1</v>
      </c>
      <c r="E918" t="s">
        <v>1683</v>
      </c>
      <c r="F918" t="s">
        <v>2969</v>
      </c>
    </row>
    <row r="919" spans="1:6" x14ac:dyDescent="0.25">
      <c r="A919" t="s">
        <v>2104</v>
      </c>
      <c r="B919" t="s">
        <v>734</v>
      </c>
      <c r="C919" t="s">
        <v>49</v>
      </c>
      <c r="D919">
        <v>2</v>
      </c>
      <c r="E919" t="s">
        <v>2064</v>
      </c>
      <c r="F919" t="s">
        <v>2969</v>
      </c>
    </row>
    <row r="920" spans="1:6" x14ac:dyDescent="0.25">
      <c r="A920" t="s">
        <v>2105</v>
      </c>
      <c r="B920" t="s">
        <v>735</v>
      </c>
      <c r="C920" t="s">
        <v>101</v>
      </c>
      <c r="D920">
        <v>1</v>
      </c>
      <c r="E920" t="s">
        <v>2106</v>
      </c>
      <c r="F920" t="s">
        <v>2969</v>
      </c>
    </row>
    <row r="921" spans="1:6" x14ac:dyDescent="0.25">
      <c r="A921" t="s">
        <v>2105</v>
      </c>
      <c r="B921" t="s">
        <v>735</v>
      </c>
      <c r="C921" t="s">
        <v>101</v>
      </c>
      <c r="D921">
        <v>2</v>
      </c>
      <c r="E921" t="s">
        <v>129</v>
      </c>
      <c r="F921" t="s">
        <v>2969</v>
      </c>
    </row>
    <row r="922" spans="1:6" x14ac:dyDescent="0.25">
      <c r="A922" t="s">
        <v>2105</v>
      </c>
      <c r="B922" t="s">
        <v>735</v>
      </c>
      <c r="C922" t="s">
        <v>101</v>
      </c>
      <c r="D922">
        <v>3</v>
      </c>
      <c r="E922" t="s">
        <v>1803</v>
      </c>
      <c r="F922" t="s">
        <v>2969</v>
      </c>
    </row>
    <row r="923" spans="1:6" x14ac:dyDescent="0.25">
      <c r="A923" t="s">
        <v>2105</v>
      </c>
      <c r="B923" t="s">
        <v>735</v>
      </c>
      <c r="C923" t="s">
        <v>101</v>
      </c>
      <c r="D923">
        <v>4</v>
      </c>
      <c r="E923" t="s">
        <v>1797</v>
      </c>
      <c r="F923" t="s">
        <v>2969</v>
      </c>
    </row>
    <row r="924" spans="1:6" x14ac:dyDescent="0.25">
      <c r="A924" t="s">
        <v>2105</v>
      </c>
      <c r="B924" t="s">
        <v>735</v>
      </c>
      <c r="C924" t="s">
        <v>101</v>
      </c>
      <c r="D924">
        <v>5</v>
      </c>
      <c r="E924" t="s">
        <v>1632</v>
      </c>
      <c r="F924" t="s">
        <v>2969</v>
      </c>
    </row>
    <row r="925" spans="1:6" x14ac:dyDescent="0.25">
      <c r="A925" t="s">
        <v>2107</v>
      </c>
      <c r="B925" t="s">
        <v>736</v>
      </c>
      <c r="C925" t="s">
        <v>56</v>
      </c>
      <c r="D925">
        <v>1</v>
      </c>
      <c r="E925" t="s">
        <v>1809</v>
      </c>
      <c r="F925" t="s">
        <v>2969</v>
      </c>
    </row>
    <row r="926" spans="1:6" x14ac:dyDescent="0.25">
      <c r="A926" t="s">
        <v>2108</v>
      </c>
      <c r="B926" t="s">
        <v>737</v>
      </c>
      <c r="C926" t="s">
        <v>127</v>
      </c>
      <c r="D926">
        <v>1</v>
      </c>
      <c r="E926" t="s">
        <v>1621</v>
      </c>
      <c r="F926" t="s">
        <v>2969</v>
      </c>
    </row>
    <row r="927" spans="1:6" x14ac:dyDescent="0.25">
      <c r="A927" t="s">
        <v>2108</v>
      </c>
      <c r="B927" t="s">
        <v>737</v>
      </c>
      <c r="C927" t="s">
        <v>127</v>
      </c>
      <c r="D927">
        <v>2</v>
      </c>
      <c r="E927" t="s">
        <v>2003</v>
      </c>
      <c r="F927" t="s">
        <v>2969</v>
      </c>
    </row>
    <row r="928" spans="1:6" x14ac:dyDescent="0.25">
      <c r="A928" t="s">
        <v>2108</v>
      </c>
      <c r="B928" t="s">
        <v>737</v>
      </c>
      <c r="C928" t="s">
        <v>127</v>
      </c>
      <c r="D928">
        <v>3</v>
      </c>
      <c r="E928" t="s">
        <v>1934</v>
      </c>
      <c r="F928" t="s">
        <v>2969</v>
      </c>
    </row>
    <row r="929" spans="1:6" x14ac:dyDescent="0.25">
      <c r="A929" t="s">
        <v>2108</v>
      </c>
      <c r="B929" t="s">
        <v>737</v>
      </c>
      <c r="C929" t="s">
        <v>127</v>
      </c>
      <c r="D929">
        <v>4</v>
      </c>
      <c r="E929" t="s">
        <v>2115</v>
      </c>
      <c r="F929" t="s">
        <v>2969</v>
      </c>
    </row>
    <row r="930" spans="1:6" x14ac:dyDescent="0.25">
      <c r="A930" t="s">
        <v>2109</v>
      </c>
      <c r="B930" t="s">
        <v>738</v>
      </c>
      <c r="C930" t="s">
        <v>100</v>
      </c>
      <c r="D930">
        <v>1</v>
      </c>
      <c r="E930" t="s">
        <v>1657</v>
      </c>
      <c r="F930" t="s">
        <v>2969</v>
      </c>
    </row>
    <row r="931" spans="1:6" x14ac:dyDescent="0.25">
      <c r="A931" t="s">
        <v>2110</v>
      </c>
      <c r="B931" t="s">
        <v>740</v>
      </c>
      <c r="C931" t="s">
        <v>113</v>
      </c>
      <c r="D931">
        <v>1</v>
      </c>
      <c r="E931" t="s">
        <v>2111</v>
      </c>
      <c r="F931" t="s">
        <v>2969</v>
      </c>
    </row>
    <row r="932" spans="1:6" x14ac:dyDescent="0.25">
      <c r="A932" t="s">
        <v>2112</v>
      </c>
      <c r="B932" t="s">
        <v>741</v>
      </c>
      <c r="C932" t="s">
        <v>94</v>
      </c>
      <c r="D932">
        <v>1</v>
      </c>
      <c r="E932" t="s">
        <v>1629</v>
      </c>
      <c r="F932" t="s">
        <v>2969</v>
      </c>
    </row>
    <row r="933" spans="1:6" x14ac:dyDescent="0.25">
      <c r="A933" t="s">
        <v>2112</v>
      </c>
      <c r="B933" t="s">
        <v>741</v>
      </c>
      <c r="C933" t="s">
        <v>94</v>
      </c>
      <c r="D933">
        <v>2</v>
      </c>
      <c r="E933" t="s">
        <v>1960</v>
      </c>
      <c r="F933" t="s">
        <v>2969</v>
      </c>
    </row>
    <row r="934" spans="1:6" x14ac:dyDescent="0.25">
      <c r="A934" t="s">
        <v>2113</v>
      </c>
      <c r="B934" t="s">
        <v>742</v>
      </c>
      <c r="C934" t="s">
        <v>59</v>
      </c>
      <c r="D934">
        <v>1</v>
      </c>
      <c r="E934" t="s">
        <v>1789</v>
      </c>
      <c r="F934" t="s">
        <v>2969</v>
      </c>
    </row>
    <row r="935" spans="1:6" x14ac:dyDescent="0.25">
      <c r="A935" t="s">
        <v>2114</v>
      </c>
      <c r="B935" t="s">
        <v>743</v>
      </c>
      <c r="C935" t="s">
        <v>110</v>
      </c>
      <c r="D935">
        <v>1</v>
      </c>
      <c r="E935" t="s">
        <v>2115</v>
      </c>
      <c r="F935" t="s">
        <v>2969</v>
      </c>
    </row>
    <row r="936" spans="1:6" x14ac:dyDescent="0.25">
      <c r="A936" t="s">
        <v>2114</v>
      </c>
      <c r="B936" t="s">
        <v>743</v>
      </c>
      <c r="C936" t="s">
        <v>110</v>
      </c>
      <c r="D936">
        <v>2</v>
      </c>
      <c r="E936" t="s">
        <v>1683</v>
      </c>
      <c r="F936" t="s">
        <v>2969</v>
      </c>
    </row>
    <row r="937" spans="1:6" x14ac:dyDescent="0.25">
      <c r="A937" t="s">
        <v>2114</v>
      </c>
      <c r="B937" t="s">
        <v>743</v>
      </c>
      <c r="C937" t="s">
        <v>110</v>
      </c>
      <c r="D937">
        <v>3</v>
      </c>
      <c r="E937" t="s">
        <v>2029</v>
      </c>
      <c r="F937" t="s">
        <v>2969</v>
      </c>
    </row>
    <row r="938" spans="1:6" x14ac:dyDescent="0.25">
      <c r="A938" t="s">
        <v>2114</v>
      </c>
      <c r="B938" t="s">
        <v>743</v>
      </c>
      <c r="C938" t="s">
        <v>110</v>
      </c>
      <c r="D938">
        <v>4</v>
      </c>
      <c r="E938" t="s">
        <v>2970</v>
      </c>
      <c r="F938" t="s">
        <v>2969</v>
      </c>
    </row>
    <row r="939" spans="1:6" x14ac:dyDescent="0.25">
      <c r="A939" t="s">
        <v>2114</v>
      </c>
      <c r="B939" t="s">
        <v>743</v>
      </c>
      <c r="C939" t="s">
        <v>110</v>
      </c>
      <c r="D939">
        <v>5</v>
      </c>
      <c r="E939" t="s">
        <v>2975</v>
      </c>
      <c r="F939" t="s">
        <v>2969</v>
      </c>
    </row>
    <row r="940" spans="1:6" x14ac:dyDescent="0.25">
      <c r="A940" t="s">
        <v>2114</v>
      </c>
      <c r="B940" t="s">
        <v>743</v>
      </c>
      <c r="C940" t="s">
        <v>110</v>
      </c>
      <c r="D940">
        <v>6</v>
      </c>
      <c r="E940" t="s">
        <v>2971</v>
      </c>
      <c r="F940" t="s">
        <v>2969</v>
      </c>
    </row>
    <row r="941" spans="1:6" x14ac:dyDescent="0.25">
      <c r="A941" t="s">
        <v>2114</v>
      </c>
      <c r="B941" t="s">
        <v>743</v>
      </c>
      <c r="C941" t="s">
        <v>110</v>
      </c>
      <c r="D941">
        <v>7</v>
      </c>
      <c r="E941" t="s">
        <v>2976</v>
      </c>
      <c r="F941" t="s">
        <v>1692</v>
      </c>
    </row>
    <row r="942" spans="1:6" x14ac:dyDescent="0.25">
      <c r="A942" t="s">
        <v>2116</v>
      </c>
      <c r="B942" t="s">
        <v>744</v>
      </c>
      <c r="C942" t="s">
        <v>60</v>
      </c>
      <c r="D942">
        <v>1</v>
      </c>
      <c r="E942" t="s">
        <v>1820</v>
      </c>
      <c r="F942" t="s">
        <v>2969</v>
      </c>
    </row>
    <row r="943" spans="1:6" x14ac:dyDescent="0.25">
      <c r="A943" t="s">
        <v>2116</v>
      </c>
      <c r="B943" t="s">
        <v>744</v>
      </c>
      <c r="C943" t="s">
        <v>60</v>
      </c>
      <c r="D943">
        <v>2</v>
      </c>
      <c r="E943" t="s">
        <v>1844</v>
      </c>
      <c r="F943" t="s">
        <v>2969</v>
      </c>
    </row>
    <row r="944" spans="1:6" x14ac:dyDescent="0.25">
      <c r="A944" t="s">
        <v>2116</v>
      </c>
      <c r="B944" t="s">
        <v>744</v>
      </c>
      <c r="C944" t="s">
        <v>60</v>
      </c>
      <c r="D944">
        <v>3</v>
      </c>
      <c r="E944" t="s">
        <v>2456</v>
      </c>
      <c r="F944" t="s">
        <v>2969</v>
      </c>
    </row>
    <row r="945" spans="1:6" x14ac:dyDescent="0.25">
      <c r="A945" t="s">
        <v>2116</v>
      </c>
      <c r="B945" t="s">
        <v>744</v>
      </c>
      <c r="C945" t="s">
        <v>60</v>
      </c>
      <c r="D945">
        <v>4</v>
      </c>
      <c r="E945" t="s">
        <v>2786</v>
      </c>
      <c r="F945" t="s">
        <v>2969</v>
      </c>
    </row>
    <row r="946" spans="1:6" x14ac:dyDescent="0.25">
      <c r="A946" t="s">
        <v>2116</v>
      </c>
      <c r="B946" t="s">
        <v>744</v>
      </c>
      <c r="C946" t="s">
        <v>60</v>
      </c>
      <c r="D946">
        <v>5</v>
      </c>
      <c r="E946" t="s">
        <v>2977</v>
      </c>
      <c r="F946" t="s">
        <v>2969</v>
      </c>
    </row>
    <row r="947" spans="1:6" x14ac:dyDescent="0.25">
      <c r="A947" t="s">
        <v>2117</v>
      </c>
      <c r="B947" t="s">
        <v>745</v>
      </c>
      <c r="C947" t="s">
        <v>125</v>
      </c>
      <c r="D947">
        <v>1</v>
      </c>
      <c r="E947" t="s">
        <v>22</v>
      </c>
      <c r="F947" t="s">
        <v>2969</v>
      </c>
    </row>
    <row r="948" spans="1:6" x14ac:dyDescent="0.25">
      <c r="A948" t="s">
        <v>2117</v>
      </c>
      <c r="B948" t="s">
        <v>745</v>
      </c>
      <c r="C948" t="s">
        <v>125</v>
      </c>
      <c r="D948">
        <v>2</v>
      </c>
      <c r="E948" t="s">
        <v>1731</v>
      </c>
      <c r="F948" t="s">
        <v>2969</v>
      </c>
    </row>
    <row r="949" spans="1:6" x14ac:dyDescent="0.25">
      <c r="A949" t="s">
        <v>2118</v>
      </c>
      <c r="B949" t="s">
        <v>746</v>
      </c>
      <c r="C949" t="s">
        <v>118</v>
      </c>
      <c r="D949">
        <v>1</v>
      </c>
      <c r="E949" t="s">
        <v>1785</v>
      </c>
      <c r="F949" t="s">
        <v>2969</v>
      </c>
    </row>
    <row r="950" spans="1:6" x14ac:dyDescent="0.25">
      <c r="A950" t="s">
        <v>2119</v>
      </c>
      <c r="B950" t="s">
        <v>747</v>
      </c>
      <c r="C950" t="s">
        <v>116</v>
      </c>
      <c r="D950">
        <v>1</v>
      </c>
      <c r="E950" t="s">
        <v>99</v>
      </c>
      <c r="F950" t="s">
        <v>2969</v>
      </c>
    </row>
    <row r="951" spans="1:6" x14ac:dyDescent="0.25">
      <c r="A951" t="s">
        <v>2119</v>
      </c>
      <c r="B951" t="s">
        <v>747</v>
      </c>
      <c r="C951" t="s">
        <v>116</v>
      </c>
      <c r="D951">
        <v>2</v>
      </c>
      <c r="E951" t="s">
        <v>72</v>
      </c>
      <c r="F951" t="s">
        <v>2969</v>
      </c>
    </row>
    <row r="952" spans="1:6" x14ac:dyDescent="0.25">
      <c r="A952" t="s">
        <v>2119</v>
      </c>
      <c r="B952" t="s">
        <v>747</v>
      </c>
      <c r="C952" t="s">
        <v>116</v>
      </c>
      <c r="D952">
        <v>3</v>
      </c>
      <c r="E952" t="s">
        <v>1833</v>
      </c>
      <c r="F952" t="s">
        <v>2969</v>
      </c>
    </row>
    <row r="953" spans="1:6" x14ac:dyDescent="0.25">
      <c r="A953" t="s">
        <v>2120</v>
      </c>
      <c r="B953" t="s">
        <v>748</v>
      </c>
      <c r="C953" t="s">
        <v>116</v>
      </c>
      <c r="D953">
        <v>1</v>
      </c>
      <c r="E953" t="s">
        <v>1826</v>
      </c>
      <c r="F953" t="s">
        <v>2969</v>
      </c>
    </row>
    <row r="954" spans="1:6" x14ac:dyDescent="0.25">
      <c r="A954" t="s">
        <v>2120</v>
      </c>
      <c r="B954" t="s">
        <v>748</v>
      </c>
      <c r="C954" t="s">
        <v>116</v>
      </c>
      <c r="D954">
        <v>2</v>
      </c>
      <c r="E954" t="s">
        <v>115</v>
      </c>
      <c r="F954" t="s">
        <v>2969</v>
      </c>
    </row>
    <row r="955" spans="1:6" x14ac:dyDescent="0.25">
      <c r="A955" t="s">
        <v>2121</v>
      </c>
      <c r="B955" t="s">
        <v>750</v>
      </c>
      <c r="C955" t="s">
        <v>31</v>
      </c>
      <c r="D955">
        <v>1</v>
      </c>
      <c r="E955" t="s">
        <v>2122</v>
      </c>
      <c r="F955" t="s">
        <v>2969</v>
      </c>
    </row>
    <row r="956" spans="1:6" x14ac:dyDescent="0.25">
      <c r="A956" t="s">
        <v>2121</v>
      </c>
      <c r="B956" t="s">
        <v>750</v>
      </c>
      <c r="C956" t="s">
        <v>31</v>
      </c>
      <c r="D956">
        <v>2</v>
      </c>
      <c r="E956" t="s">
        <v>1760</v>
      </c>
      <c r="F956" t="s">
        <v>2969</v>
      </c>
    </row>
    <row r="957" spans="1:6" x14ac:dyDescent="0.25">
      <c r="A957" t="s">
        <v>2121</v>
      </c>
      <c r="B957" t="s">
        <v>750</v>
      </c>
      <c r="C957" t="s">
        <v>31</v>
      </c>
      <c r="D957">
        <v>3</v>
      </c>
      <c r="E957" t="s">
        <v>2038</v>
      </c>
      <c r="F957" t="s">
        <v>2969</v>
      </c>
    </row>
    <row r="958" spans="1:6" x14ac:dyDescent="0.25">
      <c r="A958" t="s">
        <v>2123</v>
      </c>
      <c r="B958" t="s">
        <v>751</v>
      </c>
      <c r="C958" t="s">
        <v>39</v>
      </c>
      <c r="D958">
        <v>1</v>
      </c>
      <c r="E958" t="s">
        <v>2100</v>
      </c>
      <c r="F958" t="s">
        <v>2969</v>
      </c>
    </row>
    <row r="959" spans="1:6" x14ac:dyDescent="0.25">
      <c r="A959" t="s">
        <v>2123</v>
      </c>
      <c r="B959" t="s">
        <v>751</v>
      </c>
      <c r="C959" t="s">
        <v>39</v>
      </c>
      <c r="D959">
        <v>2</v>
      </c>
      <c r="E959" t="s">
        <v>2195</v>
      </c>
      <c r="F959" t="s">
        <v>2969</v>
      </c>
    </row>
    <row r="960" spans="1:6" x14ac:dyDescent="0.25">
      <c r="A960" t="s">
        <v>2123</v>
      </c>
      <c r="B960" t="s">
        <v>751</v>
      </c>
      <c r="C960" t="s">
        <v>39</v>
      </c>
      <c r="D960">
        <v>3</v>
      </c>
      <c r="E960" t="s">
        <v>102</v>
      </c>
      <c r="F960" t="s">
        <v>2969</v>
      </c>
    </row>
    <row r="961" spans="1:6" x14ac:dyDescent="0.25">
      <c r="A961" t="s">
        <v>2124</v>
      </c>
      <c r="B961" t="s">
        <v>752</v>
      </c>
      <c r="C961" t="s">
        <v>8</v>
      </c>
      <c r="D961">
        <v>1</v>
      </c>
      <c r="E961" t="s">
        <v>1807</v>
      </c>
      <c r="F961" t="s">
        <v>2969</v>
      </c>
    </row>
    <row r="962" spans="1:6" x14ac:dyDescent="0.25">
      <c r="A962" t="s">
        <v>2124</v>
      </c>
      <c r="B962" t="s">
        <v>752</v>
      </c>
      <c r="C962" t="s">
        <v>8</v>
      </c>
      <c r="D962">
        <v>2</v>
      </c>
      <c r="E962" t="s">
        <v>137</v>
      </c>
      <c r="F962" t="s">
        <v>2969</v>
      </c>
    </row>
    <row r="963" spans="1:6" x14ac:dyDescent="0.25">
      <c r="A963" t="s">
        <v>2124</v>
      </c>
      <c r="B963" t="s">
        <v>752</v>
      </c>
      <c r="C963" t="s">
        <v>8</v>
      </c>
      <c r="D963">
        <v>3</v>
      </c>
      <c r="E963" t="s">
        <v>2094</v>
      </c>
      <c r="F963" t="s">
        <v>2969</v>
      </c>
    </row>
    <row r="964" spans="1:6" x14ac:dyDescent="0.25">
      <c r="A964" t="s">
        <v>2125</v>
      </c>
      <c r="B964" t="s">
        <v>753</v>
      </c>
      <c r="C964" t="s">
        <v>118</v>
      </c>
      <c r="D964">
        <v>1</v>
      </c>
      <c r="E964" t="s">
        <v>1627</v>
      </c>
      <c r="F964" t="s">
        <v>2969</v>
      </c>
    </row>
    <row r="965" spans="1:6" x14ac:dyDescent="0.25">
      <c r="A965" t="s">
        <v>2125</v>
      </c>
      <c r="B965" t="s">
        <v>753</v>
      </c>
      <c r="C965" t="s">
        <v>118</v>
      </c>
      <c r="D965">
        <v>2</v>
      </c>
      <c r="E965" t="s">
        <v>1948</v>
      </c>
      <c r="F965" t="s">
        <v>2969</v>
      </c>
    </row>
    <row r="966" spans="1:6" x14ac:dyDescent="0.25">
      <c r="A966" t="s">
        <v>2125</v>
      </c>
      <c r="B966" t="s">
        <v>753</v>
      </c>
      <c r="C966" t="s">
        <v>118</v>
      </c>
      <c r="D966">
        <v>3</v>
      </c>
      <c r="E966" t="s">
        <v>1787</v>
      </c>
      <c r="F966" t="s">
        <v>2969</v>
      </c>
    </row>
    <row r="967" spans="1:6" x14ac:dyDescent="0.25">
      <c r="A967" t="s">
        <v>2125</v>
      </c>
      <c r="B967" t="s">
        <v>753</v>
      </c>
      <c r="C967" t="s">
        <v>118</v>
      </c>
      <c r="D967">
        <v>4</v>
      </c>
      <c r="E967" t="s">
        <v>131</v>
      </c>
      <c r="F967" t="s">
        <v>2969</v>
      </c>
    </row>
    <row r="968" spans="1:6" x14ac:dyDescent="0.25">
      <c r="A968" t="s">
        <v>2125</v>
      </c>
      <c r="B968" t="s">
        <v>753</v>
      </c>
      <c r="C968" t="s">
        <v>118</v>
      </c>
      <c r="D968">
        <v>5</v>
      </c>
      <c r="E968" t="s">
        <v>109</v>
      </c>
      <c r="F968" t="s">
        <v>2969</v>
      </c>
    </row>
    <row r="969" spans="1:6" x14ac:dyDescent="0.25">
      <c r="A969" t="s">
        <v>2125</v>
      </c>
      <c r="B969" t="s">
        <v>753</v>
      </c>
      <c r="C969" t="s">
        <v>118</v>
      </c>
      <c r="D969">
        <v>6</v>
      </c>
      <c r="E969" t="s">
        <v>1809</v>
      </c>
      <c r="F969" t="s">
        <v>2969</v>
      </c>
    </row>
    <row r="970" spans="1:6" x14ac:dyDescent="0.25">
      <c r="A970" t="s">
        <v>2125</v>
      </c>
      <c r="B970" t="s">
        <v>753</v>
      </c>
      <c r="C970" t="s">
        <v>118</v>
      </c>
      <c r="D970">
        <v>7</v>
      </c>
      <c r="E970" t="s">
        <v>2081</v>
      </c>
      <c r="F970" t="s">
        <v>1692</v>
      </c>
    </row>
    <row r="971" spans="1:6" x14ac:dyDescent="0.25">
      <c r="A971" t="s">
        <v>2126</v>
      </c>
      <c r="B971" t="s">
        <v>754</v>
      </c>
      <c r="C971" t="s">
        <v>27</v>
      </c>
      <c r="D971">
        <v>1</v>
      </c>
      <c r="E971" t="s">
        <v>2081</v>
      </c>
      <c r="F971" t="s">
        <v>2969</v>
      </c>
    </row>
    <row r="972" spans="1:6" x14ac:dyDescent="0.25">
      <c r="A972" t="s">
        <v>2127</v>
      </c>
      <c r="B972" t="s">
        <v>755</v>
      </c>
      <c r="C972" t="s">
        <v>76</v>
      </c>
      <c r="D972">
        <v>1</v>
      </c>
      <c r="E972" t="s">
        <v>2128</v>
      </c>
      <c r="F972" t="s">
        <v>2969</v>
      </c>
    </row>
    <row r="973" spans="1:6" x14ac:dyDescent="0.25">
      <c r="A973" t="s">
        <v>2129</v>
      </c>
      <c r="B973" t="s">
        <v>756</v>
      </c>
      <c r="C973" t="s">
        <v>8</v>
      </c>
      <c r="D973">
        <v>1</v>
      </c>
      <c r="E973" t="s">
        <v>2130</v>
      </c>
      <c r="F973" t="s">
        <v>2969</v>
      </c>
    </row>
    <row r="974" spans="1:6" x14ac:dyDescent="0.25">
      <c r="A974" t="s">
        <v>2129</v>
      </c>
      <c r="B974" t="s">
        <v>756</v>
      </c>
      <c r="C974" t="s">
        <v>8</v>
      </c>
      <c r="D974">
        <v>2</v>
      </c>
      <c r="E974" t="s">
        <v>2094</v>
      </c>
      <c r="F974" t="s">
        <v>2969</v>
      </c>
    </row>
    <row r="975" spans="1:6" x14ac:dyDescent="0.25">
      <c r="A975" t="s">
        <v>2129</v>
      </c>
      <c r="B975" t="s">
        <v>756</v>
      </c>
      <c r="C975" t="s">
        <v>8</v>
      </c>
      <c r="D975">
        <v>3</v>
      </c>
      <c r="E975" t="s">
        <v>86</v>
      </c>
      <c r="F975" t="s">
        <v>2969</v>
      </c>
    </row>
    <row r="976" spans="1:6" x14ac:dyDescent="0.25">
      <c r="A976" t="s">
        <v>2131</v>
      </c>
      <c r="B976" t="s">
        <v>758</v>
      </c>
      <c r="C976" t="s">
        <v>92</v>
      </c>
      <c r="D976">
        <v>1</v>
      </c>
      <c r="E976" t="s">
        <v>2003</v>
      </c>
      <c r="F976" t="s">
        <v>2969</v>
      </c>
    </row>
    <row r="977" spans="1:6" x14ac:dyDescent="0.25">
      <c r="A977" t="s">
        <v>2131</v>
      </c>
      <c r="B977" t="s">
        <v>758</v>
      </c>
      <c r="C977" t="s">
        <v>92</v>
      </c>
      <c r="D977">
        <v>2</v>
      </c>
      <c r="E977" t="s">
        <v>1815</v>
      </c>
      <c r="F977" t="s">
        <v>2969</v>
      </c>
    </row>
    <row r="978" spans="1:6" x14ac:dyDescent="0.25">
      <c r="A978" t="s">
        <v>2131</v>
      </c>
      <c r="B978" t="s">
        <v>758</v>
      </c>
      <c r="C978" t="s">
        <v>92</v>
      </c>
      <c r="D978">
        <v>3</v>
      </c>
      <c r="E978" t="s">
        <v>2088</v>
      </c>
      <c r="F978" t="s">
        <v>2969</v>
      </c>
    </row>
    <row r="979" spans="1:6" x14ac:dyDescent="0.25">
      <c r="A979" t="s">
        <v>2132</v>
      </c>
      <c r="B979" t="s">
        <v>759</v>
      </c>
      <c r="C979" t="s">
        <v>125</v>
      </c>
      <c r="D979">
        <v>1</v>
      </c>
      <c r="E979" t="s">
        <v>1704</v>
      </c>
      <c r="F979" t="s">
        <v>2969</v>
      </c>
    </row>
    <row r="980" spans="1:6" x14ac:dyDescent="0.25">
      <c r="A980" t="s">
        <v>2132</v>
      </c>
      <c r="B980" t="s">
        <v>759</v>
      </c>
      <c r="C980" t="s">
        <v>125</v>
      </c>
      <c r="D980">
        <v>2</v>
      </c>
      <c r="E980" t="s">
        <v>1724</v>
      </c>
      <c r="F980" t="s">
        <v>2969</v>
      </c>
    </row>
    <row r="981" spans="1:6" x14ac:dyDescent="0.25">
      <c r="A981" t="s">
        <v>2132</v>
      </c>
      <c r="B981" t="s">
        <v>759</v>
      </c>
      <c r="C981" t="s">
        <v>125</v>
      </c>
      <c r="D981">
        <v>3</v>
      </c>
      <c r="E981" t="s">
        <v>1850</v>
      </c>
      <c r="F981" t="s">
        <v>2969</v>
      </c>
    </row>
    <row r="982" spans="1:6" x14ac:dyDescent="0.25">
      <c r="A982" t="s">
        <v>2133</v>
      </c>
      <c r="B982" t="s">
        <v>761</v>
      </c>
      <c r="C982" t="s">
        <v>92</v>
      </c>
      <c r="D982">
        <v>1</v>
      </c>
      <c r="E982" t="s">
        <v>124</v>
      </c>
      <c r="F982" t="s">
        <v>2969</v>
      </c>
    </row>
    <row r="983" spans="1:6" x14ac:dyDescent="0.25">
      <c r="A983" t="s">
        <v>2133</v>
      </c>
      <c r="B983" t="s">
        <v>761</v>
      </c>
      <c r="C983" t="s">
        <v>92</v>
      </c>
      <c r="D983">
        <v>2</v>
      </c>
      <c r="E983" t="s">
        <v>75</v>
      </c>
      <c r="F983" t="s">
        <v>2969</v>
      </c>
    </row>
    <row r="984" spans="1:6" x14ac:dyDescent="0.25">
      <c r="A984" t="s">
        <v>2133</v>
      </c>
      <c r="B984" t="s">
        <v>761</v>
      </c>
      <c r="C984" t="s">
        <v>92</v>
      </c>
      <c r="D984">
        <v>3</v>
      </c>
      <c r="E984" t="s">
        <v>1728</v>
      </c>
      <c r="F984" t="s">
        <v>2969</v>
      </c>
    </row>
    <row r="985" spans="1:6" x14ac:dyDescent="0.25">
      <c r="A985" t="s">
        <v>2133</v>
      </c>
      <c r="B985" t="s">
        <v>761</v>
      </c>
      <c r="C985" t="s">
        <v>92</v>
      </c>
      <c r="D985">
        <v>4</v>
      </c>
      <c r="E985" t="s">
        <v>1726</v>
      </c>
      <c r="F985" t="s">
        <v>2969</v>
      </c>
    </row>
    <row r="986" spans="1:6" x14ac:dyDescent="0.25">
      <c r="A986" t="s">
        <v>2134</v>
      </c>
      <c r="B986" t="s">
        <v>762</v>
      </c>
      <c r="C986" t="s">
        <v>69</v>
      </c>
      <c r="D986">
        <v>1</v>
      </c>
      <c r="E986" t="s">
        <v>1721</v>
      </c>
      <c r="F986" t="s">
        <v>2969</v>
      </c>
    </row>
    <row r="987" spans="1:6" x14ac:dyDescent="0.25">
      <c r="A987" t="s">
        <v>2134</v>
      </c>
      <c r="B987" t="s">
        <v>762</v>
      </c>
      <c r="C987" t="s">
        <v>69</v>
      </c>
      <c r="D987">
        <v>2</v>
      </c>
      <c r="E987" t="s">
        <v>104</v>
      </c>
      <c r="F987" t="s">
        <v>2969</v>
      </c>
    </row>
    <row r="988" spans="1:6" x14ac:dyDescent="0.25">
      <c r="A988" t="s">
        <v>2134</v>
      </c>
      <c r="B988" t="s">
        <v>762</v>
      </c>
      <c r="C988" t="s">
        <v>69</v>
      </c>
      <c r="D988">
        <v>3</v>
      </c>
      <c r="E988" t="s">
        <v>91</v>
      </c>
      <c r="F988" t="s">
        <v>2969</v>
      </c>
    </row>
    <row r="989" spans="1:6" x14ac:dyDescent="0.25">
      <c r="A989" t="s">
        <v>2134</v>
      </c>
      <c r="B989" t="s">
        <v>762</v>
      </c>
      <c r="C989" t="s">
        <v>69</v>
      </c>
      <c r="D989">
        <v>4</v>
      </c>
      <c r="E989" t="s">
        <v>89</v>
      </c>
      <c r="F989" t="s">
        <v>2969</v>
      </c>
    </row>
    <row r="990" spans="1:6" x14ac:dyDescent="0.25">
      <c r="A990" t="s">
        <v>2134</v>
      </c>
      <c r="B990" t="s">
        <v>762</v>
      </c>
      <c r="C990" t="s">
        <v>69</v>
      </c>
      <c r="D990">
        <v>5</v>
      </c>
      <c r="E990" t="s">
        <v>1857</v>
      </c>
      <c r="F990" t="s">
        <v>2969</v>
      </c>
    </row>
    <row r="991" spans="1:6" x14ac:dyDescent="0.25">
      <c r="A991" t="s">
        <v>2135</v>
      </c>
      <c r="B991" t="s">
        <v>763</v>
      </c>
      <c r="C991" t="s">
        <v>14</v>
      </c>
      <c r="D991">
        <v>1</v>
      </c>
      <c r="E991" t="s">
        <v>68</v>
      </c>
      <c r="F991" t="s">
        <v>2969</v>
      </c>
    </row>
    <row r="992" spans="1:6" x14ac:dyDescent="0.25">
      <c r="A992" t="s">
        <v>2135</v>
      </c>
      <c r="B992" t="s">
        <v>763</v>
      </c>
      <c r="C992" t="s">
        <v>14</v>
      </c>
      <c r="D992">
        <v>2</v>
      </c>
      <c r="E992" t="s">
        <v>2751</v>
      </c>
      <c r="F992" t="s">
        <v>2969</v>
      </c>
    </row>
    <row r="993" spans="1:6" x14ac:dyDescent="0.25">
      <c r="A993" t="s">
        <v>2136</v>
      </c>
      <c r="B993" t="s">
        <v>765</v>
      </c>
      <c r="C993" t="s">
        <v>27</v>
      </c>
      <c r="D993">
        <v>1</v>
      </c>
      <c r="E993" t="s">
        <v>1891</v>
      </c>
      <c r="F993" t="s">
        <v>2969</v>
      </c>
    </row>
    <row r="994" spans="1:6" x14ac:dyDescent="0.25">
      <c r="A994" t="s">
        <v>2136</v>
      </c>
      <c r="B994" t="s">
        <v>765</v>
      </c>
      <c r="C994" t="s">
        <v>27</v>
      </c>
      <c r="D994">
        <v>2</v>
      </c>
      <c r="E994" t="s">
        <v>1661</v>
      </c>
      <c r="F994" t="s">
        <v>2969</v>
      </c>
    </row>
    <row r="995" spans="1:6" x14ac:dyDescent="0.25">
      <c r="A995" t="s">
        <v>2136</v>
      </c>
      <c r="B995" t="s">
        <v>765</v>
      </c>
      <c r="C995" t="s">
        <v>27</v>
      </c>
      <c r="D995">
        <v>3</v>
      </c>
      <c r="E995" t="s">
        <v>1764</v>
      </c>
      <c r="F995" t="s">
        <v>2969</v>
      </c>
    </row>
    <row r="996" spans="1:6" x14ac:dyDescent="0.25">
      <c r="A996" t="s">
        <v>2137</v>
      </c>
      <c r="B996" t="s">
        <v>766</v>
      </c>
      <c r="C996" t="s">
        <v>118</v>
      </c>
      <c r="D996">
        <v>1</v>
      </c>
      <c r="E996" t="s">
        <v>135</v>
      </c>
      <c r="F996" t="s">
        <v>2969</v>
      </c>
    </row>
    <row r="997" spans="1:6" x14ac:dyDescent="0.25">
      <c r="A997" t="s">
        <v>2138</v>
      </c>
      <c r="B997" t="s">
        <v>767</v>
      </c>
      <c r="C997" t="s">
        <v>79</v>
      </c>
      <c r="D997">
        <v>1</v>
      </c>
      <c r="E997" t="s">
        <v>1953</v>
      </c>
      <c r="F997" t="s">
        <v>2969</v>
      </c>
    </row>
    <row r="998" spans="1:6" x14ac:dyDescent="0.25">
      <c r="A998" t="s">
        <v>2138</v>
      </c>
      <c r="B998" t="s">
        <v>767</v>
      </c>
      <c r="C998" t="s">
        <v>79</v>
      </c>
      <c r="D998">
        <v>2</v>
      </c>
      <c r="E998" t="s">
        <v>1643</v>
      </c>
      <c r="F998" t="s">
        <v>2969</v>
      </c>
    </row>
    <row r="999" spans="1:6" x14ac:dyDescent="0.25">
      <c r="A999" t="s">
        <v>2138</v>
      </c>
      <c r="B999" t="s">
        <v>767</v>
      </c>
      <c r="C999" t="s">
        <v>79</v>
      </c>
      <c r="D999">
        <v>3</v>
      </c>
      <c r="E999" t="s">
        <v>2003</v>
      </c>
      <c r="F999" t="s">
        <v>2969</v>
      </c>
    </row>
    <row r="1000" spans="1:6" x14ac:dyDescent="0.25">
      <c r="A1000" t="s">
        <v>2138</v>
      </c>
      <c r="B1000" t="s">
        <v>767</v>
      </c>
      <c r="C1000" t="s">
        <v>79</v>
      </c>
      <c r="D1000">
        <v>4</v>
      </c>
      <c r="E1000" t="s">
        <v>2032</v>
      </c>
      <c r="F1000" t="s">
        <v>2969</v>
      </c>
    </row>
    <row r="1001" spans="1:6" x14ac:dyDescent="0.25">
      <c r="A1001" t="s">
        <v>2138</v>
      </c>
      <c r="B1001" t="s">
        <v>767</v>
      </c>
      <c r="C1001" t="s">
        <v>79</v>
      </c>
      <c r="D1001">
        <v>5</v>
      </c>
      <c r="E1001" t="s">
        <v>2088</v>
      </c>
      <c r="F1001" t="s">
        <v>2969</v>
      </c>
    </row>
    <row r="1002" spans="1:6" x14ac:dyDescent="0.25">
      <c r="A1002" t="s">
        <v>2138</v>
      </c>
      <c r="B1002" t="s">
        <v>767</v>
      </c>
      <c r="C1002" t="s">
        <v>79</v>
      </c>
      <c r="D1002">
        <v>6</v>
      </c>
      <c r="E1002" t="s">
        <v>1844</v>
      </c>
      <c r="F1002" t="s">
        <v>2969</v>
      </c>
    </row>
    <row r="1003" spans="1:6" x14ac:dyDescent="0.25">
      <c r="A1003" t="s">
        <v>2138</v>
      </c>
      <c r="B1003" t="s">
        <v>767</v>
      </c>
      <c r="C1003" t="s">
        <v>79</v>
      </c>
      <c r="D1003">
        <v>7</v>
      </c>
      <c r="E1003" t="s">
        <v>1683</v>
      </c>
      <c r="F1003" t="s">
        <v>1692</v>
      </c>
    </row>
    <row r="1004" spans="1:6" x14ac:dyDescent="0.25">
      <c r="A1004" t="s">
        <v>2139</v>
      </c>
      <c r="B1004" t="s">
        <v>768</v>
      </c>
      <c r="C1004" t="s">
        <v>37</v>
      </c>
      <c r="D1004">
        <v>1</v>
      </c>
      <c r="E1004" t="s">
        <v>1649</v>
      </c>
      <c r="F1004" t="s">
        <v>2969</v>
      </c>
    </row>
    <row r="1005" spans="1:6" x14ac:dyDescent="0.25">
      <c r="A1005" t="s">
        <v>2139</v>
      </c>
      <c r="B1005" t="s">
        <v>768</v>
      </c>
      <c r="C1005" t="s">
        <v>37</v>
      </c>
      <c r="D1005">
        <v>2</v>
      </c>
      <c r="E1005" t="s">
        <v>1697</v>
      </c>
      <c r="F1005" t="s">
        <v>2969</v>
      </c>
    </row>
    <row r="1006" spans="1:6" x14ac:dyDescent="0.25">
      <c r="A1006" t="s">
        <v>2140</v>
      </c>
      <c r="B1006" t="s">
        <v>770</v>
      </c>
      <c r="C1006" t="s">
        <v>65</v>
      </c>
      <c r="D1006">
        <v>1</v>
      </c>
      <c r="E1006" t="s">
        <v>1953</v>
      </c>
      <c r="F1006" t="s">
        <v>2969</v>
      </c>
    </row>
    <row r="1007" spans="1:6" x14ac:dyDescent="0.25">
      <c r="A1007" t="s">
        <v>2140</v>
      </c>
      <c r="B1007" t="s">
        <v>770</v>
      </c>
      <c r="C1007" t="s">
        <v>65</v>
      </c>
      <c r="D1007">
        <v>2</v>
      </c>
      <c r="E1007" t="s">
        <v>1629</v>
      </c>
      <c r="F1007" t="s">
        <v>2969</v>
      </c>
    </row>
    <row r="1008" spans="1:6" x14ac:dyDescent="0.25">
      <c r="A1008" t="s">
        <v>2141</v>
      </c>
      <c r="B1008" t="s">
        <v>771</v>
      </c>
      <c r="C1008" t="s">
        <v>43</v>
      </c>
      <c r="D1008">
        <v>1</v>
      </c>
      <c r="E1008" t="s">
        <v>30</v>
      </c>
      <c r="F1008" t="s">
        <v>2969</v>
      </c>
    </row>
    <row r="1009" spans="1:6" x14ac:dyDescent="0.25">
      <c r="A1009" t="s">
        <v>2141</v>
      </c>
      <c r="B1009" t="s">
        <v>771</v>
      </c>
      <c r="C1009" t="s">
        <v>43</v>
      </c>
      <c r="D1009">
        <v>2</v>
      </c>
      <c r="E1009" t="s">
        <v>131</v>
      </c>
      <c r="F1009" t="s">
        <v>2969</v>
      </c>
    </row>
    <row r="1010" spans="1:6" x14ac:dyDescent="0.25">
      <c r="A1010" t="s">
        <v>2141</v>
      </c>
      <c r="B1010" t="s">
        <v>771</v>
      </c>
      <c r="C1010" t="s">
        <v>43</v>
      </c>
      <c r="D1010">
        <v>3</v>
      </c>
      <c r="E1010" t="s">
        <v>1785</v>
      </c>
      <c r="F1010" t="s">
        <v>2969</v>
      </c>
    </row>
    <row r="1011" spans="1:6" x14ac:dyDescent="0.25">
      <c r="A1011" t="s">
        <v>2141</v>
      </c>
      <c r="B1011" t="s">
        <v>771</v>
      </c>
      <c r="C1011" t="s">
        <v>43</v>
      </c>
      <c r="D1011">
        <v>4</v>
      </c>
      <c r="E1011" t="s">
        <v>1859</v>
      </c>
      <c r="F1011" t="s">
        <v>2969</v>
      </c>
    </row>
    <row r="1012" spans="1:6" x14ac:dyDescent="0.25">
      <c r="A1012" t="s">
        <v>2141</v>
      </c>
      <c r="B1012" t="s">
        <v>771</v>
      </c>
      <c r="C1012" t="s">
        <v>43</v>
      </c>
      <c r="D1012">
        <v>5</v>
      </c>
      <c r="E1012" t="s">
        <v>1915</v>
      </c>
      <c r="F1012" t="s">
        <v>2969</v>
      </c>
    </row>
    <row r="1013" spans="1:6" x14ac:dyDescent="0.25">
      <c r="A1013" t="s">
        <v>2141</v>
      </c>
      <c r="B1013" t="s">
        <v>771</v>
      </c>
      <c r="C1013" t="s">
        <v>43</v>
      </c>
      <c r="D1013">
        <v>6</v>
      </c>
      <c r="E1013" t="s">
        <v>36</v>
      </c>
      <c r="F1013" t="s">
        <v>2969</v>
      </c>
    </row>
    <row r="1014" spans="1:6" x14ac:dyDescent="0.25">
      <c r="A1014" t="s">
        <v>2141</v>
      </c>
      <c r="B1014" t="s">
        <v>771</v>
      </c>
      <c r="C1014" t="s">
        <v>43</v>
      </c>
      <c r="D1014">
        <v>7</v>
      </c>
      <c r="E1014" t="s">
        <v>2217</v>
      </c>
      <c r="F1014" t="s">
        <v>1692</v>
      </c>
    </row>
    <row r="1015" spans="1:6" x14ac:dyDescent="0.25">
      <c r="A1015" t="s">
        <v>2142</v>
      </c>
      <c r="B1015" t="s">
        <v>772</v>
      </c>
      <c r="C1015" t="s">
        <v>97</v>
      </c>
      <c r="D1015">
        <v>1</v>
      </c>
      <c r="E1015" t="s">
        <v>75</v>
      </c>
      <c r="F1015" t="s">
        <v>2969</v>
      </c>
    </row>
    <row r="1016" spans="1:6" x14ac:dyDescent="0.25">
      <c r="A1016" t="s">
        <v>2142</v>
      </c>
      <c r="B1016" t="s">
        <v>772</v>
      </c>
      <c r="C1016" t="s">
        <v>97</v>
      </c>
      <c r="D1016">
        <v>2</v>
      </c>
      <c r="E1016" t="s">
        <v>89</v>
      </c>
      <c r="F1016" t="s">
        <v>2969</v>
      </c>
    </row>
    <row r="1017" spans="1:6" x14ac:dyDescent="0.25">
      <c r="A1017" t="s">
        <v>2142</v>
      </c>
      <c r="B1017" t="s">
        <v>772</v>
      </c>
      <c r="C1017" t="s">
        <v>97</v>
      </c>
      <c r="D1017">
        <v>3</v>
      </c>
      <c r="E1017" t="s">
        <v>1772</v>
      </c>
      <c r="F1017" t="s">
        <v>2969</v>
      </c>
    </row>
    <row r="1018" spans="1:6" x14ac:dyDescent="0.25">
      <c r="A1018" t="s">
        <v>2143</v>
      </c>
      <c r="B1018" t="s">
        <v>773</v>
      </c>
      <c r="C1018" t="s">
        <v>27</v>
      </c>
      <c r="D1018">
        <v>1</v>
      </c>
      <c r="E1018" t="s">
        <v>1691</v>
      </c>
      <c r="F1018" t="s">
        <v>2969</v>
      </c>
    </row>
    <row r="1019" spans="1:6" x14ac:dyDescent="0.25">
      <c r="A1019" t="s">
        <v>2144</v>
      </c>
      <c r="B1019" t="s">
        <v>774</v>
      </c>
      <c r="C1019" t="s">
        <v>90</v>
      </c>
      <c r="D1019">
        <v>1</v>
      </c>
      <c r="E1019" t="s">
        <v>1801</v>
      </c>
      <c r="F1019" t="s">
        <v>2969</v>
      </c>
    </row>
    <row r="1020" spans="1:6" x14ac:dyDescent="0.25">
      <c r="A1020" t="s">
        <v>2144</v>
      </c>
      <c r="B1020" t="s">
        <v>774</v>
      </c>
      <c r="C1020" t="s">
        <v>90</v>
      </c>
      <c r="D1020">
        <v>2</v>
      </c>
      <c r="E1020" t="s">
        <v>68</v>
      </c>
      <c r="F1020" t="s">
        <v>2969</v>
      </c>
    </row>
    <row r="1021" spans="1:6" x14ac:dyDescent="0.25">
      <c r="A1021" t="s">
        <v>2144</v>
      </c>
      <c r="B1021" t="s">
        <v>774</v>
      </c>
      <c r="C1021" t="s">
        <v>90</v>
      </c>
      <c r="D1021">
        <v>3</v>
      </c>
      <c r="E1021" t="s">
        <v>1634</v>
      </c>
      <c r="F1021" t="s">
        <v>2969</v>
      </c>
    </row>
    <row r="1022" spans="1:6" x14ac:dyDescent="0.25">
      <c r="A1022" t="s">
        <v>2145</v>
      </c>
      <c r="B1022" t="s">
        <v>775</v>
      </c>
      <c r="C1022" t="s">
        <v>113</v>
      </c>
      <c r="D1022">
        <v>1</v>
      </c>
      <c r="E1022" t="s">
        <v>1632</v>
      </c>
      <c r="F1022" t="s">
        <v>2969</v>
      </c>
    </row>
    <row r="1023" spans="1:6" x14ac:dyDescent="0.25">
      <c r="A1023" t="s">
        <v>2145</v>
      </c>
      <c r="B1023" t="s">
        <v>775</v>
      </c>
      <c r="C1023" t="s">
        <v>113</v>
      </c>
      <c r="D1023">
        <v>2</v>
      </c>
      <c r="E1023" t="s">
        <v>2111</v>
      </c>
      <c r="F1023" t="s">
        <v>2969</v>
      </c>
    </row>
    <row r="1024" spans="1:6" x14ac:dyDescent="0.25">
      <c r="A1024" t="s">
        <v>2145</v>
      </c>
      <c r="B1024" t="s">
        <v>775</v>
      </c>
      <c r="C1024" t="s">
        <v>113</v>
      </c>
      <c r="D1024">
        <v>3</v>
      </c>
      <c r="E1024" t="s">
        <v>22</v>
      </c>
      <c r="F1024" t="s">
        <v>2969</v>
      </c>
    </row>
    <row r="1025" spans="1:6" x14ac:dyDescent="0.25">
      <c r="A1025" t="s">
        <v>2146</v>
      </c>
      <c r="B1025" t="s">
        <v>777</v>
      </c>
      <c r="C1025" t="s">
        <v>107</v>
      </c>
      <c r="D1025">
        <v>1</v>
      </c>
      <c r="E1025" t="s">
        <v>1687</v>
      </c>
      <c r="F1025" t="s">
        <v>2969</v>
      </c>
    </row>
    <row r="1026" spans="1:6" x14ac:dyDescent="0.25">
      <c r="A1026" t="s">
        <v>2146</v>
      </c>
      <c r="B1026" t="s">
        <v>777</v>
      </c>
      <c r="C1026" t="s">
        <v>107</v>
      </c>
      <c r="D1026">
        <v>2</v>
      </c>
      <c r="E1026" t="s">
        <v>1915</v>
      </c>
      <c r="F1026" t="s">
        <v>2969</v>
      </c>
    </row>
    <row r="1027" spans="1:6" x14ac:dyDescent="0.25">
      <c r="A1027" t="s">
        <v>2147</v>
      </c>
      <c r="B1027" t="s">
        <v>778</v>
      </c>
      <c r="C1027" t="s">
        <v>46</v>
      </c>
      <c r="D1027">
        <v>1</v>
      </c>
      <c r="E1027" t="s">
        <v>1772</v>
      </c>
      <c r="F1027" t="s">
        <v>2969</v>
      </c>
    </row>
    <row r="1028" spans="1:6" x14ac:dyDescent="0.25">
      <c r="A1028" t="s">
        <v>2147</v>
      </c>
      <c r="B1028" t="s">
        <v>778</v>
      </c>
      <c r="C1028" t="s">
        <v>46</v>
      </c>
      <c r="D1028">
        <v>2</v>
      </c>
      <c r="E1028" t="s">
        <v>1726</v>
      </c>
      <c r="F1028" t="s">
        <v>2969</v>
      </c>
    </row>
    <row r="1029" spans="1:6" x14ac:dyDescent="0.25">
      <c r="A1029" t="s">
        <v>2147</v>
      </c>
      <c r="B1029" t="s">
        <v>778</v>
      </c>
      <c r="C1029" t="s">
        <v>46</v>
      </c>
      <c r="D1029">
        <v>3</v>
      </c>
      <c r="E1029" t="s">
        <v>1862</v>
      </c>
      <c r="F1029" t="s">
        <v>2969</v>
      </c>
    </row>
    <row r="1030" spans="1:6" x14ac:dyDescent="0.25">
      <c r="A1030" t="s">
        <v>2148</v>
      </c>
      <c r="B1030" t="s">
        <v>779</v>
      </c>
      <c r="C1030" t="s">
        <v>79</v>
      </c>
      <c r="D1030">
        <v>1</v>
      </c>
      <c r="E1030" t="s">
        <v>124</v>
      </c>
      <c r="F1030" t="s">
        <v>2969</v>
      </c>
    </row>
    <row r="1031" spans="1:6" x14ac:dyDescent="0.25">
      <c r="A1031" t="s">
        <v>2148</v>
      </c>
      <c r="B1031" t="s">
        <v>779</v>
      </c>
      <c r="C1031" t="s">
        <v>79</v>
      </c>
      <c r="D1031">
        <v>2</v>
      </c>
      <c r="E1031" t="s">
        <v>75</v>
      </c>
      <c r="F1031" t="s">
        <v>2969</v>
      </c>
    </row>
    <row r="1032" spans="1:6" x14ac:dyDescent="0.25">
      <c r="A1032" t="s">
        <v>2148</v>
      </c>
      <c r="B1032" t="s">
        <v>779</v>
      </c>
      <c r="C1032" t="s">
        <v>79</v>
      </c>
      <c r="D1032">
        <v>3</v>
      </c>
      <c r="E1032" t="s">
        <v>1772</v>
      </c>
      <c r="F1032" t="s">
        <v>2969</v>
      </c>
    </row>
    <row r="1033" spans="1:6" x14ac:dyDescent="0.25">
      <c r="A1033" t="s">
        <v>2149</v>
      </c>
      <c r="B1033" t="s">
        <v>780</v>
      </c>
      <c r="C1033" t="s">
        <v>125</v>
      </c>
      <c r="D1033">
        <v>1</v>
      </c>
      <c r="E1033" t="s">
        <v>120</v>
      </c>
      <c r="F1033" t="s">
        <v>2969</v>
      </c>
    </row>
    <row r="1034" spans="1:6" x14ac:dyDescent="0.25">
      <c r="A1034" t="s">
        <v>2149</v>
      </c>
      <c r="B1034" t="s">
        <v>780</v>
      </c>
      <c r="C1034" t="s">
        <v>125</v>
      </c>
      <c r="D1034">
        <v>2</v>
      </c>
      <c r="E1034" t="s">
        <v>1833</v>
      </c>
      <c r="F1034" t="s">
        <v>2969</v>
      </c>
    </row>
    <row r="1035" spans="1:6" x14ac:dyDescent="0.25">
      <c r="A1035" t="s">
        <v>2149</v>
      </c>
      <c r="B1035" t="s">
        <v>780</v>
      </c>
      <c r="C1035" t="s">
        <v>125</v>
      </c>
      <c r="D1035">
        <v>3</v>
      </c>
      <c r="E1035" t="s">
        <v>1689</v>
      </c>
      <c r="F1035" t="s">
        <v>2969</v>
      </c>
    </row>
    <row r="1036" spans="1:6" x14ac:dyDescent="0.25">
      <c r="A1036" t="s">
        <v>2150</v>
      </c>
      <c r="B1036" t="s">
        <v>781</v>
      </c>
      <c r="C1036" t="s">
        <v>56</v>
      </c>
      <c r="D1036">
        <v>1</v>
      </c>
      <c r="E1036" t="s">
        <v>1886</v>
      </c>
      <c r="F1036" t="s">
        <v>2969</v>
      </c>
    </row>
    <row r="1037" spans="1:6" x14ac:dyDescent="0.25">
      <c r="A1037" t="s">
        <v>2150</v>
      </c>
      <c r="B1037" t="s">
        <v>781</v>
      </c>
      <c r="C1037" t="s">
        <v>56</v>
      </c>
      <c r="D1037">
        <v>2</v>
      </c>
      <c r="E1037" t="s">
        <v>2336</v>
      </c>
      <c r="F1037" t="s">
        <v>2969</v>
      </c>
    </row>
    <row r="1038" spans="1:6" x14ac:dyDescent="0.25">
      <c r="A1038" t="s">
        <v>2151</v>
      </c>
      <c r="B1038" t="s">
        <v>782</v>
      </c>
      <c r="C1038" t="s">
        <v>112</v>
      </c>
      <c r="D1038">
        <v>1</v>
      </c>
      <c r="E1038" t="s">
        <v>1824</v>
      </c>
      <c r="F1038" t="s">
        <v>2969</v>
      </c>
    </row>
    <row r="1039" spans="1:6" x14ac:dyDescent="0.25">
      <c r="A1039" t="s">
        <v>2151</v>
      </c>
      <c r="B1039" t="s">
        <v>782</v>
      </c>
      <c r="C1039" t="s">
        <v>112</v>
      </c>
      <c r="D1039">
        <v>2</v>
      </c>
      <c r="E1039" t="s">
        <v>1649</v>
      </c>
      <c r="F1039" t="s">
        <v>2969</v>
      </c>
    </row>
    <row r="1040" spans="1:6" x14ac:dyDescent="0.25">
      <c r="A1040" t="s">
        <v>2151</v>
      </c>
      <c r="B1040" t="s">
        <v>782</v>
      </c>
      <c r="C1040" t="s">
        <v>112</v>
      </c>
      <c r="D1040">
        <v>3</v>
      </c>
      <c r="E1040" t="s">
        <v>1713</v>
      </c>
      <c r="F1040" t="s">
        <v>2969</v>
      </c>
    </row>
    <row r="1041" spans="1:6" x14ac:dyDescent="0.25">
      <c r="A1041" t="s">
        <v>2152</v>
      </c>
      <c r="B1041" t="s">
        <v>783</v>
      </c>
      <c r="C1041" t="s">
        <v>118</v>
      </c>
      <c r="D1041">
        <v>1</v>
      </c>
      <c r="E1041" t="s">
        <v>1649</v>
      </c>
      <c r="F1041" t="s">
        <v>2969</v>
      </c>
    </row>
    <row r="1042" spans="1:6" x14ac:dyDescent="0.25">
      <c r="A1042" t="s">
        <v>2152</v>
      </c>
      <c r="B1042" t="s">
        <v>783</v>
      </c>
      <c r="C1042" t="s">
        <v>118</v>
      </c>
      <c r="D1042">
        <v>2</v>
      </c>
      <c r="E1042" t="s">
        <v>1713</v>
      </c>
      <c r="F1042" t="s">
        <v>2969</v>
      </c>
    </row>
    <row r="1043" spans="1:6" x14ac:dyDescent="0.25">
      <c r="A1043" t="s">
        <v>2152</v>
      </c>
      <c r="B1043" t="s">
        <v>783</v>
      </c>
      <c r="C1043" t="s">
        <v>118</v>
      </c>
      <c r="D1043">
        <v>3</v>
      </c>
      <c r="E1043" t="s">
        <v>1701</v>
      </c>
      <c r="F1043" t="s">
        <v>2969</v>
      </c>
    </row>
    <row r="1044" spans="1:6" x14ac:dyDescent="0.25">
      <c r="A1044" t="s">
        <v>2153</v>
      </c>
      <c r="B1044" t="s">
        <v>784</v>
      </c>
      <c r="C1044" t="s">
        <v>118</v>
      </c>
      <c r="D1044">
        <v>1</v>
      </c>
      <c r="E1044" t="s">
        <v>1687</v>
      </c>
      <c r="F1044" t="s">
        <v>2969</v>
      </c>
    </row>
    <row r="1045" spans="1:6" x14ac:dyDescent="0.25">
      <c r="A1045" t="s">
        <v>2153</v>
      </c>
      <c r="B1045" t="s">
        <v>784</v>
      </c>
      <c r="C1045" t="s">
        <v>118</v>
      </c>
      <c r="D1045">
        <v>2</v>
      </c>
      <c r="E1045" t="s">
        <v>36</v>
      </c>
      <c r="F1045" t="s">
        <v>2969</v>
      </c>
    </row>
    <row r="1046" spans="1:6" x14ac:dyDescent="0.25">
      <c r="A1046" t="s">
        <v>2153</v>
      </c>
      <c r="B1046" t="s">
        <v>784</v>
      </c>
      <c r="C1046" t="s">
        <v>118</v>
      </c>
      <c r="D1046">
        <v>3</v>
      </c>
      <c r="E1046" t="s">
        <v>1891</v>
      </c>
      <c r="F1046" t="s">
        <v>2969</v>
      </c>
    </row>
    <row r="1047" spans="1:6" x14ac:dyDescent="0.25">
      <c r="A1047" t="s">
        <v>2154</v>
      </c>
      <c r="B1047" t="s">
        <v>785</v>
      </c>
      <c r="C1047" t="s">
        <v>113</v>
      </c>
      <c r="D1047">
        <v>1</v>
      </c>
      <c r="E1047" t="s">
        <v>2111</v>
      </c>
      <c r="F1047" t="s">
        <v>2969</v>
      </c>
    </row>
    <row r="1048" spans="1:6" x14ac:dyDescent="0.25">
      <c r="A1048" t="s">
        <v>2154</v>
      </c>
      <c r="B1048" t="s">
        <v>785</v>
      </c>
      <c r="C1048" t="s">
        <v>113</v>
      </c>
      <c r="D1048">
        <v>2</v>
      </c>
      <c r="E1048" t="s">
        <v>1908</v>
      </c>
      <c r="F1048" t="s">
        <v>2969</v>
      </c>
    </row>
    <row r="1049" spans="1:6" x14ac:dyDescent="0.25">
      <c r="A1049" t="s">
        <v>2154</v>
      </c>
      <c r="B1049" t="s">
        <v>785</v>
      </c>
      <c r="C1049" t="s">
        <v>113</v>
      </c>
      <c r="D1049">
        <v>3</v>
      </c>
      <c r="E1049" t="s">
        <v>2344</v>
      </c>
      <c r="F1049" t="s">
        <v>2969</v>
      </c>
    </row>
    <row r="1050" spans="1:6" x14ac:dyDescent="0.25">
      <c r="A1050" t="s">
        <v>2155</v>
      </c>
      <c r="B1050" t="s">
        <v>786</v>
      </c>
      <c r="C1050" t="s">
        <v>92</v>
      </c>
      <c r="D1050">
        <v>1</v>
      </c>
      <c r="E1050" t="s">
        <v>1726</v>
      </c>
      <c r="F1050" t="s">
        <v>2969</v>
      </c>
    </row>
    <row r="1051" spans="1:6" x14ac:dyDescent="0.25">
      <c r="A1051" t="s">
        <v>2155</v>
      </c>
      <c r="B1051" t="s">
        <v>786</v>
      </c>
      <c r="C1051" t="s">
        <v>92</v>
      </c>
      <c r="D1051">
        <v>2</v>
      </c>
      <c r="E1051" t="s">
        <v>1862</v>
      </c>
      <c r="F1051" t="s">
        <v>2969</v>
      </c>
    </row>
    <row r="1052" spans="1:6" x14ac:dyDescent="0.25">
      <c r="A1052" t="s">
        <v>2156</v>
      </c>
      <c r="B1052" t="s">
        <v>787</v>
      </c>
      <c r="C1052" t="s">
        <v>59</v>
      </c>
      <c r="D1052">
        <v>1</v>
      </c>
      <c r="E1052" t="s">
        <v>1904</v>
      </c>
      <c r="F1052" t="s">
        <v>2969</v>
      </c>
    </row>
    <row r="1053" spans="1:6" x14ac:dyDescent="0.25">
      <c r="A1053" t="s">
        <v>2156</v>
      </c>
      <c r="B1053" t="s">
        <v>787</v>
      </c>
      <c r="C1053" t="s">
        <v>59</v>
      </c>
      <c r="D1053">
        <v>2</v>
      </c>
      <c r="E1053" t="s">
        <v>82</v>
      </c>
      <c r="F1053" t="s">
        <v>2969</v>
      </c>
    </row>
    <row r="1054" spans="1:6" x14ac:dyDescent="0.25">
      <c r="A1054" t="s">
        <v>2157</v>
      </c>
      <c r="B1054" t="s">
        <v>788</v>
      </c>
      <c r="C1054" t="s">
        <v>101</v>
      </c>
      <c r="D1054">
        <v>1</v>
      </c>
      <c r="E1054" t="s">
        <v>120</v>
      </c>
      <c r="F1054" t="s">
        <v>2969</v>
      </c>
    </row>
    <row r="1055" spans="1:6" x14ac:dyDescent="0.25">
      <c r="A1055" t="s">
        <v>2158</v>
      </c>
      <c r="B1055" t="s">
        <v>790</v>
      </c>
      <c r="C1055" t="s">
        <v>43</v>
      </c>
      <c r="D1055">
        <v>1</v>
      </c>
      <c r="E1055" t="s">
        <v>1701</v>
      </c>
      <c r="F1055" t="s">
        <v>2969</v>
      </c>
    </row>
    <row r="1056" spans="1:6" x14ac:dyDescent="0.25">
      <c r="A1056" t="s">
        <v>2158</v>
      </c>
      <c r="B1056" t="s">
        <v>790</v>
      </c>
      <c r="C1056" t="s">
        <v>43</v>
      </c>
      <c r="D1056">
        <v>2</v>
      </c>
      <c r="E1056" t="s">
        <v>1707</v>
      </c>
      <c r="F1056" t="s">
        <v>2969</v>
      </c>
    </row>
    <row r="1057" spans="1:6" x14ac:dyDescent="0.25">
      <c r="A1057" t="s">
        <v>2159</v>
      </c>
      <c r="B1057" t="s">
        <v>792</v>
      </c>
      <c r="C1057" t="s">
        <v>85</v>
      </c>
      <c r="D1057">
        <v>1</v>
      </c>
      <c r="E1057" t="s">
        <v>1857</v>
      </c>
      <c r="F1057" t="s">
        <v>2969</v>
      </c>
    </row>
    <row r="1058" spans="1:6" x14ac:dyDescent="0.25">
      <c r="A1058" t="s">
        <v>2159</v>
      </c>
      <c r="B1058" t="s">
        <v>792</v>
      </c>
      <c r="C1058" t="s">
        <v>85</v>
      </c>
      <c r="D1058">
        <v>2</v>
      </c>
      <c r="E1058" t="s">
        <v>78</v>
      </c>
      <c r="F1058" t="s">
        <v>2969</v>
      </c>
    </row>
    <row r="1059" spans="1:6" x14ac:dyDescent="0.25">
      <c r="A1059" t="s">
        <v>2159</v>
      </c>
      <c r="B1059" t="s">
        <v>792</v>
      </c>
      <c r="C1059" t="s">
        <v>85</v>
      </c>
      <c r="D1059">
        <v>3</v>
      </c>
      <c r="E1059" t="s">
        <v>64</v>
      </c>
      <c r="F1059" t="s">
        <v>2969</v>
      </c>
    </row>
    <row r="1060" spans="1:6" x14ac:dyDescent="0.25">
      <c r="A1060" t="s">
        <v>2159</v>
      </c>
      <c r="B1060" t="s">
        <v>792</v>
      </c>
      <c r="C1060" t="s">
        <v>85</v>
      </c>
      <c r="D1060">
        <v>4</v>
      </c>
      <c r="E1060" t="s">
        <v>1624</v>
      </c>
      <c r="F1060" t="s">
        <v>2969</v>
      </c>
    </row>
    <row r="1061" spans="1:6" x14ac:dyDescent="0.25">
      <c r="A1061" t="s">
        <v>2159</v>
      </c>
      <c r="B1061" t="s">
        <v>792</v>
      </c>
      <c r="C1061" t="s">
        <v>85</v>
      </c>
      <c r="D1061">
        <v>5</v>
      </c>
      <c r="E1061" t="s">
        <v>1621</v>
      </c>
      <c r="F1061" t="s">
        <v>2969</v>
      </c>
    </row>
    <row r="1062" spans="1:6" x14ac:dyDescent="0.25">
      <c r="A1062" t="s">
        <v>2159</v>
      </c>
      <c r="B1062" t="s">
        <v>792</v>
      </c>
      <c r="C1062" t="s">
        <v>85</v>
      </c>
      <c r="D1062">
        <v>6</v>
      </c>
      <c r="E1062" t="s">
        <v>2169</v>
      </c>
      <c r="F1062" t="s">
        <v>2969</v>
      </c>
    </row>
    <row r="1063" spans="1:6" x14ac:dyDescent="0.25">
      <c r="A1063" t="s">
        <v>2159</v>
      </c>
      <c r="B1063" t="s">
        <v>792</v>
      </c>
      <c r="C1063" t="s">
        <v>85</v>
      </c>
      <c r="D1063">
        <v>7</v>
      </c>
      <c r="E1063" t="s">
        <v>1781</v>
      </c>
      <c r="F1063" t="s">
        <v>1692</v>
      </c>
    </row>
    <row r="1064" spans="1:6" x14ac:dyDescent="0.25">
      <c r="A1064" t="s">
        <v>2160</v>
      </c>
      <c r="B1064" t="s">
        <v>793</v>
      </c>
      <c r="C1064" t="s">
        <v>14</v>
      </c>
      <c r="D1064">
        <v>1</v>
      </c>
      <c r="E1064" t="s">
        <v>1812</v>
      </c>
      <c r="F1064" t="s">
        <v>2969</v>
      </c>
    </row>
    <row r="1065" spans="1:6" x14ac:dyDescent="0.25">
      <c r="A1065" t="s">
        <v>2161</v>
      </c>
      <c r="B1065" t="s">
        <v>795</v>
      </c>
      <c r="C1065" t="s">
        <v>90</v>
      </c>
      <c r="D1065">
        <v>1</v>
      </c>
      <c r="E1065" t="s">
        <v>1667</v>
      </c>
      <c r="F1065" t="s">
        <v>2969</v>
      </c>
    </row>
    <row r="1066" spans="1:6" x14ac:dyDescent="0.25">
      <c r="A1066" t="s">
        <v>2161</v>
      </c>
      <c r="B1066" t="s">
        <v>795</v>
      </c>
      <c r="C1066" t="s">
        <v>90</v>
      </c>
      <c r="D1066">
        <v>2</v>
      </c>
      <c r="E1066" t="s">
        <v>1772</v>
      </c>
      <c r="F1066" t="s">
        <v>2969</v>
      </c>
    </row>
    <row r="1067" spans="1:6" x14ac:dyDescent="0.25">
      <c r="A1067" t="s">
        <v>2162</v>
      </c>
      <c r="B1067" t="s">
        <v>797</v>
      </c>
      <c r="C1067" t="s">
        <v>79</v>
      </c>
      <c r="D1067">
        <v>1</v>
      </c>
      <c r="E1067" t="s">
        <v>1709</v>
      </c>
      <c r="F1067" t="s">
        <v>2969</v>
      </c>
    </row>
    <row r="1068" spans="1:6" x14ac:dyDescent="0.25">
      <c r="A1068" t="s">
        <v>2162</v>
      </c>
      <c r="B1068" t="s">
        <v>797</v>
      </c>
      <c r="C1068" t="s">
        <v>79</v>
      </c>
      <c r="D1068">
        <v>2</v>
      </c>
      <c r="E1068" t="s">
        <v>1676</v>
      </c>
      <c r="F1068" t="s">
        <v>2969</v>
      </c>
    </row>
    <row r="1069" spans="1:6" x14ac:dyDescent="0.25">
      <c r="A1069" t="s">
        <v>2162</v>
      </c>
      <c r="B1069" t="s">
        <v>797</v>
      </c>
      <c r="C1069" t="s">
        <v>79</v>
      </c>
      <c r="D1069">
        <v>3</v>
      </c>
      <c r="E1069" t="s">
        <v>124</v>
      </c>
      <c r="F1069" t="s">
        <v>2969</v>
      </c>
    </row>
    <row r="1070" spans="1:6" x14ac:dyDescent="0.25">
      <c r="A1070" t="s">
        <v>2163</v>
      </c>
      <c r="B1070" t="s">
        <v>798</v>
      </c>
      <c r="C1070" t="s">
        <v>43</v>
      </c>
      <c r="D1070">
        <v>1</v>
      </c>
      <c r="E1070" t="s">
        <v>120</v>
      </c>
      <c r="F1070" t="s">
        <v>2969</v>
      </c>
    </row>
    <row r="1071" spans="1:6" x14ac:dyDescent="0.25">
      <c r="A1071" t="s">
        <v>2163</v>
      </c>
      <c r="B1071" t="s">
        <v>798</v>
      </c>
      <c r="C1071" t="s">
        <v>43</v>
      </c>
      <c r="D1071">
        <v>2</v>
      </c>
      <c r="E1071" t="s">
        <v>38</v>
      </c>
      <c r="F1071" t="s">
        <v>2969</v>
      </c>
    </row>
    <row r="1072" spans="1:6" x14ac:dyDescent="0.25">
      <c r="A1072" t="s">
        <v>2163</v>
      </c>
      <c r="B1072" t="s">
        <v>798</v>
      </c>
      <c r="C1072" t="s">
        <v>43</v>
      </c>
      <c r="D1072">
        <v>3</v>
      </c>
      <c r="E1072" t="s">
        <v>1951</v>
      </c>
      <c r="F1072" t="s">
        <v>2969</v>
      </c>
    </row>
    <row r="1073" spans="1:6" x14ac:dyDescent="0.25">
      <c r="A1073" t="s">
        <v>2164</v>
      </c>
      <c r="B1073" t="s">
        <v>799</v>
      </c>
      <c r="C1073" t="s">
        <v>112</v>
      </c>
      <c r="D1073">
        <v>1</v>
      </c>
      <c r="E1073" t="s">
        <v>1649</v>
      </c>
      <c r="F1073" t="s">
        <v>2969</v>
      </c>
    </row>
    <row r="1074" spans="1:6" x14ac:dyDescent="0.25">
      <c r="A1074" t="s">
        <v>2164</v>
      </c>
      <c r="B1074" t="s">
        <v>799</v>
      </c>
      <c r="C1074" t="s">
        <v>112</v>
      </c>
      <c r="D1074">
        <v>2</v>
      </c>
      <c r="E1074" t="s">
        <v>1713</v>
      </c>
      <c r="F1074" t="s">
        <v>2969</v>
      </c>
    </row>
    <row r="1075" spans="1:6" x14ac:dyDescent="0.25">
      <c r="A1075" t="s">
        <v>2164</v>
      </c>
      <c r="B1075" t="s">
        <v>799</v>
      </c>
      <c r="C1075" t="s">
        <v>112</v>
      </c>
      <c r="D1075">
        <v>3</v>
      </c>
      <c r="E1075" t="s">
        <v>135</v>
      </c>
      <c r="F1075" t="s">
        <v>2969</v>
      </c>
    </row>
    <row r="1076" spans="1:6" x14ac:dyDescent="0.25">
      <c r="A1076" t="s">
        <v>2165</v>
      </c>
      <c r="B1076" t="s">
        <v>801</v>
      </c>
      <c r="C1076" t="s">
        <v>20</v>
      </c>
      <c r="D1076">
        <v>1</v>
      </c>
      <c r="E1076" t="s">
        <v>1948</v>
      </c>
      <c r="F1076" t="s">
        <v>2969</v>
      </c>
    </row>
    <row r="1077" spans="1:6" x14ac:dyDescent="0.25">
      <c r="A1077" t="s">
        <v>2165</v>
      </c>
      <c r="B1077" t="s">
        <v>801</v>
      </c>
      <c r="C1077" t="s">
        <v>20</v>
      </c>
      <c r="D1077">
        <v>2</v>
      </c>
      <c r="E1077" t="s">
        <v>1689</v>
      </c>
      <c r="F1077" t="s">
        <v>2969</v>
      </c>
    </row>
    <row r="1078" spans="1:6" x14ac:dyDescent="0.25">
      <c r="A1078" t="s">
        <v>2165</v>
      </c>
      <c r="B1078" t="s">
        <v>801</v>
      </c>
      <c r="C1078" t="s">
        <v>20</v>
      </c>
      <c r="D1078">
        <v>3</v>
      </c>
      <c r="E1078" t="s">
        <v>33</v>
      </c>
      <c r="F1078" t="s">
        <v>2969</v>
      </c>
    </row>
    <row r="1079" spans="1:6" x14ac:dyDescent="0.25">
      <c r="A1079" t="s">
        <v>2166</v>
      </c>
      <c r="B1079" t="s">
        <v>802</v>
      </c>
      <c r="C1079" t="s">
        <v>113</v>
      </c>
      <c r="D1079">
        <v>1</v>
      </c>
      <c r="E1079" t="s">
        <v>2042</v>
      </c>
      <c r="F1079" t="s">
        <v>2969</v>
      </c>
    </row>
    <row r="1080" spans="1:6" x14ac:dyDescent="0.25">
      <c r="A1080" t="s">
        <v>2166</v>
      </c>
      <c r="B1080" t="s">
        <v>802</v>
      </c>
      <c r="C1080" t="s">
        <v>113</v>
      </c>
      <c r="D1080">
        <v>2</v>
      </c>
      <c r="E1080" t="s">
        <v>1797</v>
      </c>
      <c r="F1080" t="s">
        <v>2969</v>
      </c>
    </row>
    <row r="1081" spans="1:6" x14ac:dyDescent="0.25">
      <c r="A1081" t="s">
        <v>2166</v>
      </c>
      <c r="B1081" t="s">
        <v>802</v>
      </c>
      <c r="C1081" t="s">
        <v>113</v>
      </c>
      <c r="D1081">
        <v>3</v>
      </c>
      <c r="E1081" t="s">
        <v>126</v>
      </c>
      <c r="F1081" t="s">
        <v>2969</v>
      </c>
    </row>
    <row r="1082" spans="1:6" x14ac:dyDescent="0.25">
      <c r="A1082" t="s">
        <v>2167</v>
      </c>
      <c r="B1082" t="s">
        <v>804</v>
      </c>
      <c r="C1082" t="s">
        <v>105</v>
      </c>
      <c r="D1082">
        <v>1</v>
      </c>
      <c r="E1082" t="s">
        <v>1741</v>
      </c>
      <c r="F1082" t="s">
        <v>2969</v>
      </c>
    </row>
    <row r="1083" spans="1:6" x14ac:dyDescent="0.25">
      <c r="A1083" t="s">
        <v>2167</v>
      </c>
      <c r="B1083" t="s">
        <v>804</v>
      </c>
      <c r="C1083" t="s">
        <v>105</v>
      </c>
      <c r="D1083">
        <v>2</v>
      </c>
      <c r="E1083" t="s">
        <v>124</v>
      </c>
      <c r="F1083" t="s">
        <v>2969</v>
      </c>
    </row>
    <row r="1084" spans="1:6" x14ac:dyDescent="0.25">
      <c r="A1084" t="s">
        <v>2167</v>
      </c>
      <c r="B1084" t="s">
        <v>804</v>
      </c>
      <c r="C1084" t="s">
        <v>105</v>
      </c>
      <c r="D1084">
        <v>3</v>
      </c>
      <c r="E1084" t="s">
        <v>1812</v>
      </c>
      <c r="F1084" t="s">
        <v>2969</v>
      </c>
    </row>
    <row r="1085" spans="1:6" x14ac:dyDescent="0.25">
      <c r="A1085" t="s">
        <v>2168</v>
      </c>
      <c r="B1085" t="s">
        <v>805</v>
      </c>
      <c r="C1085" t="s">
        <v>127</v>
      </c>
      <c r="D1085">
        <v>1</v>
      </c>
      <c r="E1085" t="s">
        <v>2169</v>
      </c>
      <c r="F1085" t="s">
        <v>2969</v>
      </c>
    </row>
    <row r="1086" spans="1:6" x14ac:dyDescent="0.25">
      <c r="A1086" t="s">
        <v>2168</v>
      </c>
      <c r="B1086" t="s">
        <v>805</v>
      </c>
      <c r="C1086" t="s">
        <v>127</v>
      </c>
      <c r="D1086">
        <v>2</v>
      </c>
      <c r="E1086" t="s">
        <v>2003</v>
      </c>
      <c r="F1086" t="s">
        <v>2969</v>
      </c>
    </row>
    <row r="1087" spans="1:6" x14ac:dyDescent="0.25">
      <c r="A1087" t="s">
        <v>2168</v>
      </c>
      <c r="B1087" t="s">
        <v>805</v>
      </c>
      <c r="C1087" t="s">
        <v>127</v>
      </c>
      <c r="D1087">
        <v>3</v>
      </c>
      <c r="E1087" t="s">
        <v>1678</v>
      </c>
      <c r="F1087" t="s">
        <v>2969</v>
      </c>
    </row>
    <row r="1088" spans="1:6" x14ac:dyDescent="0.25">
      <c r="A1088" t="s">
        <v>2170</v>
      </c>
      <c r="B1088" t="s">
        <v>806</v>
      </c>
      <c r="C1088" t="s">
        <v>39</v>
      </c>
      <c r="D1088">
        <v>1</v>
      </c>
      <c r="E1088" t="s">
        <v>1699</v>
      </c>
      <c r="F1088" t="s">
        <v>2969</v>
      </c>
    </row>
    <row r="1089" spans="1:6" x14ac:dyDescent="0.25">
      <c r="A1089" t="s">
        <v>2170</v>
      </c>
      <c r="B1089" t="s">
        <v>806</v>
      </c>
      <c r="C1089" t="s">
        <v>39</v>
      </c>
      <c r="D1089">
        <v>2</v>
      </c>
      <c r="E1089" t="s">
        <v>1632</v>
      </c>
      <c r="F1089" t="s">
        <v>2969</v>
      </c>
    </row>
    <row r="1090" spans="1:6" x14ac:dyDescent="0.25">
      <c r="A1090" t="s">
        <v>2171</v>
      </c>
      <c r="B1090" t="s">
        <v>807</v>
      </c>
      <c r="C1090" t="s">
        <v>90</v>
      </c>
      <c r="D1090">
        <v>1</v>
      </c>
      <c r="E1090" t="s">
        <v>1917</v>
      </c>
      <c r="F1090" t="s">
        <v>2969</v>
      </c>
    </row>
    <row r="1091" spans="1:6" x14ac:dyDescent="0.25">
      <c r="A1091" t="s">
        <v>2172</v>
      </c>
      <c r="B1091" t="s">
        <v>808</v>
      </c>
      <c r="C1091" t="s">
        <v>83</v>
      </c>
      <c r="D1091">
        <v>1</v>
      </c>
      <c r="E1091" t="s">
        <v>38</v>
      </c>
      <c r="F1091" t="s">
        <v>2969</v>
      </c>
    </row>
    <row r="1092" spans="1:6" x14ac:dyDescent="0.25">
      <c r="A1092" t="s">
        <v>2172</v>
      </c>
      <c r="B1092" t="s">
        <v>808</v>
      </c>
      <c r="C1092" t="s">
        <v>83</v>
      </c>
      <c r="D1092">
        <v>2</v>
      </c>
      <c r="E1092" t="s">
        <v>1824</v>
      </c>
      <c r="F1092" t="s">
        <v>2969</v>
      </c>
    </row>
    <row r="1093" spans="1:6" x14ac:dyDescent="0.25">
      <c r="A1093" t="s">
        <v>2173</v>
      </c>
      <c r="B1093" t="s">
        <v>809</v>
      </c>
      <c r="C1093" t="s">
        <v>103</v>
      </c>
      <c r="D1093">
        <v>1</v>
      </c>
      <c r="E1093" t="s">
        <v>1657</v>
      </c>
      <c r="F1093" t="s">
        <v>2969</v>
      </c>
    </row>
    <row r="1094" spans="1:6" x14ac:dyDescent="0.25">
      <c r="A1094" t="s">
        <v>2173</v>
      </c>
      <c r="B1094" t="s">
        <v>809</v>
      </c>
      <c r="C1094" t="s">
        <v>103</v>
      </c>
      <c r="D1094">
        <v>2</v>
      </c>
      <c r="E1094" t="s">
        <v>64</v>
      </c>
      <c r="F1094" t="s">
        <v>2969</v>
      </c>
    </row>
    <row r="1095" spans="1:6" x14ac:dyDescent="0.25">
      <c r="A1095" t="s">
        <v>2173</v>
      </c>
      <c r="B1095" t="s">
        <v>809</v>
      </c>
      <c r="C1095" t="s">
        <v>103</v>
      </c>
      <c r="D1095">
        <v>3</v>
      </c>
      <c r="E1095" t="s">
        <v>1634</v>
      </c>
      <c r="F1095" t="s">
        <v>2969</v>
      </c>
    </row>
    <row r="1096" spans="1:6" x14ac:dyDescent="0.25">
      <c r="A1096" t="s">
        <v>2174</v>
      </c>
      <c r="B1096" t="s">
        <v>810</v>
      </c>
      <c r="C1096" t="s">
        <v>134</v>
      </c>
      <c r="D1096">
        <v>1</v>
      </c>
      <c r="E1096" t="s">
        <v>1685</v>
      </c>
      <c r="F1096" t="s">
        <v>2969</v>
      </c>
    </row>
    <row r="1097" spans="1:6" x14ac:dyDescent="0.25">
      <c r="A1097" t="s">
        <v>2174</v>
      </c>
      <c r="B1097" t="s">
        <v>810</v>
      </c>
      <c r="C1097" t="s">
        <v>134</v>
      </c>
      <c r="D1097">
        <v>2</v>
      </c>
      <c r="E1097" t="s">
        <v>1691</v>
      </c>
      <c r="F1097" t="s">
        <v>2969</v>
      </c>
    </row>
    <row r="1098" spans="1:6" x14ac:dyDescent="0.25">
      <c r="A1098" t="s">
        <v>2175</v>
      </c>
      <c r="B1098" t="s">
        <v>811</v>
      </c>
      <c r="C1098" t="s">
        <v>31</v>
      </c>
      <c r="D1098">
        <v>1</v>
      </c>
      <c r="E1098" t="s">
        <v>1687</v>
      </c>
      <c r="F1098" t="s">
        <v>2969</v>
      </c>
    </row>
    <row r="1099" spans="1:6" x14ac:dyDescent="0.25">
      <c r="A1099" t="s">
        <v>2175</v>
      </c>
      <c r="B1099" t="s">
        <v>811</v>
      </c>
      <c r="C1099" t="s">
        <v>31</v>
      </c>
      <c r="D1099">
        <v>2</v>
      </c>
      <c r="E1099" t="s">
        <v>1850</v>
      </c>
      <c r="F1099" t="s">
        <v>2969</v>
      </c>
    </row>
    <row r="1100" spans="1:6" x14ac:dyDescent="0.25">
      <c r="A1100" t="s">
        <v>2175</v>
      </c>
      <c r="B1100" t="s">
        <v>811</v>
      </c>
      <c r="C1100" t="s">
        <v>31</v>
      </c>
      <c r="D1100">
        <v>3</v>
      </c>
      <c r="E1100" t="s">
        <v>1661</v>
      </c>
      <c r="F1100" t="s">
        <v>2969</v>
      </c>
    </row>
    <row r="1101" spans="1:6" x14ac:dyDescent="0.25">
      <c r="A1101" t="s">
        <v>2175</v>
      </c>
      <c r="B1101" t="s">
        <v>811</v>
      </c>
      <c r="C1101" t="s">
        <v>31</v>
      </c>
      <c r="D1101">
        <v>4</v>
      </c>
      <c r="E1101" t="s">
        <v>1764</v>
      </c>
      <c r="F1101" t="s">
        <v>2969</v>
      </c>
    </row>
    <row r="1102" spans="1:6" x14ac:dyDescent="0.25">
      <c r="A1102" t="s">
        <v>2176</v>
      </c>
      <c r="B1102" t="s">
        <v>812</v>
      </c>
      <c r="C1102" t="s">
        <v>112</v>
      </c>
      <c r="D1102">
        <v>1</v>
      </c>
      <c r="E1102" t="s">
        <v>1886</v>
      </c>
      <c r="F1102" t="s">
        <v>2969</v>
      </c>
    </row>
    <row r="1103" spans="1:6" x14ac:dyDescent="0.25">
      <c r="A1103" t="s">
        <v>2176</v>
      </c>
      <c r="B1103" t="s">
        <v>812</v>
      </c>
      <c r="C1103" t="s">
        <v>112</v>
      </c>
      <c r="D1103">
        <v>2</v>
      </c>
      <c r="E1103" t="s">
        <v>1824</v>
      </c>
      <c r="F1103" t="s">
        <v>2969</v>
      </c>
    </row>
    <row r="1104" spans="1:6" x14ac:dyDescent="0.25">
      <c r="A1104" t="s">
        <v>2177</v>
      </c>
      <c r="B1104" t="s">
        <v>813</v>
      </c>
      <c r="C1104" t="s">
        <v>132</v>
      </c>
      <c r="D1104">
        <v>1</v>
      </c>
      <c r="E1104" t="s">
        <v>1651</v>
      </c>
      <c r="F1104" t="s">
        <v>2969</v>
      </c>
    </row>
    <row r="1105" spans="1:6" x14ac:dyDescent="0.25">
      <c r="A1105" t="s">
        <v>2177</v>
      </c>
      <c r="B1105" t="s">
        <v>813</v>
      </c>
      <c r="C1105" t="s">
        <v>132</v>
      </c>
      <c r="D1105">
        <v>2</v>
      </c>
      <c r="E1105" t="s">
        <v>1739</v>
      </c>
      <c r="F1105" t="s">
        <v>2969</v>
      </c>
    </row>
    <row r="1106" spans="1:6" x14ac:dyDescent="0.25">
      <c r="A1106" t="s">
        <v>2177</v>
      </c>
      <c r="B1106" t="s">
        <v>813</v>
      </c>
      <c r="C1106" t="s">
        <v>132</v>
      </c>
      <c r="D1106">
        <v>3</v>
      </c>
      <c r="E1106" t="s">
        <v>1915</v>
      </c>
      <c r="F1106" t="s">
        <v>2969</v>
      </c>
    </row>
    <row r="1107" spans="1:6" x14ac:dyDescent="0.25">
      <c r="A1107" t="s">
        <v>2177</v>
      </c>
      <c r="B1107" t="s">
        <v>813</v>
      </c>
      <c r="C1107" t="s">
        <v>132</v>
      </c>
      <c r="D1107">
        <v>4</v>
      </c>
      <c r="E1107" t="s">
        <v>2472</v>
      </c>
      <c r="F1107" t="s">
        <v>2969</v>
      </c>
    </row>
    <row r="1108" spans="1:6" x14ac:dyDescent="0.25">
      <c r="A1108" t="s">
        <v>2177</v>
      </c>
      <c r="B1108" t="s">
        <v>813</v>
      </c>
      <c r="C1108" t="s">
        <v>132</v>
      </c>
      <c r="D1108">
        <v>5</v>
      </c>
      <c r="E1108" t="s">
        <v>2122</v>
      </c>
      <c r="F1108" t="s">
        <v>2969</v>
      </c>
    </row>
    <row r="1109" spans="1:6" x14ac:dyDescent="0.25">
      <c r="A1109" t="s">
        <v>2177</v>
      </c>
      <c r="B1109" t="s">
        <v>813</v>
      </c>
      <c r="C1109" t="s">
        <v>132</v>
      </c>
      <c r="D1109">
        <v>6</v>
      </c>
      <c r="E1109" t="s">
        <v>1807</v>
      </c>
      <c r="F1109" t="s">
        <v>2969</v>
      </c>
    </row>
    <row r="1110" spans="1:6" x14ac:dyDescent="0.25">
      <c r="A1110" t="s">
        <v>2177</v>
      </c>
      <c r="B1110" t="s">
        <v>813</v>
      </c>
      <c r="C1110" t="s">
        <v>132</v>
      </c>
      <c r="D1110">
        <v>7</v>
      </c>
      <c r="E1110" t="s">
        <v>1760</v>
      </c>
      <c r="F1110" t="s">
        <v>1692</v>
      </c>
    </row>
    <row r="1111" spans="1:6" x14ac:dyDescent="0.25">
      <c r="A1111" t="s">
        <v>2178</v>
      </c>
      <c r="B1111" t="s">
        <v>814</v>
      </c>
      <c r="C1111" t="s">
        <v>49</v>
      </c>
      <c r="D1111">
        <v>1</v>
      </c>
      <c r="E1111" t="s">
        <v>2003</v>
      </c>
      <c r="F1111" t="s">
        <v>2969</v>
      </c>
    </row>
    <row r="1112" spans="1:6" x14ac:dyDescent="0.25">
      <c r="A1112" t="s">
        <v>2178</v>
      </c>
      <c r="B1112" t="s">
        <v>814</v>
      </c>
      <c r="C1112" t="s">
        <v>49</v>
      </c>
      <c r="D1112">
        <v>2</v>
      </c>
      <c r="E1112" t="s">
        <v>1751</v>
      </c>
      <c r="F1112" t="s">
        <v>2969</v>
      </c>
    </row>
    <row r="1113" spans="1:6" x14ac:dyDescent="0.25">
      <c r="A1113" t="s">
        <v>2178</v>
      </c>
      <c r="B1113" t="s">
        <v>814</v>
      </c>
      <c r="C1113" t="s">
        <v>49</v>
      </c>
      <c r="D1113">
        <v>3</v>
      </c>
      <c r="E1113" t="s">
        <v>1923</v>
      </c>
      <c r="F1113" t="s">
        <v>2969</v>
      </c>
    </row>
    <row r="1114" spans="1:6" x14ac:dyDescent="0.25">
      <c r="A1114" t="s">
        <v>2178</v>
      </c>
      <c r="B1114" t="s">
        <v>814</v>
      </c>
      <c r="C1114" t="s">
        <v>49</v>
      </c>
      <c r="D1114">
        <v>4</v>
      </c>
      <c r="E1114" t="s">
        <v>2516</v>
      </c>
      <c r="F1114" t="s">
        <v>2969</v>
      </c>
    </row>
    <row r="1115" spans="1:6" x14ac:dyDescent="0.25">
      <c r="A1115" t="s">
        <v>2179</v>
      </c>
      <c r="B1115" t="s">
        <v>815</v>
      </c>
      <c r="C1115" t="s">
        <v>31</v>
      </c>
      <c r="D1115">
        <v>1</v>
      </c>
      <c r="E1115" t="s">
        <v>30</v>
      </c>
      <c r="F1115" t="s">
        <v>2969</v>
      </c>
    </row>
    <row r="1116" spans="1:6" x14ac:dyDescent="0.25">
      <c r="A1116" t="s">
        <v>2179</v>
      </c>
      <c r="B1116" t="s">
        <v>815</v>
      </c>
      <c r="C1116" t="s">
        <v>31</v>
      </c>
      <c r="D1116">
        <v>2</v>
      </c>
      <c r="E1116" t="s">
        <v>109</v>
      </c>
      <c r="F1116" t="s">
        <v>2969</v>
      </c>
    </row>
    <row r="1117" spans="1:6" x14ac:dyDescent="0.25">
      <c r="A1117" t="s">
        <v>2179</v>
      </c>
      <c r="B1117" t="s">
        <v>815</v>
      </c>
      <c r="C1117" t="s">
        <v>31</v>
      </c>
      <c r="D1117">
        <v>3</v>
      </c>
      <c r="E1117" t="s">
        <v>1651</v>
      </c>
      <c r="F1117" t="s">
        <v>2969</v>
      </c>
    </row>
    <row r="1118" spans="1:6" x14ac:dyDescent="0.25">
      <c r="A1118" t="s">
        <v>2179</v>
      </c>
      <c r="B1118" t="s">
        <v>815</v>
      </c>
      <c r="C1118" t="s">
        <v>31</v>
      </c>
      <c r="D1118">
        <v>4</v>
      </c>
      <c r="E1118" t="s">
        <v>1859</v>
      </c>
      <c r="F1118" t="s">
        <v>2969</v>
      </c>
    </row>
    <row r="1119" spans="1:6" x14ac:dyDescent="0.25">
      <c r="A1119" t="s">
        <v>2179</v>
      </c>
      <c r="B1119" t="s">
        <v>815</v>
      </c>
      <c r="C1119" t="s">
        <v>31</v>
      </c>
      <c r="D1119">
        <v>5</v>
      </c>
      <c r="E1119" t="s">
        <v>1850</v>
      </c>
      <c r="F1119" t="s">
        <v>2969</v>
      </c>
    </row>
    <row r="1120" spans="1:6" x14ac:dyDescent="0.25">
      <c r="A1120" t="s">
        <v>2180</v>
      </c>
      <c r="B1120" t="s">
        <v>816</v>
      </c>
      <c r="C1120" t="s">
        <v>105</v>
      </c>
      <c r="D1120">
        <v>1</v>
      </c>
      <c r="E1120" t="s">
        <v>1904</v>
      </c>
      <c r="F1120" t="s">
        <v>2969</v>
      </c>
    </row>
    <row r="1121" spans="1:6" x14ac:dyDescent="0.25">
      <c r="A1121" t="s">
        <v>2180</v>
      </c>
      <c r="B1121" t="s">
        <v>816</v>
      </c>
      <c r="C1121" t="s">
        <v>105</v>
      </c>
      <c r="D1121">
        <v>2</v>
      </c>
      <c r="E1121" t="s">
        <v>1655</v>
      </c>
      <c r="F1121" t="s">
        <v>2969</v>
      </c>
    </row>
    <row r="1122" spans="1:6" x14ac:dyDescent="0.25">
      <c r="A1122" t="s">
        <v>2180</v>
      </c>
      <c r="B1122" t="s">
        <v>816</v>
      </c>
      <c r="C1122" t="s">
        <v>105</v>
      </c>
      <c r="D1122">
        <v>3</v>
      </c>
      <c r="E1122" t="s">
        <v>1709</v>
      </c>
      <c r="F1122" t="s">
        <v>2969</v>
      </c>
    </row>
    <row r="1123" spans="1:6" x14ac:dyDescent="0.25">
      <c r="A1123" t="s">
        <v>2181</v>
      </c>
      <c r="B1123" t="s">
        <v>817</v>
      </c>
      <c r="C1123" t="s">
        <v>43</v>
      </c>
      <c r="D1123">
        <v>1</v>
      </c>
      <c r="E1123" t="s">
        <v>1704</v>
      </c>
      <c r="F1123" t="s">
        <v>2969</v>
      </c>
    </row>
    <row r="1124" spans="1:6" x14ac:dyDescent="0.25">
      <c r="A1124" t="s">
        <v>2181</v>
      </c>
      <c r="B1124" t="s">
        <v>817</v>
      </c>
      <c r="C1124" t="s">
        <v>43</v>
      </c>
      <c r="D1124">
        <v>2</v>
      </c>
      <c r="E1124" t="s">
        <v>1724</v>
      </c>
      <c r="F1124" t="s">
        <v>2969</v>
      </c>
    </row>
    <row r="1125" spans="1:6" x14ac:dyDescent="0.25">
      <c r="A1125" t="s">
        <v>2182</v>
      </c>
      <c r="B1125" t="s">
        <v>819</v>
      </c>
      <c r="C1125" t="s">
        <v>101</v>
      </c>
      <c r="D1125">
        <v>1</v>
      </c>
      <c r="E1125" t="s">
        <v>22</v>
      </c>
      <c r="F1125" t="s">
        <v>2969</v>
      </c>
    </row>
    <row r="1126" spans="1:6" x14ac:dyDescent="0.25">
      <c r="A1126" t="s">
        <v>2182</v>
      </c>
      <c r="B1126" t="s">
        <v>819</v>
      </c>
      <c r="C1126" t="s">
        <v>101</v>
      </c>
      <c r="D1126">
        <v>2</v>
      </c>
      <c r="E1126" t="s">
        <v>45</v>
      </c>
      <c r="F1126" t="s">
        <v>2969</v>
      </c>
    </row>
    <row r="1127" spans="1:6" x14ac:dyDescent="0.25">
      <c r="A1127" t="s">
        <v>2183</v>
      </c>
      <c r="B1127" t="s">
        <v>820</v>
      </c>
      <c r="C1127" t="s">
        <v>134</v>
      </c>
      <c r="D1127">
        <v>1</v>
      </c>
      <c r="E1127" t="s">
        <v>1807</v>
      </c>
      <c r="F1127" t="s">
        <v>2969</v>
      </c>
    </row>
    <row r="1128" spans="1:6" x14ac:dyDescent="0.25">
      <c r="A1128" t="s">
        <v>2183</v>
      </c>
      <c r="B1128" t="s">
        <v>820</v>
      </c>
      <c r="C1128" t="s">
        <v>134</v>
      </c>
      <c r="D1128">
        <v>2</v>
      </c>
      <c r="E1128" t="s">
        <v>1779</v>
      </c>
      <c r="F1128" t="s">
        <v>2969</v>
      </c>
    </row>
    <row r="1129" spans="1:6" x14ac:dyDescent="0.25">
      <c r="A1129" t="s">
        <v>2184</v>
      </c>
      <c r="B1129" t="s">
        <v>821</v>
      </c>
      <c r="C1129" t="s">
        <v>123</v>
      </c>
      <c r="D1129">
        <v>1</v>
      </c>
      <c r="E1129" t="s">
        <v>1828</v>
      </c>
      <c r="F1129" t="s">
        <v>2969</v>
      </c>
    </row>
    <row r="1130" spans="1:6" x14ac:dyDescent="0.25">
      <c r="A1130" t="s">
        <v>2185</v>
      </c>
      <c r="B1130" t="s">
        <v>822</v>
      </c>
      <c r="C1130" t="s">
        <v>112</v>
      </c>
      <c r="D1130">
        <v>1</v>
      </c>
      <c r="E1130" t="s">
        <v>1833</v>
      </c>
      <c r="F1130" t="s">
        <v>2969</v>
      </c>
    </row>
    <row r="1131" spans="1:6" x14ac:dyDescent="0.25">
      <c r="A1131" t="s">
        <v>2186</v>
      </c>
      <c r="B1131" t="s">
        <v>823</v>
      </c>
      <c r="C1131" t="s">
        <v>60</v>
      </c>
      <c r="D1131">
        <v>1</v>
      </c>
      <c r="E1131" t="s">
        <v>1775</v>
      </c>
      <c r="F1131" t="s">
        <v>2969</v>
      </c>
    </row>
    <row r="1132" spans="1:6" x14ac:dyDescent="0.25">
      <c r="A1132" t="s">
        <v>2187</v>
      </c>
      <c r="B1132" t="s">
        <v>824</v>
      </c>
      <c r="C1132" t="s">
        <v>107</v>
      </c>
      <c r="D1132">
        <v>1</v>
      </c>
      <c r="E1132" t="s">
        <v>1807</v>
      </c>
      <c r="F1132" t="s">
        <v>2969</v>
      </c>
    </row>
    <row r="1133" spans="1:6" x14ac:dyDescent="0.25">
      <c r="A1133" t="s">
        <v>2187</v>
      </c>
      <c r="B1133" t="s">
        <v>824</v>
      </c>
      <c r="C1133" t="s">
        <v>107</v>
      </c>
      <c r="D1133">
        <v>2</v>
      </c>
      <c r="E1133" t="s">
        <v>1779</v>
      </c>
      <c r="F1133" t="s">
        <v>2969</v>
      </c>
    </row>
    <row r="1134" spans="1:6" x14ac:dyDescent="0.25">
      <c r="A1134" t="s">
        <v>2187</v>
      </c>
      <c r="B1134" t="s">
        <v>824</v>
      </c>
      <c r="C1134" t="s">
        <v>107</v>
      </c>
      <c r="D1134">
        <v>3</v>
      </c>
      <c r="E1134" t="s">
        <v>2021</v>
      </c>
      <c r="F1134" t="s">
        <v>2969</v>
      </c>
    </row>
    <row r="1135" spans="1:6" x14ac:dyDescent="0.25">
      <c r="A1135" t="s">
        <v>2188</v>
      </c>
      <c r="B1135" t="s">
        <v>825</v>
      </c>
      <c r="C1135" t="s">
        <v>31</v>
      </c>
      <c r="D1135">
        <v>1</v>
      </c>
      <c r="E1135" t="s">
        <v>1685</v>
      </c>
      <c r="F1135" t="s">
        <v>2969</v>
      </c>
    </row>
    <row r="1136" spans="1:6" x14ac:dyDescent="0.25">
      <c r="A1136" t="s">
        <v>2188</v>
      </c>
      <c r="B1136" t="s">
        <v>825</v>
      </c>
      <c r="C1136" t="s">
        <v>31</v>
      </c>
      <c r="D1136">
        <v>2</v>
      </c>
      <c r="E1136" t="s">
        <v>1691</v>
      </c>
      <c r="F1136" t="s">
        <v>2969</v>
      </c>
    </row>
    <row r="1137" spans="1:6" x14ac:dyDescent="0.25">
      <c r="A1137" t="s">
        <v>2188</v>
      </c>
      <c r="B1137" t="s">
        <v>825</v>
      </c>
      <c r="C1137" t="s">
        <v>31</v>
      </c>
      <c r="D1137">
        <v>3</v>
      </c>
      <c r="E1137" t="s">
        <v>1760</v>
      </c>
      <c r="F1137" t="s">
        <v>2969</v>
      </c>
    </row>
    <row r="1138" spans="1:6" x14ac:dyDescent="0.25">
      <c r="A1138" t="s">
        <v>2189</v>
      </c>
      <c r="B1138" t="s">
        <v>826</v>
      </c>
      <c r="C1138" t="s">
        <v>116</v>
      </c>
      <c r="D1138">
        <v>1</v>
      </c>
      <c r="E1138" t="s">
        <v>126</v>
      </c>
      <c r="F1138" t="s">
        <v>2969</v>
      </c>
    </row>
    <row r="1139" spans="1:6" x14ac:dyDescent="0.25">
      <c r="A1139" t="s">
        <v>2189</v>
      </c>
      <c r="B1139" t="s">
        <v>826</v>
      </c>
      <c r="C1139" t="s">
        <v>116</v>
      </c>
      <c r="D1139">
        <v>2</v>
      </c>
      <c r="E1139" t="s">
        <v>55</v>
      </c>
      <c r="F1139" t="s">
        <v>2969</v>
      </c>
    </row>
    <row r="1140" spans="1:6" x14ac:dyDescent="0.25">
      <c r="A1140" t="s">
        <v>2190</v>
      </c>
      <c r="B1140" t="s">
        <v>827</v>
      </c>
      <c r="C1140" t="s">
        <v>97</v>
      </c>
      <c r="D1140">
        <v>1</v>
      </c>
      <c r="E1140" t="s">
        <v>1676</v>
      </c>
      <c r="F1140" t="s">
        <v>2969</v>
      </c>
    </row>
    <row r="1141" spans="1:6" x14ac:dyDescent="0.25">
      <c r="A1141" t="s">
        <v>2191</v>
      </c>
      <c r="B1141" t="s">
        <v>828</v>
      </c>
      <c r="C1141" t="s">
        <v>92</v>
      </c>
      <c r="D1141">
        <v>1</v>
      </c>
      <c r="E1141" t="s">
        <v>1657</v>
      </c>
      <c r="F1141" t="s">
        <v>2969</v>
      </c>
    </row>
    <row r="1142" spans="1:6" x14ac:dyDescent="0.25">
      <c r="A1142" t="s">
        <v>2191</v>
      </c>
      <c r="B1142" t="s">
        <v>828</v>
      </c>
      <c r="C1142" t="s">
        <v>92</v>
      </c>
      <c r="D1142">
        <v>2</v>
      </c>
      <c r="E1142" t="s">
        <v>68</v>
      </c>
      <c r="F1142" t="s">
        <v>2969</v>
      </c>
    </row>
    <row r="1143" spans="1:6" x14ac:dyDescent="0.25">
      <c r="A1143" t="s">
        <v>2191</v>
      </c>
      <c r="B1143" t="s">
        <v>828</v>
      </c>
      <c r="C1143" t="s">
        <v>92</v>
      </c>
      <c r="D1143">
        <v>3</v>
      </c>
      <c r="E1143" t="s">
        <v>1634</v>
      </c>
      <c r="F1143" t="s">
        <v>2969</v>
      </c>
    </row>
    <row r="1144" spans="1:6" x14ac:dyDescent="0.25">
      <c r="A1144" t="s">
        <v>2191</v>
      </c>
      <c r="B1144" t="s">
        <v>828</v>
      </c>
      <c r="C1144" t="s">
        <v>92</v>
      </c>
      <c r="D1144">
        <v>4</v>
      </c>
      <c r="E1144" t="s">
        <v>1643</v>
      </c>
      <c r="F1144" t="s">
        <v>2969</v>
      </c>
    </row>
    <row r="1145" spans="1:6" x14ac:dyDescent="0.25">
      <c r="A1145" t="s">
        <v>2191</v>
      </c>
      <c r="B1145" t="s">
        <v>828</v>
      </c>
      <c r="C1145" t="s">
        <v>92</v>
      </c>
      <c r="D1145">
        <v>5</v>
      </c>
      <c r="E1145" t="s">
        <v>2169</v>
      </c>
      <c r="F1145" t="s">
        <v>2969</v>
      </c>
    </row>
    <row r="1146" spans="1:6" x14ac:dyDescent="0.25">
      <c r="A1146" t="s">
        <v>2191</v>
      </c>
      <c r="B1146" t="s">
        <v>828</v>
      </c>
      <c r="C1146" t="s">
        <v>92</v>
      </c>
      <c r="D1146">
        <v>6</v>
      </c>
      <c r="E1146" t="s">
        <v>1751</v>
      </c>
      <c r="F1146" t="s">
        <v>2969</v>
      </c>
    </row>
    <row r="1147" spans="1:6" x14ac:dyDescent="0.25">
      <c r="A1147" t="s">
        <v>2191</v>
      </c>
      <c r="B1147" t="s">
        <v>828</v>
      </c>
      <c r="C1147" t="s">
        <v>92</v>
      </c>
      <c r="D1147">
        <v>7</v>
      </c>
      <c r="E1147" t="s">
        <v>1934</v>
      </c>
      <c r="F1147" t="s">
        <v>1692</v>
      </c>
    </row>
    <row r="1148" spans="1:6" x14ac:dyDescent="0.25">
      <c r="A1148" t="s">
        <v>2192</v>
      </c>
      <c r="B1148" t="s">
        <v>829</v>
      </c>
      <c r="C1148" t="s">
        <v>121</v>
      </c>
      <c r="D1148">
        <v>1</v>
      </c>
      <c r="E1148" t="s">
        <v>96</v>
      </c>
      <c r="F1148" t="s">
        <v>2969</v>
      </c>
    </row>
    <row r="1149" spans="1:6" x14ac:dyDescent="0.25">
      <c r="A1149" t="s">
        <v>2193</v>
      </c>
      <c r="B1149" t="s">
        <v>830</v>
      </c>
      <c r="C1149" t="s">
        <v>92</v>
      </c>
      <c r="D1149">
        <v>1</v>
      </c>
      <c r="E1149" t="s">
        <v>75</v>
      </c>
      <c r="F1149" t="s">
        <v>2969</v>
      </c>
    </row>
    <row r="1150" spans="1:6" x14ac:dyDescent="0.25">
      <c r="A1150" t="s">
        <v>2193</v>
      </c>
      <c r="B1150" t="s">
        <v>830</v>
      </c>
      <c r="C1150" t="s">
        <v>92</v>
      </c>
      <c r="D1150">
        <v>2</v>
      </c>
      <c r="E1150" t="s">
        <v>1812</v>
      </c>
      <c r="F1150" t="s">
        <v>2969</v>
      </c>
    </row>
    <row r="1151" spans="1:6" x14ac:dyDescent="0.25">
      <c r="A1151" t="s">
        <v>2193</v>
      </c>
      <c r="B1151" t="s">
        <v>830</v>
      </c>
      <c r="C1151" t="s">
        <v>92</v>
      </c>
      <c r="D1151">
        <v>3</v>
      </c>
      <c r="E1151" t="s">
        <v>1801</v>
      </c>
      <c r="F1151" t="s">
        <v>2969</v>
      </c>
    </row>
    <row r="1152" spans="1:6" x14ac:dyDescent="0.25">
      <c r="A1152" t="s">
        <v>2193</v>
      </c>
      <c r="B1152" t="s">
        <v>830</v>
      </c>
      <c r="C1152" t="s">
        <v>92</v>
      </c>
      <c r="D1152">
        <v>4</v>
      </c>
      <c r="E1152" t="s">
        <v>2751</v>
      </c>
      <c r="F1152" t="s">
        <v>2969</v>
      </c>
    </row>
    <row r="1153" spans="1:6" x14ac:dyDescent="0.25">
      <c r="A1153" t="s">
        <v>2193</v>
      </c>
      <c r="B1153" t="s">
        <v>830</v>
      </c>
      <c r="C1153" t="s">
        <v>92</v>
      </c>
      <c r="D1153">
        <v>5</v>
      </c>
      <c r="E1153" t="s">
        <v>1645</v>
      </c>
      <c r="F1153" t="s">
        <v>2969</v>
      </c>
    </row>
    <row r="1154" spans="1:6" x14ac:dyDescent="0.25">
      <c r="A1154" t="s">
        <v>2193</v>
      </c>
      <c r="B1154" t="s">
        <v>830</v>
      </c>
      <c r="C1154" t="s">
        <v>92</v>
      </c>
      <c r="D1154">
        <v>6</v>
      </c>
      <c r="E1154" t="s">
        <v>1639</v>
      </c>
      <c r="F1154" t="s">
        <v>2969</v>
      </c>
    </row>
    <row r="1155" spans="1:6" x14ac:dyDescent="0.25">
      <c r="A1155" t="s">
        <v>2193</v>
      </c>
      <c r="B1155" t="s">
        <v>830</v>
      </c>
      <c r="C1155" t="s">
        <v>92</v>
      </c>
      <c r="D1155">
        <v>7</v>
      </c>
      <c r="E1155" t="s">
        <v>1953</v>
      </c>
      <c r="F1155" t="s">
        <v>1692</v>
      </c>
    </row>
    <row r="1156" spans="1:6" x14ac:dyDescent="0.25">
      <c r="A1156" t="s">
        <v>2194</v>
      </c>
      <c r="B1156" t="s">
        <v>831</v>
      </c>
      <c r="C1156" t="s">
        <v>39</v>
      </c>
      <c r="D1156">
        <v>1</v>
      </c>
      <c r="E1156" t="s">
        <v>2195</v>
      </c>
      <c r="F1156" t="s">
        <v>2969</v>
      </c>
    </row>
    <row r="1157" spans="1:6" x14ac:dyDescent="0.25">
      <c r="A1157" t="s">
        <v>2194</v>
      </c>
      <c r="B1157" t="s">
        <v>831</v>
      </c>
      <c r="C1157" t="s">
        <v>39</v>
      </c>
      <c r="D1157">
        <v>2</v>
      </c>
      <c r="E1157" t="s">
        <v>2974</v>
      </c>
      <c r="F1157" t="s">
        <v>2969</v>
      </c>
    </row>
    <row r="1158" spans="1:6" x14ac:dyDescent="0.25">
      <c r="A1158" t="s">
        <v>2194</v>
      </c>
      <c r="B1158" t="s">
        <v>831</v>
      </c>
      <c r="C1158" t="s">
        <v>39</v>
      </c>
      <c r="D1158">
        <v>3</v>
      </c>
      <c r="E1158" t="s">
        <v>2478</v>
      </c>
      <c r="F1158" t="s">
        <v>2969</v>
      </c>
    </row>
    <row r="1159" spans="1:6" x14ac:dyDescent="0.25">
      <c r="A1159" t="s">
        <v>2196</v>
      </c>
      <c r="B1159" t="s">
        <v>832</v>
      </c>
      <c r="C1159" t="s">
        <v>20</v>
      </c>
      <c r="D1159">
        <v>1</v>
      </c>
      <c r="E1159" t="s">
        <v>1689</v>
      </c>
      <c r="F1159" t="s">
        <v>2969</v>
      </c>
    </row>
    <row r="1160" spans="1:6" x14ac:dyDescent="0.25">
      <c r="A1160" t="s">
        <v>2196</v>
      </c>
      <c r="B1160" t="s">
        <v>832</v>
      </c>
      <c r="C1160" t="s">
        <v>20</v>
      </c>
      <c r="D1160">
        <v>2</v>
      </c>
      <c r="E1160" t="s">
        <v>1951</v>
      </c>
      <c r="F1160" t="s">
        <v>2969</v>
      </c>
    </row>
    <row r="1161" spans="1:6" x14ac:dyDescent="0.25">
      <c r="A1161" t="s">
        <v>2196</v>
      </c>
      <c r="B1161" t="s">
        <v>832</v>
      </c>
      <c r="C1161" t="s">
        <v>20</v>
      </c>
      <c r="D1161">
        <v>3</v>
      </c>
      <c r="E1161" t="s">
        <v>1701</v>
      </c>
      <c r="F1161" t="s">
        <v>2969</v>
      </c>
    </row>
    <row r="1162" spans="1:6" x14ac:dyDescent="0.25">
      <c r="A1162" t="s">
        <v>2196</v>
      </c>
      <c r="B1162" t="s">
        <v>832</v>
      </c>
      <c r="C1162" t="s">
        <v>20</v>
      </c>
      <c r="D1162">
        <v>4</v>
      </c>
      <c r="E1162" t="s">
        <v>133</v>
      </c>
      <c r="F1162" t="s">
        <v>2969</v>
      </c>
    </row>
    <row r="1163" spans="1:6" x14ac:dyDescent="0.25">
      <c r="A1163" t="s">
        <v>2196</v>
      </c>
      <c r="B1163" t="s">
        <v>832</v>
      </c>
      <c r="C1163" t="s">
        <v>20</v>
      </c>
      <c r="D1163">
        <v>5</v>
      </c>
      <c r="E1163" t="s">
        <v>109</v>
      </c>
      <c r="F1163" t="s">
        <v>2969</v>
      </c>
    </row>
    <row r="1164" spans="1:6" x14ac:dyDescent="0.25">
      <c r="A1164" t="s">
        <v>2196</v>
      </c>
      <c r="B1164" t="s">
        <v>832</v>
      </c>
      <c r="C1164" t="s">
        <v>20</v>
      </c>
      <c r="D1164">
        <v>6</v>
      </c>
      <c r="E1164" t="s">
        <v>1809</v>
      </c>
      <c r="F1164" t="s">
        <v>2969</v>
      </c>
    </row>
    <row r="1165" spans="1:6" x14ac:dyDescent="0.25">
      <c r="A1165" t="s">
        <v>2196</v>
      </c>
      <c r="B1165" t="s">
        <v>832</v>
      </c>
      <c r="C1165" t="s">
        <v>20</v>
      </c>
      <c r="D1165">
        <v>7</v>
      </c>
      <c r="E1165" t="s">
        <v>1785</v>
      </c>
      <c r="F1165" t="s">
        <v>1692</v>
      </c>
    </row>
    <row r="1166" spans="1:6" x14ac:dyDescent="0.25">
      <c r="A1166" t="s">
        <v>2197</v>
      </c>
      <c r="B1166" t="s">
        <v>833</v>
      </c>
      <c r="C1166" t="s">
        <v>107</v>
      </c>
      <c r="D1166">
        <v>1</v>
      </c>
      <c r="E1166" t="s">
        <v>1785</v>
      </c>
      <c r="F1166" t="s">
        <v>2969</v>
      </c>
    </row>
    <row r="1167" spans="1:6" x14ac:dyDescent="0.25">
      <c r="A1167" t="s">
        <v>2197</v>
      </c>
      <c r="B1167" t="s">
        <v>833</v>
      </c>
      <c r="C1167" t="s">
        <v>107</v>
      </c>
      <c r="D1167">
        <v>2</v>
      </c>
      <c r="E1167" t="s">
        <v>2081</v>
      </c>
      <c r="F1167" t="s">
        <v>2969</v>
      </c>
    </row>
    <row r="1168" spans="1:6" x14ac:dyDescent="0.25">
      <c r="A1168" t="s">
        <v>2198</v>
      </c>
      <c r="B1168" t="s">
        <v>834</v>
      </c>
      <c r="C1168" t="s">
        <v>87</v>
      </c>
      <c r="D1168">
        <v>1</v>
      </c>
      <c r="E1168" t="s">
        <v>1751</v>
      </c>
      <c r="F1168" t="s">
        <v>2969</v>
      </c>
    </row>
    <row r="1169" spans="1:6" x14ac:dyDescent="0.25">
      <c r="A1169" t="s">
        <v>2198</v>
      </c>
      <c r="B1169" t="s">
        <v>834</v>
      </c>
      <c r="C1169" t="s">
        <v>87</v>
      </c>
      <c r="D1169">
        <v>2</v>
      </c>
      <c r="E1169" t="s">
        <v>2032</v>
      </c>
      <c r="F1169" t="s">
        <v>2969</v>
      </c>
    </row>
    <row r="1170" spans="1:6" x14ac:dyDescent="0.25">
      <c r="A1170" t="s">
        <v>2199</v>
      </c>
      <c r="B1170" t="s">
        <v>835</v>
      </c>
      <c r="C1170" t="s">
        <v>43</v>
      </c>
      <c r="D1170">
        <v>1</v>
      </c>
      <c r="E1170" t="s">
        <v>38</v>
      </c>
      <c r="F1170" t="s">
        <v>2969</v>
      </c>
    </row>
    <row r="1171" spans="1:6" x14ac:dyDescent="0.25">
      <c r="A1171" t="s">
        <v>2199</v>
      </c>
      <c r="B1171" t="s">
        <v>835</v>
      </c>
      <c r="C1171" t="s">
        <v>43</v>
      </c>
      <c r="D1171">
        <v>2</v>
      </c>
      <c r="E1171" t="s">
        <v>1627</v>
      </c>
      <c r="F1171" t="s">
        <v>2969</v>
      </c>
    </row>
    <row r="1172" spans="1:6" x14ac:dyDescent="0.25">
      <c r="A1172" t="s">
        <v>2200</v>
      </c>
      <c r="B1172" t="s">
        <v>836</v>
      </c>
      <c r="C1172" t="s">
        <v>8</v>
      </c>
      <c r="D1172">
        <v>1</v>
      </c>
      <c r="E1172" t="s">
        <v>1724</v>
      </c>
      <c r="F1172" t="s">
        <v>2969</v>
      </c>
    </row>
    <row r="1173" spans="1:6" x14ac:dyDescent="0.25">
      <c r="A1173" t="s">
        <v>2200</v>
      </c>
      <c r="B1173" t="s">
        <v>836</v>
      </c>
      <c r="C1173" t="s">
        <v>8</v>
      </c>
      <c r="D1173">
        <v>2</v>
      </c>
      <c r="E1173" t="s">
        <v>2470</v>
      </c>
      <c r="F1173" t="s">
        <v>2969</v>
      </c>
    </row>
    <row r="1174" spans="1:6" x14ac:dyDescent="0.25">
      <c r="A1174" t="s">
        <v>2200</v>
      </c>
      <c r="B1174" t="s">
        <v>836</v>
      </c>
      <c r="C1174" t="s">
        <v>8</v>
      </c>
      <c r="D1174">
        <v>3</v>
      </c>
      <c r="E1174" t="s">
        <v>1850</v>
      </c>
      <c r="F1174" t="s">
        <v>2969</v>
      </c>
    </row>
    <row r="1175" spans="1:6" x14ac:dyDescent="0.25">
      <c r="A1175" t="s">
        <v>2201</v>
      </c>
      <c r="B1175" t="s">
        <v>837</v>
      </c>
      <c r="C1175" t="s">
        <v>76</v>
      </c>
      <c r="D1175">
        <v>1</v>
      </c>
      <c r="E1175" t="s">
        <v>1862</v>
      </c>
      <c r="F1175" t="s">
        <v>2969</v>
      </c>
    </row>
    <row r="1176" spans="1:6" x14ac:dyDescent="0.25">
      <c r="A1176" t="s">
        <v>2201</v>
      </c>
      <c r="B1176" t="s">
        <v>837</v>
      </c>
      <c r="C1176" t="s">
        <v>76</v>
      </c>
      <c r="D1176">
        <v>2</v>
      </c>
      <c r="E1176" t="s">
        <v>64</v>
      </c>
      <c r="F1176" t="s">
        <v>2969</v>
      </c>
    </row>
    <row r="1177" spans="1:6" x14ac:dyDescent="0.25">
      <c r="A1177" t="s">
        <v>2201</v>
      </c>
      <c r="B1177" t="s">
        <v>837</v>
      </c>
      <c r="C1177" t="s">
        <v>76</v>
      </c>
      <c r="D1177">
        <v>3</v>
      </c>
      <c r="E1177" t="s">
        <v>1639</v>
      </c>
      <c r="F1177" t="s">
        <v>2969</v>
      </c>
    </row>
    <row r="1178" spans="1:6" x14ac:dyDescent="0.25">
      <c r="A1178" t="s">
        <v>2202</v>
      </c>
      <c r="B1178" t="s">
        <v>838</v>
      </c>
      <c r="C1178" t="s">
        <v>97</v>
      </c>
      <c r="D1178">
        <v>1</v>
      </c>
      <c r="E1178" t="s">
        <v>1657</v>
      </c>
      <c r="F1178" t="s">
        <v>2969</v>
      </c>
    </row>
    <row r="1179" spans="1:6" x14ac:dyDescent="0.25">
      <c r="A1179" t="s">
        <v>2203</v>
      </c>
      <c r="B1179" t="s">
        <v>839</v>
      </c>
      <c r="C1179" t="s">
        <v>92</v>
      </c>
      <c r="D1179">
        <v>1</v>
      </c>
      <c r="E1179" t="s">
        <v>64</v>
      </c>
      <c r="F1179" t="s">
        <v>2969</v>
      </c>
    </row>
    <row r="1180" spans="1:6" x14ac:dyDescent="0.25">
      <c r="A1180" t="s">
        <v>2203</v>
      </c>
      <c r="B1180" t="s">
        <v>839</v>
      </c>
      <c r="C1180" t="s">
        <v>92</v>
      </c>
      <c r="D1180">
        <v>2</v>
      </c>
      <c r="E1180" t="s">
        <v>2751</v>
      </c>
      <c r="F1180" t="s">
        <v>2969</v>
      </c>
    </row>
    <row r="1181" spans="1:6" x14ac:dyDescent="0.25">
      <c r="A1181" t="s">
        <v>2203</v>
      </c>
      <c r="B1181" t="s">
        <v>839</v>
      </c>
      <c r="C1181" t="s">
        <v>92</v>
      </c>
      <c r="D1181">
        <v>3</v>
      </c>
      <c r="E1181" t="s">
        <v>1719</v>
      </c>
      <c r="F1181" t="s">
        <v>2969</v>
      </c>
    </row>
    <row r="1182" spans="1:6" x14ac:dyDescent="0.25">
      <c r="A1182" t="s">
        <v>2203</v>
      </c>
      <c r="B1182" t="s">
        <v>839</v>
      </c>
      <c r="C1182" t="s">
        <v>92</v>
      </c>
      <c r="D1182">
        <v>4</v>
      </c>
      <c r="E1182" t="s">
        <v>1751</v>
      </c>
      <c r="F1182" t="s">
        <v>2969</v>
      </c>
    </row>
    <row r="1183" spans="1:6" x14ac:dyDescent="0.25">
      <c r="A1183" t="s">
        <v>2204</v>
      </c>
      <c r="B1183" t="s">
        <v>840</v>
      </c>
      <c r="C1183" t="s">
        <v>83</v>
      </c>
      <c r="D1183">
        <v>1</v>
      </c>
      <c r="E1183" t="s">
        <v>1713</v>
      </c>
      <c r="F1183" t="s">
        <v>2969</v>
      </c>
    </row>
    <row r="1184" spans="1:6" x14ac:dyDescent="0.25">
      <c r="A1184" t="s">
        <v>2204</v>
      </c>
      <c r="B1184" t="s">
        <v>840</v>
      </c>
      <c r="C1184" t="s">
        <v>83</v>
      </c>
      <c r="D1184">
        <v>2</v>
      </c>
      <c r="E1184" t="s">
        <v>1701</v>
      </c>
      <c r="F1184" t="s">
        <v>2969</v>
      </c>
    </row>
    <row r="1185" spans="1:6" x14ac:dyDescent="0.25">
      <c r="A1185" t="s">
        <v>2204</v>
      </c>
      <c r="B1185" t="s">
        <v>840</v>
      </c>
      <c r="C1185" t="s">
        <v>83</v>
      </c>
      <c r="D1185">
        <v>3</v>
      </c>
      <c r="E1185" t="s">
        <v>1680</v>
      </c>
      <c r="F1185" t="s">
        <v>2969</v>
      </c>
    </row>
    <row r="1186" spans="1:6" x14ac:dyDescent="0.25">
      <c r="A1186" t="s">
        <v>2205</v>
      </c>
      <c r="B1186" t="s">
        <v>841</v>
      </c>
      <c r="C1186" t="s">
        <v>83</v>
      </c>
      <c r="D1186">
        <v>1</v>
      </c>
      <c r="E1186" t="s">
        <v>1689</v>
      </c>
      <c r="F1186" t="s">
        <v>2969</v>
      </c>
    </row>
    <row r="1187" spans="1:6" x14ac:dyDescent="0.25">
      <c r="A1187" t="s">
        <v>2205</v>
      </c>
      <c r="B1187" t="s">
        <v>841</v>
      </c>
      <c r="C1187" t="s">
        <v>83</v>
      </c>
      <c r="D1187">
        <v>2</v>
      </c>
      <c r="E1187" t="s">
        <v>1951</v>
      </c>
      <c r="F1187" t="s">
        <v>2969</v>
      </c>
    </row>
    <row r="1188" spans="1:6" x14ac:dyDescent="0.25">
      <c r="A1188" t="s">
        <v>2205</v>
      </c>
      <c r="B1188" t="s">
        <v>841</v>
      </c>
      <c r="C1188" t="s">
        <v>83</v>
      </c>
      <c r="D1188">
        <v>3</v>
      </c>
      <c r="E1188" t="s">
        <v>1707</v>
      </c>
      <c r="F1188" t="s">
        <v>2969</v>
      </c>
    </row>
    <row r="1189" spans="1:6" x14ac:dyDescent="0.25">
      <c r="A1189" t="s">
        <v>2205</v>
      </c>
      <c r="B1189" t="s">
        <v>841</v>
      </c>
      <c r="C1189" t="s">
        <v>83</v>
      </c>
      <c r="D1189">
        <v>4</v>
      </c>
      <c r="E1189" t="s">
        <v>1680</v>
      </c>
      <c r="F1189" t="s">
        <v>2969</v>
      </c>
    </row>
    <row r="1190" spans="1:6" x14ac:dyDescent="0.25">
      <c r="A1190" t="s">
        <v>2205</v>
      </c>
      <c r="B1190" t="s">
        <v>841</v>
      </c>
      <c r="C1190" t="s">
        <v>83</v>
      </c>
      <c r="D1190">
        <v>5</v>
      </c>
      <c r="E1190" t="s">
        <v>1809</v>
      </c>
      <c r="F1190" t="s">
        <v>2969</v>
      </c>
    </row>
    <row r="1191" spans="1:6" x14ac:dyDescent="0.25">
      <c r="A1191" t="s">
        <v>2205</v>
      </c>
      <c r="B1191" t="s">
        <v>841</v>
      </c>
      <c r="C1191" t="s">
        <v>83</v>
      </c>
      <c r="D1191">
        <v>6</v>
      </c>
      <c r="E1191" t="s">
        <v>1785</v>
      </c>
      <c r="F1191" t="s">
        <v>2969</v>
      </c>
    </row>
    <row r="1192" spans="1:6" x14ac:dyDescent="0.25">
      <c r="A1192" t="s">
        <v>2205</v>
      </c>
      <c r="B1192" t="s">
        <v>841</v>
      </c>
      <c r="C1192" t="s">
        <v>83</v>
      </c>
      <c r="D1192">
        <v>7</v>
      </c>
      <c r="E1192" t="s">
        <v>1651</v>
      </c>
      <c r="F1192" t="s">
        <v>1692</v>
      </c>
    </row>
    <row r="1193" spans="1:6" x14ac:dyDescent="0.25">
      <c r="A1193" t="s">
        <v>2206</v>
      </c>
      <c r="B1193" t="s">
        <v>843</v>
      </c>
      <c r="C1193" t="s">
        <v>130</v>
      </c>
      <c r="D1193">
        <v>1</v>
      </c>
      <c r="E1193" t="s">
        <v>1760</v>
      </c>
      <c r="F1193" t="s">
        <v>2969</v>
      </c>
    </row>
    <row r="1194" spans="1:6" x14ac:dyDescent="0.25">
      <c r="A1194" t="s">
        <v>2207</v>
      </c>
      <c r="B1194" t="s">
        <v>844</v>
      </c>
      <c r="C1194" t="s">
        <v>97</v>
      </c>
      <c r="D1194">
        <v>1</v>
      </c>
      <c r="E1194" t="s">
        <v>1637</v>
      </c>
      <c r="F1194" t="s">
        <v>2969</v>
      </c>
    </row>
    <row r="1195" spans="1:6" x14ac:dyDescent="0.25">
      <c r="A1195" t="s">
        <v>2207</v>
      </c>
      <c r="B1195" t="s">
        <v>844</v>
      </c>
      <c r="C1195" t="s">
        <v>97</v>
      </c>
      <c r="D1195">
        <v>2</v>
      </c>
      <c r="E1195" t="s">
        <v>1721</v>
      </c>
      <c r="F1195" t="s">
        <v>2969</v>
      </c>
    </row>
    <row r="1196" spans="1:6" x14ac:dyDescent="0.25">
      <c r="A1196" t="s">
        <v>2207</v>
      </c>
      <c r="B1196" t="s">
        <v>844</v>
      </c>
      <c r="C1196" t="s">
        <v>97</v>
      </c>
      <c r="D1196">
        <v>3</v>
      </c>
      <c r="E1196" t="s">
        <v>1879</v>
      </c>
      <c r="F1196" t="s">
        <v>2969</v>
      </c>
    </row>
    <row r="1197" spans="1:6" x14ac:dyDescent="0.25">
      <c r="A1197" t="s">
        <v>2207</v>
      </c>
      <c r="B1197" t="s">
        <v>844</v>
      </c>
      <c r="C1197" t="s">
        <v>97</v>
      </c>
      <c r="D1197">
        <v>4</v>
      </c>
      <c r="E1197" t="s">
        <v>1653</v>
      </c>
      <c r="F1197" t="s">
        <v>2969</v>
      </c>
    </row>
    <row r="1198" spans="1:6" x14ac:dyDescent="0.25">
      <c r="A1198" t="s">
        <v>2208</v>
      </c>
      <c r="B1198" t="s">
        <v>845</v>
      </c>
      <c r="C1198" t="s">
        <v>20</v>
      </c>
      <c r="D1198">
        <v>1</v>
      </c>
      <c r="E1198" t="s">
        <v>1724</v>
      </c>
      <c r="F1198" t="s">
        <v>2969</v>
      </c>
    </row>
    <row r="1199" spans="1:6" x14ac:dyDescent="0.25">
      <c r="A1199" t="s">
        <v>2208</v>
      </c>
      <c r="B1199" t="s">
        <v>845</v>
      </c>
      <c r="C1199" t="s">
        <v>20</v>
      </c>
      <c r="D1199">
        <v>2</v>
      </c>
      <c r="E1199" t="s">
        <v>1739</v>
      </c>
      <c r="F1199" t="s">
        <v>2969</v>
      </c>
    </row>
    <row r="1200" spans="1:6" x14ac:dyDescent="0.25">
      <c r="A1200" t="s">
        <v>2209</v>
      </c>
      <c r="B1200" t="s">
        <v>847</v>
      </c>
      <c r="C1200" t="s">
        <v>123</v>
      </c>
      <c r="D1200">
        <v>1</v>
      </c>
      <c r="E1200" t="s">
        <v>1960</v>
      </c>
      <c r="F1200" t="s">
        <v>2969</v>
      </c>
    </row>
    <row r="1201" spans="1:6" x14ac:dyDescent="0.25">
      <c r="A1201" t="s">
        <v>2209</v>
      </c>
      <c r="B1201" t="s">
        <v>847</v>
      </c>
      <c r="C1201" t="s">
        <v>123</v>
      </c>
      <c r="D1201">
        <v>2</v>
      </c>
      <c r="E1201" t="s">
        <v>1751</v>
      </c>
      <c r="F1201" t="s">
        <v>2969</v>
      </c>
    </row>
    <row r="1202" spans="1:6" x14ac:dyDescent="0.25">
      <c r="A1202" t="s">
        <v>2210</v>
      </c>
      <c r="B1202" t="s">
        <v>848</v>
      </c>
      <c r="C1202" t="s">
        <v>92</v>
      </c>
      <c r="D1202">
        <v>1</v>
      </c>
      <c r="E1202" t="s">
        <v>1862</v>
      </c>
      <c r="F1202" t="s">
        <v>2969</v>
      </c>
    </row>
    <row r="1203" spans="1:6" x14ac:dyDescent="0.25">
      <c r="A1203" t="s">
        <v>2210</v>
      </c>
      <c r="B1203" t="s">
        <v>848</v>
      </c>
      <c r="C1203" t="s">
        <v>92</v>
      </c>
      <c r="D1203">
        <v>2</v>
      </c>
      <c r="E1203" t="s">
        <v>111</v>
      </c>
      <c r="F1203" t="s">
        <v>2969</v>
      </c>
    </row>
    <row r="1204" spans="1:6" x14ac:dyDescent="0.25">
      <c r="A1204" t="s">
        <v>2210</v>
      </c>
      <c r="B1204" t="s">
        <v>848</v>
      </c>
      <c r="C1204" t="s">
        <v>92</v>
      </c>
      <c r="D1204">
        <v>3</v>
      </c>
      <c r="E1204" t="s">
        <v>1634</v>
      </c>
      <c r="F1204" t="s">
        <v>2969</v>
      </c>
    </row>
    <row r="1205" spans="1:6" x14ac:dyDescent="0.25">
      <c r="A1205" t="s">
        <v>2210</v>
      </c>
      <c r="B1205" t="s">
        <v>848</v>
      </c>
      <c r="C1205" t="s">
        <v>92</v>
      </c>
      <c r="D1205">
        <v>4</v>
      </c>
      <c r="E1205" t="s">
        <v>1917</v>
      </c>
      <c r="F1205" t="s">
        <v>2969</v>
      </c>
    </row>
    <row r="1206" spans="1:6" x14ac:dyDescent="0.25">
      <c r="A1206" t="s">
        <v>2211</v>
      </c>
      <c r="B1206" t="s">
        <v>849</v>
      </c>
      <c r="C1206" t="s">
        <v>52</v>
      </c>
      <c r="D1206">
        <v>1</v>
      </c>
      <c r="E1206" t="s">
        <v>1833</v>
      </c>
      <c r="F1206" t="s">
        <v>2969</v>
      </c>
    </row>
    <row r="1207" spans="1:6" x14ac:dyDescent="0.25">
      <c r="A1207" t="s">
        <v>2212</v>
      </c>
      <c r="B1207" t="s">
        <v>850</v>
      </c>
      <c r="C1207" t="s">
        <v>134</v>
      </c>
      <c r="D1207">
        <v>1</v>
      </c>
      <c r="E1207" t="s">
        <v>1704</v>
      </c>
      <c r="F1207" t="s">
        <v>2969</v>
      </c>
    </row>
    <row r="1208" spans="1:6" x14ac:dyDescent="0.25">
      <c r="A1208" t="s">
        <v>2213</v>
      </c>
      <c r="B1208" t="s">
        <v>851</v>
      </c>
      <c r="C1208" t="s">
        <v>101</v>
      </c>
      <c r="D1208">
        <v>1</v>
      </c>
      <c r="E1208" t="s">
        <v>120</v>
      </c>
      <c r="F1208" t="s">
        <v>2969</v>
      </c>
    </row>
    <row r="1209" spans="1:6" x14ac:dyDescent="0.25">
      <c r="A1209" t="s">
        <v>2213</v>
      </c>
      <c r="B1209" t="s">
        <v>851</v>
      </c>
      <c r="C1209" t="s">
        <v>101</v>
      </c>
      <c r="D1209">
        <v>2</v>
      </c>
      <c r="E1209" t="s">
        <v>1886</v>
      </c>
      <c r="F1209" t="s">
        <v>2969</v>
      </c>
    </row>
    <row r="1210" spans="1:6" x14ac:dyDescent="0.25">
      <c r="A1210" t="s">
        <v>2214</v>
      </c>
      <c r="B1210" t="s">
        <v>852</v>
      </c>
      <c r="C1210" t="s">
        <v>59</v>
      </c>
      <c r="D1210">
        <v>1</v>
      </c>
      <c r="E1210" t="s">
        <v>1862</v>
      </c>
      <c r="F1210" t="s">
        <v>2969</v>
      </c>
    </row>
    <row r="1211" spans="1:6" x14ac:dyDescent="0.25">
      <c r="A1211" t="s">
        <v>2214</v>
      </c>
      <c r="B1211" t="s">
        <v>852</v>
      </c>
      <c r="C1211" t="s">
        <v>59</v>
      </c>
      <c r="D1211">
        <v>2</v>
      </c>
      <c r="E1211" t="s">
        <v>64</v>
      </c>
      <c r="F1211" t="s">
        <v>2969</v>
      </c>
    </row>
    <row r="1212" spans="1:6" x14ac:dyDescent="0.25">
      <c r="A1212" t="s">
        <v>2215</v>
      </c>
      <c r="B1212" t="s">
        <v>853</v>
      </c>
      <c r="C1212" t="s">
        <v>116</v>
      </c>
      <c r="D1212">
        <v>1</v>
      </c>
      <c r="E1212" t="s">
        <v>2111</v>
      </c>
      <c r="F1212" t="s">
        <v>2969</v>
      </c>
    </row>
    <row r="1213" spans="1:6" x14ac:dyDescent="0.25">
      <c r="A1213" t="s">
        <v>2215</v>
      </c>
      <c r="B1213" t="s">
        <v>853</v>
      </c>
      <c r="C1213" t="s">
        <v>116</v>
      </c>
      <c r="D1213">
        <v>2</v>
      </c>
      <c r="E1213" t="s">
        <v>126</v>
      </c>
      <c r="F1213" t="s">
        <v>2969</v>
      </c>
    </row>
    <row r="1214" spans="1:6" x14ac:dyDescent="0.25">
      <c r="A1214" t="s">
        <v>2215</v>
      </c>
      <c r="B1214" t="s">
        <v>853</v>
      </c>
      <c r="C1214" t="s">
        <v>116</v>
      </c>
      <c r="D1214">
        <v>3</v>
      </c>
      <c r="E1214" t="s">
        <v>1995</v>
      </c>
      <c r="F1214" t="s">
        <v>2969</v>
      </c>
    </row>
    <row r="1215" spans="1:6" x14ac:dyDescent="0.25">
      <c r="A1215" t="s">
        <v>2216</v>
      </c>
      <c r="B1215" t="s">
        <v>854</v>
      </c>
      <c r="C1215" t="s">
        <v>37</v>
      </c>
      <c r="D1215">
        <v>1</v>
      </c>
      <c r="E1215" t="s">
        <v>2217</v>
      </c>
      <c r="F1215" t="s">
        <v>2969</v>
      </c>
    </row>
    <row r="1216" spans="1:6" x14ac:dyDescent="0.25">
      <c r="A1216" t="s">
        <v>2216</v>
      </c>
      <c r="B1216" t="s">
        <v>854</v>
      </c>
      <c r="C1216" t="s">
        <v>37</v>
      </c>
      <c r="D1216">
        <v>2</v>
      </c>
      <c r="E1216" t="s">
        <v>2046</v>
      </c>
      <c r="F1216" t="s">
        <v>2969</v>
      </c>
    </row>
    <row r="1217" spans="1:6" x14ac:dyDescent="0.25">
      <c r="A1217" t="s">
        <v>2218</v>
      </c>
      <c r="B1217" t="s">
        <v>855</v>
      </c>
      <c r="C1217" t="s">
        <v>34</v>
      </c>
      <c r="D1217">
        <v>1</v>
      </c>
      <c r="E1217" t="s">
        <v>1807</v>
      </c>
      <c r="F1217" t="s">
        <v>2969</v>
      </c>
    </row>
    <row r="1218" spans="1:6" x14ac:dyDescent="0.25">
      <c r="A1218" t="s">
        <v>2219</v>
      </c>
      <c r="B1218" t="s">
        <v>856</v>
      </c>
      <c r="C1218" t="s">
        <v>52</v>
      </c>
      <c r="D1218">
        <v>1</v>
      </c>
      <c r="E1218" t="s">
        <v>1680</v>
      </c>
      <c r="F1218" t="s">
        <v>2969</v>
      </c>
    </row>
    <row r="1219" spans="1:6" x14ac:dyDescent="0.25">
      <c r="A1219" t="s">
        <v>2219</v>
      </c>
      <c r="B1219" t="s">
        <v>856</v>
      </c>
      <c r="C1219" t="s">
        <v>52</v>
      </c>
      <c r="D1219">
        <v>2</v>
      </c>
      <c r="E1219" t="s">
        <v>1704</v>
      </c>
      <c r="F1219" t="s">
        <v>2969</v>
      </c>
    </row>
    <row r="1220" spans="1:6" x14ac:dyDescent="0.25">
      <c r="A1220" t="s">
        <v>2219</v>
      </c>
      <c r="B1220" t="s">
        <v>856</v>
      </c>
      <c r="C1220" t="s">
        <v>52</v>
      </c>
      <c r="D1220">
        <v>3</v>
      </c>
      <c r="E1220" t="s">
        <v>1673</v>
      </c>
      <c r="F1220" t="s">
        <v>2969</v>
      </c>
    </row>
    <row r="1221" spans="1:6" x14ac:dyDescent="0.25">
      <c r="A1221" t="s">
        <v>2220</v>
      </c>
      <c r="B1221" t="s">
        <v>857</v>
      </c>
      <c r="C1221" t="s">
        <v>121</v>
      </c>
      <c r="D1221">
        <v>1</v>
      </c>
      <c r="E1221" t="s">
        <v>111</v>
      </c>
      <c r="F1221" t="s">
        <v>2969</v>
      </c>
    </row>
    <row r="1222" spans="1:6" x14ac:dyDescent="0.25">
      <c r="A1222" t="s">
        <v>2221</v>
      </c>
      <c r="B1222" t="s">
        <v>858</v>
      </c>
      <c r="C1222" t="s">
        <v>60</v>
      </c>
      <c r="D1222">
        <v>1</v>
      </c>
      <c r="E1222" t="s">
        <v>111</v>
      </c>
      <c r="F1222" t="s">
        <v>2969</v>
      </c>
    </row>
    <row r="1223" spans="1:6" x14ac:dyDescent="0.25">
      <c r="A1223" t="s">
        <v>2221</v>
      </c>
      <c r="B1223" t="s">
        <v>858</v>
      </c>
      <c r="C1223" t="s">
        <v>60</v>
      </c>
      <c r="D1223">
        <v>2</v>
      </c>
      <c r="E1223" t="s">
        <v>1645</v>
      </c>
      <c r="F1223" t="s">
        <v>2969</v>
      </c>
    </row>
    <row r="1224" spans="1:6" x14ac:dyDescent="0.25">
      <c r="A1224" t="s">
        <v>2222</v>
      </c>
      <c r="B1224" t="s">
        <v>859</v>
      </c>
      <c r="C1224" t="s">
        <v>69</v>
      </c>
      <c r="D1224">
        <v>1</v>
      </c>
      <c r="E1224" t="s">
        <v>104</v>
      </c>
      <c r="F1224" t="s">
        <v>2969</v>
      </c>
    </row>
    <row r="1225" spans="1:6" x14ac:dyDescent="0.25">
      <c r="A1225" t="s">
        <v>2222</v>
      </c>
      <c r="B1225" t="s">
        <v>859</v>
      </c>
      <c r="C1225" t="s">
        <v>69</v>
      </c>
      <c r="D1225">
        <v>2</v>
      </c>
      <c r="E1225" t="s">
        <v>1709</v>
      </c>
      <c r="F1225" t="s">
        <v>2969</v>
      </c>
    </row>
    <row r="1226" spans="1:6" x14ac:dyDescent="0.25">
      <c r="A1226" t="s">
        <v>2222</v>
      </c>
      <c r="B1226" t="s">
        <v>859</v>
      </c>
      <c r="C1226" t="s">
        <v>69</v>
      </c>
      <c r="D1226">
        <v>3</v>
      </c>
      <c r="E1226" t="s">
        <v>1758</v>
      </c>
      <c r="F1226" t="s">
        <v>2969</v>
      </c>
    </row>
    <row r="1227" spans="1:6" x14ac:dyDescent="0.25">
      <c r="A1227" t="s">
        <v>2223</v>
      </c>
      <c r="B1227" t="s">
        <v>860</v>
      </c>
      <c r="C1227" t="s">
        <v>105</v>
      </c>
      <c r="D1227">
        <v>1</v>
      </c>
      <c r="E1227" t="s">
        <v>1728</v>
      </c>
      <c r="F1227" t="s">
        <v>2969</v>
      </c>
    </row>
    <row r="1228" spans="1:6" x14ac:dyDescent="0.25">
      <c r="A1228" t="s">
        <v>2223</v>
      </c>
      <c r="B1228" t="s">
        <v>860</v>
      </c>
      <c r="C1228" t="s">
        <v>105</v>
      </c>
      <c r="D1228">
        <v>2</v>
      </c>
      <c r="E1228" t="s">
        <v>1812</v>
      </c>
      <c r="F1228" t="s">
        <v>2969</v>
      </c>
    </row>
    <row r="1229" spans="1:6" x14ac:dyDescent="0.25">
      <c r="A1229" t="s">
        <v>2223</v>
      </c>
      <c r="B1229" t="s">
        <v>860</v>
      </c>
      <c r="C1229" t="s">
        <v>105</v>
      </c>
      <c r="D1229">
        <v>3</v>
      </c>
      <c r="E1229" t="s">
        <v>1801</v>
      </c>
      <c r="F1229" t="s">
        <v>2969</v>
      </c>
    </row>
    <row r="1230" spans="1:6" x14ac:dyDescent="0.25">
      <c r="A1230" t="s">
        <v>2224</v>
      </c>
      <c r="B1230" t="s">
        <v>861</v>
      </c>
      <c r="C1230" t="s">
        <v>20</v>
      </c>
      <c r="D1230">
        <v>1</v>
      </c>
      <c r="E1230" t="s">
        <v>109</v>
      </c>
      <c r="F1230" t="s">
        <v>2969</v>
      </c>
    </row>
    <row r="1231" spans="1:6" x14ac:dyDescent="0.25">
      <c r="A1231" t="s">
        <v>2224</v>
      </c>
      <c r="B1231" t="s">
        <v>861</v>
      </c>
      <c r="C1231" t="s">
        <v>20</v>
      </c>
      <c r="D1231">
        <v>2</v>
      </c>
      <c r="E1231" t="s">
        <v>13</v>
      </c>
      <c r="F1231" t="s">
        <v>2969</v>
      </c>
    </row>
    <row r="1232" spans="1:6" x14ac:dyDescent="0.25">
      <c r="A1232" t="s">
        <v>2224</v>
      </c>
      <c r="B1232" t="s">
        <v>861</v>
      </c>
      <c r="C1232" t="s">
        <v>20</v>
      </c>
      <c r="D1232">
        <v>3</v>
      </c>
      <c r="E1232" t="s">
        <v>1739</v>
      </c>
      <c r="F1232" t="s">
        <v>2969</v>
      </c>
    </row>
    <row r="1233" spans="1:6" x14ac:dyDescent="0.25">
      <c r="A1233" t="s">
        <v>2225</v>
      </c>
      <c r="B1233" t="s">
        <v>862</v>
      </c>
      <c r="C1233" t="s">
        <v>8</v>
      </c>
      <c r="D1233">
        <v>1</v>
      </c>
      <c r="E1233" t="s">
        <v>1739</v>
      </c>
      <c r="F1233" t="s">
        <v>2969</v>
      </c>
    </row>
    <row r="1234" spans="1:6" x14ac:dyDescent="0.25">
      <c r="A1234" t="s">
        <v>2225</v>
      </c>
      <c r="B1234" t="s">
        <v>862</v>
      </c>
      <c r="C1234" t="s">
        <v>8</v>
      </c>
      <c r="D1234">
        <v>2</v>
      </c>
      <c r="E1234" t="s">
        <v>1769</v>
      </c>
      <c r="F1234" t="s">
        <v>2969</v>
      </c>
    </row>
    <row r="1235" spans="1:6" x14ac:dyDescent="0.25">
      <c r="A1235" t="s">
        <v>2226</v>
      </c>
      <c r="B1235" t="s">
        <v>863</v>
      </c>
      <c r="C1235" t="s">
        <v>123</v>
      </c>
      <c r="D1235">
        <v>1</v>
      </c>
      <c r="E1235" t="s">
        <v>64</v>
      </c>
      <c r="F1235" t="s">
        <v>2969</v>
      </c>
    </row>
    <row r="1236" spans="1:6" x14ac:dyDescent="0.25">
      <c r="A1236" t="s">
        <v>2226</v>
      </c>
      <c r="B1236" t="s">
        <v>863</v>
      </c>
      <c r="C1236" t="s">
        <v>123</v>
      </c>
      <c r="D1236">
        <v>2</v>
      </c>
      <c r="E1236" t="s">
        <v>2751</v>
      </c>
      <c r="F1236" t="s">
        <v>2969</v>
      </c>
    </row>
    <row r="1237" spans="1:6" x14ac:dyDescent="0.25">
      <c r="A1237" t="s">
        <v>2227</v>
      </c>
      <c r="B1237" t="s">
        <v>864</v>
      </c>
      <c r="C1237" t="s">
        <v>132</v>
      </c>
      <c r="D1237">
        <v>1</v>
      </c>
      <c r="E1237" t="s">
        <v>1785</v>
      </c>
      <c r="F1237" t="s">
        <v>2969</v>
      </c>
    </row>
    <row r="1238" spans="1:6" x14ac:dyDescent="0.25">
      <c r="A1238" t="s">
        <v>2227</v>
      </c>
      <c r="B1238" t="s">
        <v>864</v>
      </c>
      <c r="C1238" t="s">
        <v>132</v>
      </c>
      <c r="D1238">
        <v>2</v>
      </c>
      <c r="E1238" t="s">
        <v>2081</v>
      </c>
      <c r="F1238" t="s">
        <v>2969</v>
      </c>
    </row>
    <row r="1239" spans="1:6" x14ac:dyDescent="0.25">
      <c r="A1239" t="s">
        <v>2228</v>
      </c>
      <c r="B1239" t="s">
        <v>865</v>
      </c>
      <c r="C1239" t="s">
        <v>127</v>
      </c>
      <c r="D1239">
        <v>1</v>
      </c>
      <c r="E1239" t="s">
        <v>68</v>
      </c>
      <c r="F1239" t="s">
        <v>2969</v>
      </c>
    </row>
    <row r="1240" spans="1:6" x14ac:dyDescent="0.25">
      <c r="A1240" t="s">
        <v>2228</v>
      </c>
      <c r="B1240" t="s">
        <v>865</v>
      </c>
      <c r="C1240" t="s">
        <v>127</v>
      </c>
      <c r="D1240">
        <v>2</v>
      </c>
      <c r="E1240" t="s">
        <v>1645</v>
      </c>
      <c r="F1240" t="s">
        <v>2969</v>
      </c>
    </row>
    <row r="1241" spans="1:6" x14ac:dyDescent="0.25">
      <c r="A1241" t="s">
        <v>2229</v>
      </c>
      <c r="B1241" t="s">
        <v>866</v>
      </c>
      <c r="C1241" t="s">
        <v>8</v>
      </c>
      <c r="D1241">
        <v>1</v>
      </c>
      <c r="E1241" t="s">
        <v>2230</v>
      </c>
      <c r="F1241" t="s">
        <v>2969</v>
      </c>
    </row>
    <row r="1242" spans="1:6" x14ac:dyDescent="0.25">
      <c r="A1242" t="s">
        <v>2229</v>
      </c>
      <c r="B1242" t="s">
        <v>866</v>
      </c>
      <c r="C1242" t="s">
        <v>8</v>
      </c>
      <c r="D1242">
        <v>2</v>
      </c>
      <c r="E1242" t="s">
        <v>1789</v>
      </c>
      <c r="F1242" t="s">
        <v>2969</v>
      </c>
    </row>
    <row r="1243" spans="1:6" x14ac:dyDescent="0.25">
      <c r="A1243" t="s">
        <v>2231</v>
      </c>
      <c r="B1243" t="s">
        <v>867</v>
      </c>
      <c r="C1243" t="s">
        <v>73</v>
      </c>
      <c r="D1243">
        <v>1</v>
      </c>
      <c r="E1243" t="s">
        <v>1621</v>
      </c>
      <c r="F1243" t="s">
        <v>2969</v>
      </c>
    </row>
    <row r="1244" spans="1:6" x14ac:dyDescent="0.25">
      <c r="A1244" t="s">
        <v>2231</v>
      </c>
      <c r="B1244" t="s">
        <v>867</v>
      </c>
      <c r="C1244" t="s">
        <v>73</v>
      </c>
      <c r="D1244">
        <v>2</v>
      </c>
      <c r="E1244" t="s">
        <v>1751</v>
      </c>
      <c r="F1244" t="s">
        <v>2969</v>
      </c>
    </row>
    <row r="1245" spans="1:6" x14ac:dyDescent="0.25">
      <c r="A1245" t="s">
        <v>2231</v>
      </c>
      <c r="B1245" t="s">
        <v>867</v>
      </c>
      <c r="C1245" t="s">
        <v>73</v>
      </c>
      <c r="D1245">
        <v>3</v>
      </c>
      <c r="E1245" t="s">
        <v>1934</v>
      </c>
      <c r="F1245" t="s">
        <v>2969</v>
      </c>
    </row>
    <row r="1246" spans="1:6" x14ac:dyDescent="0.25">
      <c r="A1246" t="s">
        <v>2232</v>
      </c>
      <c r="B1246" t="s">
        <v>868</v>
      </c>
      <c r="C1246" t="s">
        <v>83</v>
      </c>
      <c r="D1246">
        <v>1</v>
      </c>
      <c r="E1246" t="s">
        <v>1707</v>
      </c>
      <c r="F1246" t="s">
        <v>2969</v>
      </c>
    </row>
    <row r="1247" spans="1:6" x14ac:dyDescent="0.25">
      <c r="A1247" t="s">
        <v>2232</v>
      </c>
      <c r="B1247" t="s">
        <v>868</v>
      </c>
      <c r="C1247" t="s">
        <v>83</v>
      </c>
      <c r="D1247">
        <v>2</v>
      </c>
      <c r="E1247" t="s">
        <v>135</v>
      </c>
      <c r="F1247" t="s">
        <v>2969</v>
      </c>
    </row>
    <row r="1248" spans="1:6" x14ac:dyDescent="0.25">
      <c r="A1248" t="s">
        <v>2232</v>
      </c>
      <c r="B1248" t="s">
        <v>868</v>
      </c>
      <c r="C1248" t="s">
        <v>83</v>
      </c>
      <c r="D1248">
        <v>3</v>
      </c>
      <c r="E1248" t="s">
        <v>1680</v>
      </c>
      <c r="F1248" t="s">
        <v>2969</v>
      </c>
    </row>
    <row r="1249" spans="1:6" x14ac:dyDescent="0.25">
      <c r="A1249" t="s">
        <v>2232</v>
      </c>
      <c r="B1249" t="s">
        <v>868</v>
      </c>
      <c r="C1249" t="s">
        <v>83</v>
      </c>
      <c r="D1249">
        <v>4</v>
      </c>
      <c r="E1249" t="s">
        <v>1673</v>
      </c>
      <c r="F1249" t="s">
        <v>2969</v>
      </c>
    </row>
    <row r="1250" spans="1:6" x14ac:dyDescent="0.25">
      <c r="A1250" t="s">
        <v>2232</v>
      </c>
      <c r="B1250" t="s">
        <v>868</v>
      </c>
      <c r="C1250" t="s">
        <v>83</v>
      </c>
      <c r="D1250">
        <v>5</v>
      </c>
      <c r="E1250" t="s">
        <v>2470</v>
      </c>
      <c r="F1250" t="s">
        <v>2969</v>
      </c>
    </row>
    <row r="1251" spans="1:6" x14ac:dyDescent="0.25">
      <c r="A1251" t="s">
        <v>2232</v>
      </c>
      <c r="B1251" t="s">
        <v>868</v>
      </c>
      <c r="C1251" t="s">
        <v>83</v>
      </c>
      <c r="D1251">
        <v>6</v>
      </c>
      <c r="E1251" t="s">
        <v>1769</v>
      </c>
      <c r="F1251" t="s">
        <v>2969</v>
      </c>
    </row>
    <row r="1252" spans="1:6" x14ac:dyDescent="0.25">
      <c r="A1252" t="s">
        <v>2233</v>
      </c>
      <c r="B1252" t="s">
        <v>869</v>
      </c>
      <c r="C1252" t="s">
        <v>113</v>
      </c>
      <c r="D1252">
        <v>1</v>
      </c>
      <c r="E1252" t="s">
        <v>1787</v>
      </c>
      <c r="F1252" t="s">
        <v>2969</v>
      </c>
    </row>
    <row r="1253" spans="1:6" x14ac:dyDescent="0.25">
      <c r="A1253" t="s">
        <v>2233</v>
      </c>
      <c r="B1253" t="s">
        <v>869</v>
      </c>
      <c r="C1253" t="s">
        <v>113</v>
      </c>
      <c r="D1253">
        <v>2</v>
      </c>
      <c r="E1253" t="s">
        <v>1951</v>
      </c>
      <c r="F1253" t="s">
        <v>2969</v>
      </c>
    </row>
    <row r="1254" spans="1:6" x14ac:dyDescent="0.25">
      <c r="A1254" t="s">
        <v>2233</v>
      </c>
      <c r="B1254" t="s">
        <v>869</v>
      </c>
      <c r="C1254" t="s">
        <v>113</v>
      </c>
      <c r="D1254">
        <v>3</v>
      </c>
      <c r="E1254" t="s">
        <v>135</v>
      </c>
      <c r="F1254" t="s">
        <v>2969</v>
      </c>
    </row>
    <row r="1255" spans="1:6" x14ac:dyDescent="0.25">
      <c r="A1255" t="s">
        <v>2233</v>
      </c>
      <c r="B1255" t="s">
        <v>869</v>
      </c>
      <c r="C1255" t="s">
        <v>113</v>
      </c>
      <c r="D1255">
        <v>4</v>
      </c>
      <c r="E1255" t="s">
        <v>1704</v>
      </c>
      <c r="F1255" t="s">
        <v>2969</v>
      </c>
    </row>
    <row r="1256" spans="1:6" x14ac:dyDescent="0.25">
      <c r="A1256" t="s">
        <v>2234</v>
      </c>
      <c r="B1256" t="s">
        <v>870</v>
      </c>
      <c r="C1256" t="s">
        <v>134</v>
      </c>
      <c r="D1256">
        <v>1</v>
      </c>
      <c r="E1256" t="s">
        <v>1739</v>
      </c>
      <c r="F1256" t="s">
        <v>2969</v>
      </c>
    </row>
    <row r="1257" spans="1:6" x14ac:dyDescent="0.25">
      <c r="A1257" t="s">
        <v>2234</v>
      </c>
      <c r="B1257" t="s">
        <v>870</v>
      </c>
      <c r="C1257" t="s">
        <v>134</v>
      </c>
      <c r="D1257">
        <v>2</v>
      </c>
      <c r="E1257" t="s">
        <v>2470</v>
      </c>
      <c r="F1257" t="s">
        <v>2969</v>
      </c>
    </row>
    <row r="1258" spans="1:6" x14ac:dyDescent="0.25">
      <c r="A1258" t="s">
        <v>2235</v>
      </c>
      <c r="B1258" t="s">
        <v>871</v>
      </c>
      <c r="C1258" t="s">
        <v>46</v>
      </c>
      <c r="D1258">
        <v>1</v>
      </c>
      <c r="E1258" t="s">
        <v>1643</v>
      </c>
      <c r="F1258" t="s">
        <v>2969</v>
      </c>
    </row>
    <row r="1259" spans="1:6" x14ac:dyDescent="0.25">
      <c r="A1259" t="s">
        <v>2235</v>
      </c>
      <c r="B1259" t="s">
        <v>871</v>
      </c>
      <c r="C1259" t="s">
        <v>46</v>
      </c>
      <c r="D1259">
        <v>2</v>
      </c>
      <c r="E1259" t="s">
        <v>1917</v>
      </c>
      <c r="F1259" t="s">
        <v>2969</v>
      </c>
    </row>
    <row r="1260" spans="1:6" x14ac:dyDescent="0.25">
      <c r="A1260" t="s">
        <v>2236</v>
      </c>
      <c r="B1260" t="s">
        <v>873</v>
      </c>
      <c r="C1260" t="s">
        <v>65</v>
      </c>
      <c r="D1260">
        <v>1</v>
      </c>
      <c r="E1260" t="s">
        <v>1815</v>
      </c>
      <c r="F1260" t="s">
        <v>2969</v>
      </c>
    </row>
    <row r="1261" spans="1:6" x14ac:dyDescent="0.25">
      <c r="A1261" t="s">
        <v>2236</v>
      </c>
      <c r="B1261" t="s">
        <v>873</v>
      </c>
      <c r="C1261" t="s">
        <v>65</v>
      </c>
      <c r="D1261">
        <v>2</v>
      </c>
      <c r="E1261" t="s">
        <v>2032</v>
      </c>
      <c r="F1261" t="s">
        <v>2969</v>
      </c>
    </row>
    <row r="1262" spans="1:6" x14ac:dyDescent="0.25">
      <c r="A1262" t="s">
        <v>2237</v>
      </c>
      <c r="B1262" t="s">
        <v>874</v>
      </c>
      <c r="C1262" t="s">
        <v>134</v>
      </c>
      <c r="D1262">
        <v>1</v>
      </c>
      <c r="E1262" t="s">
        <v>70</v>
      </c>
      <c r="F1262" t="s">
        <v>2969</v>
      </c>
    </row>
    <row r="1263" spans="1:6" x14ac:dyDescent="0.25">
      <c r="A1263" t="s">
        <v>2237</v>
      </c>
      <c r="B1263" t="s">
        <v>874</v>
      </c>
      <c r="C1263" t="s">
        <v>134</v>
      </c>
      <c r="D1263">
        <v>2</v>
      </c>
      <c r="E1263" t="s">
        <v>2217</v>
      </c>
      <c r="F1263" t="s">
        <v>2969</v>
      </c>
    </row>
    <row r="1264" spans="1:6" x14ac:dyDescent="0.25">
      <c r="A1264" t="s">
        <v>2237</v>
      </c>
      <c r="B1264" t="s">
        <v>874</v>
      </c>
      <c r="C1264" t="s">
        <v>134</v>
      </c>
      <c r="D1264">
        <v>3</v>
      </c>
      <c r="E1264" t="s">
        <v>2472</v>
      </c>
      <c r="F1264" t="s">
        <v>2969</v>
      </c>
    </row>
    <row r="1265" spans="1:6" x14ac:dyDescent="0.25">
      <c r="A1265" t="s">
        <v>2237</v>
      </c>
      <c r="B1265" t="s">
        <v>874</v>
      </c>
      <c r="C1265" t="s">
        <v>134</v>
      </c>
      <c r="D1265">
        <v>4</v>
      </c>
      <c r="E1265" t="s">
        <v>137</v>
      </c>
      <c r="F1265" t="s">
        <v>2969</v>
      </c>
    </row>
    <row r="1266" spans="1:6" x14ac:dyDescent="0.25">
      <c r="A1266" t="s">
        <v>2238</v>
      </c>
      <c r="B1266" t="s">
        <v>875</v>
      </c>
      <c r="C1266" t="s">
        <v>76</v>
      </c>
      <c r="D1266">
        <v>1</v>
      </c>
      <c r="E1266" t="s">
        <v>1862</v>
      </c>
      <c r="F1266" t="s">
        <v>2969</v>
      </c>
    </row>
    <row r="1267" spans="1:6" x14ac:dyDescent="0.25">
      <c r="A1267" t="s">
        <v>2238</v>
      </c>
      <c r="B1267" t="s">
        <v>875</v>
      </c>
      <c r="C1267" t="s">
        <v>76</v>
      </c>
      <c r="D1267">
        <v>2</v>
      </c>
      <c r="E1267" t="s">
        <v>64</v>
      </c>
      <c r="F1267" t="s">
        <v>2969</v>
      </c>
    </row>
    <row r="1268" spans="1:6" x14ac:dyDescent="0.25">
      <c r="A1268" t="s">
        <v>2238</v>
      </c>
      <c r="B1268" t="s">
        <v>875</v>
      </c>
      <c r="C1268" t="s">
        <v>76</v>
      </c>
      <c r="D1268">
        <v>3</v>
      </c>
      <c r="E1268" t="s">
        <v>1634</v>
      </c>
      <c r="F1268" t="s">
        <v>2969</v>
      </c>
    </row>
    <row r="1269" spans="1:6" x14ac:dyDescent="0.25">
      <c r="A1269" t="s">
        <v>2239</v>
      </c>
      <c r="B1269" t="s">
        <v>876</v>
      </c>
      <c r="C1269" t="s">
        <v>97</v>
      </c>
      <c r="D1269">
        <v>1</v>
      </c>
      <c r="E1269" t="s">
        <v>78</v>
      </c>
      <c r="F1269" t="s">
        <v>2969</v>
      </c>
    </row>
    <row r="1270" spans="1:6" x14ac:dyDescent="0.25">
      <c r="A1270" t="s">
        <v>2240</v>
      </c>
      <c r="B1270" t="s">
        <v>877</v>
      </c>
      <c r="C1270" t="s">
        <v>97</v>
      </c>
      <c r="D1270">
        <v>1</v>
      </c>
      <c r="E1270" t="s">
        <v>68</v>
      </c>
      <c r="F1270" t="s">
        <v>2969</v>
      </c>
    </row>
    <row r="1271" spans="1:6" x14ac:dyDescent="0.25">
      <c r="A1271" t="s">
        <v>2240</v>
      </c>
      <c r="B1271" t="s">
        <v>877</v>
      </c>
      <c r="C1271" t="s">
        <v>97</v>
      </c>
      <c r="D1271">
        <v>2</v>
      </c>
      <c r="E1271" t="s">
        <v>2751</v>
      </c>
      <c r="F1271" t="s">
        <v>2969</v>
      </c>
    </row>
    <row r="1272" spans="1:6" x14ac:dyDescent="0.25">
      <c r="A1272" t="s">
        <v>2240</v>
      </c>
      <c r="B1272" t="s">
        <v>877</v>
      </c>
      <c r="C1272" t="s">
        <v>97</v>
      </c>
      <c r="D1272">
        <v>3</v>
      </c>
      <c r="E1272" t="s">
        <v>1953</v>
      </c>
      <c r="F1272" t="s">
        <v>2969</v>
      </c>
    </row>
    <row r="1273" spans="1:6" x14ac:dyDescent="0.25">
      <c r="A1273" t="s">
        <v>2241</v>
      </c>
      <c r="B1273" t="s">
        <v>879</v>
      </c>
      <c r="C1273" t="s">
        <v>43</v>
      </c>
      <c r="D1273">
        <v>1</v>
      </c>
      <c r="E1273" t="s">
        <v>1689</v>
      </c>
      <c r="F1273" t="s">
        <v>2969</v>
      </c>
    </row>
    <row r="1274" spans="1:6" x14ac:dyDescent="0.25">
      <c r="A1274" t="s">
        <v>2242</v>
      </c>
      <c r="B1274" t="s">
        <v>880</v>
      </c>
      <c r="C1274" t="s">
        <v>65</v>
      </c>
      <c r="D1274">
        <v>1</v>
      </c>
      <c r="E1274" t="s">
        <v>1812</v>
      </c>
      <c r="F1274" t="s">
        <v>2969</v>
      </c>
    </row>
    <row r="1275" spans="1:6" x14ac:dyDescent="0.25">
      <c r="A1275" t="s">
        <v>2242</v>
      </c>
      <c r="B1275" t="s">
        <v>880</v>
      </c>
      <c r="C1275" t="s">
        <v>65</v>
      </c>
      <c r="D1275">
        <v>2</v>
      </c>
      <c r="E1275" t="s">
        <v>51</v>
      </c>
      <c r="F1275" t="s">
        <v>2969</v>
      </c>
    </row>
    <row r="1276" spans="1:6" x14ac:dyDescent="0.25">
      <c r="A1276" t="s">
        <v>2243</v>
      </c>
      <c r="B1276" t="s">
        <v>881</v>
      </c>
      <c r="C1276" t="s">
        <v>87</v>
      </c>
      <c r="D1276">
        <v>1</v>
      </c>
      <c r="E1276" t="s">
        <v>1624</v>
      </c>
      <c r="F1276" t="s">
        <v>2969</v>
      </c>
    </row>
    <row r="1277" spans="1:6" x14ac:dyDescent="0.25">
      <c r="A1277" t="s">
        <v>2243</v>
      </c>
      <c r="B1277" t="s">
        <v>881</v>
      </c>
      <c r="C1277" t="s">
        <v>87</v>
      </c>
      <c r="D1277">
        <v>2</v>
      </c>
      <c r="E1277" t="s">
        <v>1621</v>
      </c>
      <c r="F1277" t="s">
        <v>2969</v>
      </c>
    </row>
    <row r="1278" spans="1:6" x14ac:dyDescent="0.25">
      <c r="A1278" t="s">
        <v>2243</v>
      </c>
      <c r="B1278" t="s">
        <v>881</v>
      </c>
      <c r="C1278" t="s">
        <v>87</v>
      </c>
      <c r="D1278">
        <v>3</v>
      </c>
      <c r="E1278" t="s">
        <v>1934</v>
      </c>
      <c r="F1278" t="s">
        <v>2969</v>
      </c>
    </row>
    <row r="1279" spans="1:6" x14ac:dyDescent="0.25">
      <c r="A1279" t="s">
        <v>2243</v>
      </c>
      <c r="B1279" t="s">
        <v>881</v>
      </c>
      <c r="C1279" t="s">
        <v>87</v>
      </c>
      <c r="D1279">
        <v>4</v>
      </c>
      <c r="E1279" t="s">
        <v>2088</v>
      </c>
      <c r="F1279" t="s">
        <v>2969</v>
      </c>
    </row>
    <row r="1280" spans="1:6" x14ac:dyDescent="0.25">
      <c r="A1280" t="s">
        <v>2243</v>
      </c>
      <c r="B1280" t="s">
        <v>881</v>
      </c>
      <c r="C1280" t="s">
        <v>87</v>
      </c>
      <c r="D1280">
        <v>5</v>
      </c>
      <c r="E1280" t="s">
        <v>2456</v>
      </c>
      <c r="F1280" t="s">
        <v>2969</v>
      </c>
    </row>
    <row r="1281" spans="1:6" x14ac:dyDescent="0.25">
      <c r="A1281" t="s">
        <v>2243</v>
      </c>
      <c r="B1281" t="s">
        <v>881</v>
      </c>
      <c r="C1281" t="s">
        <v>87</v>
      </c>
      <c r="D1281">
        <v>6</v>
      </c>
      <c r="E1281" t="s">
        <v>1683</v>
      </c>
      <c r="F1281" t="s">
        <v>2969</v>
      </c>
    </row>
    <row r="1282" spans="1:6" x14ac:dyDescent="0.25">
      <c r="A1282" t="s">
        <v>2243</v>
      </c>
      <c r="B1282" t="s">
        <v>881</v>
      </c>
      <c r="C1282" t="s">
        <v>87</v>
      </c>
      <c r="D1282">
        <v>7</v>
      </c>
      <c r="E1282" t="s">
        <v>2460</v>
      </c>
      <c r="F1282" t="s">
        <v>1692</v>
      </c>
    </row>
    <row r="1283" spans="1:6" x14ac:dyDescent="0.25">
      <c r="A1283" t="s">
        <v>2244</v>
      </c>
      <c r="B1283" t="s">
        <v>882</v>
      </c>
      <c r="C1283" t="s">
        <v>90</v>
      </c>
      <c r="D1283">
        <v>1</v>
      </c>
      <c r="E1283" t="s">
        <v>64</v>
      </c>
      <c r="F1283" t="s">
        <v>2969</v>
      </c>
    </row>
    <row r="1284" spans="1:6" x14ac:dyDescent="0.25">
      <c r="A1284" t="s">
        <v>2245</v>
      </c>
      <c r="B1284" t="s">
        <v>883</v>
      </c>
      <c r="C1284" t="s">
        <v>49</v>
      </c>
      <c r="D1284">
        <v>1</v>
      </c>
      <c r="E1284" t="s">
        <v>1960</v>
      </c>
      <c r="F1284" t="s">
        <v>2969</v>
      </c>
    </row>
    <row r="1285" spans="1:6" x14ac:dyDescent="0.25">
      <c r="A1285" t="s">
        <v>2245</v>
      </c>
      <c r="B1285" t="s">
        <v>883</v>
      </c>
      <c r="C1285" t="s">
        <v>49</v>
      </c>
      <c r="D1285">
        <v>2</v>
      </c>
      <c r="E1285" t="s">
        <v>1751</v>
      </c>
      <c r="F1285" t="s">
        <v>2969</v>
      </c>
    </row>
    <row r="1286" spans="1:6" x14ac:dyDescent="0.25">
      <c r="A1286" t="s">
        <v>2245</v>
      </c>
      <c r="B1286" t="s">
        <v>883</v>
      </c>
      <c r="C1286" t="s">
        <v>49</v>
      </c>
      <c r="D1286">
        <v>3</v>
      </c>
      <c r="E1286" t="s">
        <v>1934</v>
      </c>
      <c r="F1286" t="s">
        <v>2969</v>
      </c>
    </row>
    <row r="1287" spans="1:6" x14ac:dyDescent="0.25">
      <c r="A1287" t="s">
        <v>2246</v>
      </c>
      <c r="B1287" t="s">
        <v>884</v>
      </c>
      <c r="C1287" t="s">
        <v>132</v>
      </c>
      <c r="D1287">
        <v>1</v>
      </c>
      <c r="E1287" t="s">
        <v>1915</v>
      </c>
      <c r="F1287" t="s">
        <v>2969</v>
      </c>
    </row>
    <row r="1288" spans="1:6" x14ac:dyDescent="0.25">
      <c r="A1288" t="s">
        <v>2246</v>
      </c>
      <c r="B1288" t="s">
        <v>884</v>
      </c>
      <c r="C1288" t="s">
        <v>132</v>
      </c>
      <c r="D1288">
        <v>2</v>
      </c>
      <c r="E1288" t="s">
        <v>2217</v>
      </c>
      <c r="F1288" t="s">
        <v>2969</v>
      </c>
    </row>
    <row r="1289" spans="1:6" x14ac:dyDescent="0.25">
      <c r="A1289" t="s">
        <v>2247</v>
      </c>
      <c r="B1289" t="s">
        <v>885</v>
      </c>
      <c r="C1289" t="s">
        <v>46</v>
      </c>
      <c r="D1289">
        <v>1</v>
      </c>
      <c r="E1289" t="s">
        <v>124</v>
      </c>
      <c r="F1289" t="s">
        <v>2969</v>
      </c>
    </row>
    <row r="1290" spans="1:6" x14ac:dyDescent="0.25">
      <c r="A1290" t="s">
        <v>2247</v>
      </c>
      <c r="B1290" t="s">
        <v>885</v>
      </c>
      <c r="C1290" t="s">
        <v>46</v>
      </c>
      <c r="D1290">
        <v>2</v>
      </c>
      <c r="E1290" t="s">
        <v>1728</v>
      </c>
      <c r="F1290" t="s">
        <v>2969</v>
      </c>
    </row>
    <row r="1291" spans="1:6" x14ac:dyDescent="0.25">
      <c r="A1291" t="s">
        <v>2247</v>
      </c>
      <c r="B1291" t="s">
        <v>885</v>
      </c>
      <c r="C1291" t="s">
        <v>46</v>
      </c>
      <c r="D1291">
        <v>3</v>
      </c>
      <c r="E1291" t="s">
        <v>1857</v>
      </c>
      <c r="F1291" t="s">
        <v>2969</v>
      </c>
    </row>
    <row r="1292" spans="1:6" x14ac:dyDescent="0.25">
      <c r="A1292" t="s">
        <v>2247</v>
      </c>
      <c r="B1292" t="s">
        <v>885</v>
      </c>
      <c r="C1292" t="s">
        <v>46</v>
      </c>
      <c r="D1292">
        <v>4</v>
      </c>
      <c r="E1292" t="s">
        <v>1862</v>
      </c>
      <c r="F1292" t="s">
        <v>2969</v>
      </c>
    </row>
    <row r="1293" spans="1:6" x14ac:dyDescent="0.25">
      <c r="A1293" t="s">
        <v>2247</v>
      </c>
      <c r="B1293" t="s">
        <v>885</v>
      </c>
      <c r="C1293" t="s">
        <v>46</v>
      </c>
      <c r="D1293">
        <v>5</v>
      </c>
      <c r="E1293" t="s">
        <v>68</v>
      </c>
      <c r="F1293" t="s">
        <v>2969</v>
      </c>
    </row>
    <row r="1294" spans="1:6" x14ac:dyDescent="0.25">
      <c r="A1294" t="s">
        <v>2247</v>
      </c>
      <c r="B1294" t="s">
        <v>885</v>
      </c>
      <c r="C1294" t="s">
        <v>46</v>
      </c>
      <c r="D1294">
        <v>6</v>
      </c>
      <c r="E1294" t="s">
        <v>111</v>
      </c>
      <c r="F1294" t="s">
        <v>2969</v>
      </c>
    </row>
    <row r="1295" spans="1:6" x14ac:dyDescent="0.25">
      <c r="A1295" t="s">
        <v>2247</v>
      </c>
      <c r="B1295" t="s">
        <v>885</v>
      </c>
      <c r="C1295" t="s">
        <v>46</v>
      </c>
      <c r="D1295">
        <v>7</v>
      </c>
      <c r="E1295" t="s">
        <v>1645</v>
      </c>
      <c r="F1295" t="s">
        <v>1692</v>
      </c>
    </row>
    <row r="1296" spans="1:6" x14ac:dyDescent="0.25">
      <c r="A1296" t="s">
        <v>2248</v>
      </c>
      <c r="B1296" t="s">
        <v>886</v>
      </c>
      <c r="C1296" t="s">
        <v>100</v>
      </c>
      <c r="D1296">
        <v>1</v>
      </c>
      <c r="E1296" t="s">
        <v>2169</v>
      </c>
      <c r="F1296" t="s">
        <v>2969</v>
      </c>
    </row>
    <row r="1297" spans="1:6" x14ac:dyDescent="0.25">
      <c r="A1297" t="s">
        <v>2248</v>
      </c>
      <c r="B1297" t="s">
        <v>886</v>
      </c>
      <c r="C1297" t="s">
        <v>100</v>
      </c>
      <c r="D1297">
        <v>2</v>
      </c>
      <c r="E1297" t="s">
        <v>2003</v>
      </c>
      <c r="F1297" t="s">
        <v>2969</v>
      </c>
    </row>
    <row r="1298" spans="1:6" x14ac:dyDescent="0.25">
      <c r="A1298" t="s">
        <v>2248</v>
      </c>
      <c r="B1298" t="s">
        <v>886</v>
      </c>
      <c r="C1298" t="s">
        <v>100</v>
      </c>
      <c r="D1298">
        <v>3</v>
      </c>
      <c r="E1298" t="s">
        <v>2032</v>
      </c>
      <c r="F1298" t="s">
        <v>2969</v>
      </c>
    </row>
    <row r="1299" spans="1:6" x14ac:dyDescent="0.25">
      <c r="A1299" t="s">
        <v>2248</v>
      </c>
      <c r="B1299" t="s">
        <v>886</v>
      </c>
      <c r="C1299" t="s">
        <v>100</v>
      </c>
      <c r="D1299">
        <v>4</v>
      </c>
      <c r="E1299" t="s">
        <v>1820</v>
      </c>
      <c r="F1299" t="s">
        <v>2969</v>
      </c>
    </row>
    <row r="1300" spans="1:6" x14ac:dyDescent="0.25">
      <c r="A1300" t="s">
        <v>2248</v>
      </c>
      <c r="B1300" t="s">
        <v>886</v>
      </c>
      <c r="C1300" t="s">
        <v>100</v>
      </c>
      <c r="D1300">
        <v>5</v>
      </c>
      <c r="E1300" t="s">
        <v>1683</v>
      </c>
      <c r="F1300" t="s">
        <v>2969</v>
      </c>
    </row>
    <row r="1301" spans="1:6" x14ac:dyDescent="0.25">
      <c r="A1301" t="s">
        <v>2248</v>
      </c>
      <c r="B1301" t="s">
        <v>886</v>
      </c>
      <c r="C1301" t="s">
        <v>100</v>
      </c>
      <c r="D1301">
        <v>6</v>
      </c>
      <c r="E1301" t="s">
        <v>2460</v>
      </c>
      <c r="F1301" t="s">
        <v>2969</v>
      </c>
    </row>
    <row r="1302" spans="1:6" x14ac:dyDescent="0.25">
      <c r="A1302" t="s">
        <v>2248</v>
      </c>
      <c r="B1302" t="s">
        <v>886</v>
      </c>
      <c r="C1302" t="s">
        <v>100</v>
      </c>
      <c r="D1302">
        <v>7</v>
      </c>
      <c r="E1302" t="s">
        <v>2064</v>
      </c>
      <c r="F1302" t="s">
        <v>1692</v>
      </c>
    </row>
    <row r="1303" spans="1:6" x14ac:dyDescent="0.25">
      <c r="A1303" t="s">
        <v>2249</v>
      </c>
      <c r="B1303" t="s">
        <v>887</v>
      </c>
      <c r="C1303" t="s">
        <v>49</v>
      </c>
      <c r="D1303">
        <v>1</v>
      </c>
      <c r="E1303" t="s">
        <v>1678</v>
      </c>
      <c r="F1303" t="s">
        <v>2969</v>
      </c>
    </row>
    <row r="1304" spans="1:6" x14ac:dyDescent="0.25">
      <c r="A1304" t="s">
        <v>2249</v>
      </c>
      <c r="B1304" t="s">
        <v>887</v>
      </c>
      <c r="C1304" t="s">
        <v>49</v>
      </c>
      <c r="D1304">
        <v>2</v>
      </c>
      <c r="E1304" t="s">
        <v>1828</v>
      </c>
      <c r="F1304" t="s">
        <v>2969</v>
      </c>
    </row>
    <row r="1305" spans="1:6" x14ac:dyDescent="0.25">
      <c r="A1305" t="s">
        <v>2250</v>
      </c>
      <c r="B1305" t="s">
        <v>888</v>
      </c>
      <c r="C1305" t="s">
        <v>125</v>
      </c>
      <c r="D1305">
        <v>1</v>
      </c>
      <c r="E1305" t="s">
        <v>1704</v>
      </c>
      <c r="F1305" t="s">
        <v>2969</v>
      </c>
    </row>
    <row r="1306" spans="1:6" x14ac:dyDescent="0.25">
      <c r="A1306" t="s">
        <v>2250</v>
      </c>
      <c r="B1306" t="s">
        <v>888</v>
      </c>
      <c r="C1306" t="s">
        <v>125</v>
      </c>
      <c r="D1306">
        <v>2</v>
      </c>
      <c r="E1306" t="s">
        <v>1651</v>
      </c>
      <c r="F1306" t="s">
        <v>2969</v>
      </c>
    </row>
    <row r="1307" spans="1:6" x14ac:dyDescent="0.25">
      <c r="A1307" t="s">
        <v>2251</v>
      </c>
      <c r="B1307" t="s">
        <v>889</v>
      </c>
      <c r="C1307" t="s">
        <v>132</v>
      </c>
      <c r="D1307">
        <v>1</v>
      </c>
      <c r="E1307" t="s">
        <v>1764</v>
      </c>
      <c r="F1307" t="s">
        <v>2969</v>
      </c>
    </row>
    <row r="1308" spans="1:6" x14ac:dyDescent="0.25">
      <c r="A1308" t="s">
        <v>2252</v>
      </c>
      <c r="B1308" t="s">
        <v>890</v>
      </c>
      <c r="C1308" t="s">
        <v>101</v>
      </c>
      <c r="D1308">
        <v>1</v>
      </c>
      <c r="E1308" t="s">
        <v>1896</v>
      </c>
      <c r="F1308" t="s">
        <v>2969</v>
      </c>
    </row>
    <row r="1309" spans="1:6" x14ac:dyDescent="0.25">
      <c r="A1309" t="s">
        <v>2253</v>
      </c>
      <c r="B1309" t="s">
        <v>891</v>
      </c>
      <c r="C1309" t="s">
        <v>103</v>
      </c>
      <c r="D1309">
        <v>1</v>
      </c>
      <c r="E1309" t="s">
        <v>1812</v>
      </c>
      <c r="F1309" t="s">
        <v>2969</v>
      </c>
    </row>
    <row r="1310" spans="1:6" x14ac:dyDescent="0.25">
      <c r="A1310" t="s">
        <v>2254</v>
      </c>
      <c r="B1310" t="s">
        <v>892</v>
      </c>
      <c r="C1310" t="s">
        <v>60</v>
      </c>
      <c r="D1310">
        <v>1</v>
      </c>
      <c r="E1310" t="s">
        <v>1639</v>
      </c>
      <c r="F1310" t="s">
        <v>2969</v>
      </c>
    </row>
    <row r="1311" spans="1:6" x14ac:dyDescent="0.25">
      <c r="A1311" t="s">
        <v>2254</v>
      </c>
      <c r="B1311" t="s">
        <v>892</v>
      </c>
      <c r="C1311" t="s">
        <v>60</v>
      </c>
      <c r="D1311">
        <v>2</v>
      </c>
      <c r="E1311" t="s">
        <v>1629</v>
      </c>
      <c r="F1311" t="s">
        <v>2969</v>
      </c>
    </row>
    <row r="1312" spans="1:6" x14ac:dyDescent="0.25">
      <c r="A1312" t="s">
        <v>2254</v>
      </c>
      <c r="B1312" t="s">
        <v>892</v>
      </c>
      <c r="C1312" t="s">
        <v>60</v>
      </c>
      <c r="D1312">
        <v>3</v>
      </c>
      <c r="E1312" t="s">
        <v>1917</v>
      </c>
      <c r="F1312" t="s">
        <v>2969</v>
      </c>
    </row>
    <row r="1313" spans="1:6" x14ac:dyDescent="0.25">
      <c r="A1313" t="s">
        <v>2254</v>
      </c>
      <c r="B1313" t="s">
        <v>892</v>
      </c>
      <c r="C1313" t="s">
        <v>60</v>
      </c>
      <c r="D1313">
        <v>4</v>
      </c>
      <c r="E1313" t="s">
        <v>1815</v>
      </c>
      <c r="F1313" t="s">
        <v>2969</v>
      </c>
    </row>
    <row r="1314" spans="1:6" x14ac:dyDescent="0.25">
      <c r="A1314" t="s">
        <v>2255</v>
      </c>
      <c r="B1314" t="s">
        <v>893</v>
      </c>
      <c r="C1314" t="s">
        <v>98</v>
      </c>
      <c r="D1314">
        <v>1</v>
      </c>
      <c r="E1314" t="s">
        <v>1739</v>
      </c>
      <c r="F1314" t="s">
        <v>2969</v>
      </c>
    </row>
    <row r="1315" spans="1:6" x14ac:dyDescent="0.25">
      <c r="A1315" t="s">
        <v>2255</v>
      </c>
      <c r="B1315" t="s">
        <v>893</v>
      </c>
      <c r="C1315" t="s">
        <v>98</v>
      </c>
      <c r="D1315">
        <v>2</v>
      </c>
      <c r="E1315" t="s">
        <v>2470</v>
      </c>
      <c r="F1315" t="s">
        <v>2969</v>
      </c>
    </row>
    <row r="1316" spans="1:6" x14ac:dyDescent="0.25">
      <c r="A1316" t="s">
        <v>2255</v>
      </c>
      <c r="B1316" t="s">
        <v>893</v>
      </c>
      <c r="C1316" t="s">
        <v>98</v>
      </c>
      <c r="D1316">
        <v>3</v>
      </c>
      <c r="E1316" t="s">
        <v>1850</v>
      </c>
      <c r="F1316" t="s">
        <v>2969</v>
      </c>
    </row>
    <row r="1317" spans="1:6" x14ac:dyDescent="0.25">
      <c r="A1317" t="s">
        <v>2256</v>
      </c>
      <c r="B1317" t="s">
        <v>894</v>
      </c>
      <c r="C1317" t="s">
        <v>105</v>
      </c>
      <c r="D1317">
        <v>1</v>
      </c>
      <c r="E1317" t="s">
        <v>1711</v>
      </c>
      <c r="F1317" t="s">
        <v>2969</v>
      </c>
    </row>
    <row r="1318" spans="1:6" x14ac:dyDescent="0.25">
      <c r="A1318" t="s">
        <v>2257</v>
      </c>
      <c r="B1318" t="s">
        <v>895</v>
      </c>
      <c r="C1318" t="s">
        <v>107</v>
      </c>
      <c r="D1318">
        <v>1</v>
      </c>
      <c r="E1318" t="s">
        <v>2230</v>
      </c>
      <c r="F1318" t="s">
        <v>2969</v>
      </c>
    </row>
    <row r="1319" spans="1:6" x14ac:dyDescent="0.25">
      <c r="A1319" t="s">
        <v>2258</v>
      </c>
      <c r="B1319" t="s">
        <v>896</v>
      </c>
      <c r="C1319" t="s">
        <v>123</v>
      </c>
      <c r="D1319">
        <v>1</v>
      </c>
      <c r="E1319" t="s">
        <v>2032</v>
      </c>
      <c r="F1319" t="s">
        <v>2969</v>
      </c>
    </row>
    <row r="1320" spans="1:6" x14ac:dyDescent="0.25">
      <c r="A1320" t="s">
        <v>2258</v>
      </c>
      <c r="B1320" t="s">
        <v>896</v>
      </c>
      <c r="C1320" t="s">
        <v>123</v>
      </c>
      <c r="D1320">
        <v>2</v>
      </c>
      <c r="E1320" t="s">
        <v>1923</v>
      </c>
      <c r="F1320" t="s">
        <v>2969</v>
      </c>
    </row>
    <row r="1321" spans="1:6" x14ac:dyDescent="0.25">
      <c r="A1321" t="s">
        <v>2258</v>
      </c>
      <c r="B1321" t="s">
        <v>896</v>
      </c>
      <c r="C1321" t="s">
        <v>123</v>
      </c>
      <c r="D1321">
        <v>3</v>
      </c>
      <c r="E1321" t="s">
        <v>2516</v>
      </c>
      <c r="F1321" t="s">
        <v>2969</v>
      </c>
    </row>
    <row r="1322" spans="1:6" x14ac:dyDescent="0.25">
      <c r="A1322" t="s">
        <v>2259</v>
      </c>
      <c r="B1322" t="s">
        <v>897</v>
      </c>
      <c r="C1322" t="s">
        <v>105</v>
      </c>
      <c r="D1322">
        <v>1</v>
      </c>
      <c r="E1322" t="s">
        <v>75</v>
      </c>
      <c r="F1322" t="s">
        <v>2969</v>
      </c>
    </row>
    <row r="1323" spans="1:6" x14ac:dyDescent="0.25">
      <c r="A1323" t="s">
        <v>2260</v>
      </c>
      <c r="B1323" t="s">
        <v>898</v>
      </c>
      <c r="C1323" t="s">
        <v>37</v>
      </c>
      <c r="D1323">
        <v>1</v>
      </c>
      <c r="E1323" t="s">
        <v>1948</v>
      </c>
      <c r="F1323" t="s">
        <v>2969</v>
      </c>
    </row>
    <row r="1324" spans="1:6" x14ac:dyDescent="0.25">
      <c r="A1324" t="s">
        <v>2260</v>
      </c>
      <c r="B1324" t="s">
        <v>898</v>
      </c>
      <c r="C1324" t="s">
        <v>37</v>
      </c>
      <c r="D1324">
        <v>2</v>
      </c>
      <c r="E1324" t="s">
        <v>1787</v>
      </c>
      <c r="F1324" t="s">
        <v>2969</v>
      </c>
    </row>
    <row r="1325" spans="1:6" x14ac:dyDescent="0.25">
      <c r="A1325" t="s">
        <v>2260</v>
      </c>
      <c r="B1325" t="s">
        <v>898</v>
      </c>
      <c r="C1325" t="s">
        <v>37</v>
      </c>
      <c r="D1325">
        <v>3</v>
      </c>
      <c r="E1325" t="s">
        <v>1701</v>
      </c>
      <c r="F1325" t="s">
        <v>2969</v>
      </c>
    </row>
    <row r="1326" spans="1:6" x14ac:dyDescent="0.25">
      <c r="A1326" t="s">
        <v>2261</v>
      </c>
      <c r="B1326" t="s">
        <v>899</v>
      </c>
      <c r="C1326" t="s">
        <v>127</v>
      </c>
      <c r="D1326">
        <v>1</v>
      </c>
      <c r="E1326" t="s">
        <v>78</v>
      </c>
      <c r="F1326" t="s">
        <v>2969</v>
      </c>
    </row>
    <row r="1327" spans="1:6" x14ac:dyDescent="0.25">
      <c r="A1327" t="s">
        <v>2261</v>
      </c>
      <c r="B1327" t="s">
        <v>899</v>
      </c>
      <c r="C1327" t="s">
        <v>127</v>
      </c>
      <c r="D1327">
        <v>2</v>
      </c>
      <c r="E1327" t="s">
        <v>1726</v>
      </c>
      <c r="F1327" t="s">
        <v>2969</v>
      </c>
    </row>
    <row r="1328" spans="1:6" x14ac:dyDescent="0.25">
      <c r="A1328" t="s">
        <v>2262</v>
      </c>
      <c r="B1328" t="s">
        <v>900</v>
      </c>
      <c r="C1328" t="s">
        <v>98</v>
      </c>
      <c r="D1328">
        <v>1</v>
      </c>
      <c r="E1328" t="s">
        <v>1785</v>
      </c>
      <c r="F1328" t="s">
        <v>2969</v>
      </c>
    </row>
    <row r="1329" spans="1:6" x14ac:dyDescent="0.25">
      <c r="A1329" t="s">
        <v>2262</v>
      </c>
      <c r="B1329" t="s">
        <v>900</v>
      </c>
      <c r="C1329" t="s">
        <v>98</v>
      </c>
      <c r="D1329">
        <v>2</v>
      </c>
      <c r="E1329" t="s">
        <v>2081</v>
      </c>
      <c r="F1329" t="s">
        <v>2969</v>
      </c>
    </row>
    <row r="1330" spans="1:6" x14ac:dyDescent="0.25">
      <c r="A1330" t="s">
        <v>2263</v>
      </c>
      <c r="B1330" t="s">
        <v>901</v>
      </c>
      <c r="C1330" t="s">
        <v>97</v>
      </c>
      <c r="D1330">
        <v>1</v>
      </c>
      <c r="E1330" t="s">
        <v>51</v>
      </c>
      <c r="F1330" t="s">
        <v>2969</v>
      </c>
    </row>
    <row r="1331" spans="1:6" x14ac:dyDescent="0.25">
      <c r="A1331" t="s">
        <v>2264</v>
      </c>
      <c r="B1331" t="s">
        <v>902</v>
      </c>
      <c r="C1331" t="s">
        <v>121</v>
      </c>
      <c r="D1331">
        <v>1</v>
      </c>
      <c r="E1331" t="s">
        <v>1719</v>
      </c>
      <c r="F1331" t="s">
        <v>2969</v>
      </c>
    </row>
    <row r="1332" spans="1:6" x14ac:dyDescent="0.25">
      <c r="A1332" t="s">
        <v>2265</v>
      </c>
      <c r="B1332" t="s">
        <v>903</v>
      </c>
      <c r="C1332" t="s">
        <v>100</v>
      </c>
      <c r="D1332">
        <v>1</v>
      </c>
      <c r="E1332" t="s">
        <v>89</v>
      </c>
      <c r="F1332" t="s">
        <v>2969</v>
      </c>
    </row>
    <row r="1333" spans="1:6" x14ac:dyDescent="0.25">
      <c r="A1333" t="s">
        <v>2265</v>
      </c>
      <c r="B1333" t="s">
        <v>903</v>
      </c>
      <c r="C1333" t="s">
        <v>100</v>
      </c>
      <c r="D1333">
        <v>2</v>
      </c>
      <c r="E1333" t="s">
        <v>1667</v>
      </c>
      <c r="F1333" t="s">
        <v>2969</v>
      </c>
    </row>
    <row r="1334" spans="1:6" x14ac:dyDescent="0.25">
      <c r="A1334" t="s">
        <v>2266</v>
      </c>
      <c r="B1334" t="s">
        <v>904</v>
      </c>
      <c r="C1334" t="s">
        <v>39</v>
      </c>
      <c r="D1334">
        <v>1</v>
      </c>
      <c r="E1334" t="s">
        <v>2195</v>
      </c>
      <c r="F1334" t="s">
        <v>2969</v>
      </c>
    </row>
    <row r="1335" spans="1:6" x14ac:dyDescent="0.25">
      <c r="A1335" t="s">
        <v>2266</v>
      </c>
      <c r="B1335" t="s">
        <v>904</v>
      </c>
      <c r="C1335" t="s">
        <v>39</v>
      </c>
      <c r="D1335">
        <v>2</v>
      </c>
      <c r="E1335" t="s">
        <v>2478</v>
      </c>
      <c r="F1335" t="s">
        <v>2969</v>
      </c>
    </row>
    <row r="1336" spans="1:6" x14ac:dyDescent="0.25">
      <c r="A1336" t="s">
        <v>2266</v>
      </c>
      <c r="B1336" t="s">
        <v>904</v>
      </c>
      <c r="C1336" t="s">
        <v>39</v>
      </c>
      <c r="D1336">
        <v>3</v>
      </c>
      <c r="E1336" t="s">
        <v>1946</v>
      </c>
      <c r="F1336" t="s">
        <v>2969</v>
      </c>
    </row>
    <row r="1337" spans="1:6" x14ac:dyDescent="0.25">
      <c r="A1337" t="s">
        <v>2266</v>
      </c>
      <c r="B1337" t="s">
        <v>904</v>
      </c>
      <c r="C1337" t="s">
        <v>39</v>
      </c>
      <c r="D1337">
        <v>4</v>
      </c>
      <c r="E1337" t="s">
        <v>1797</v>
      </c>
      <c r="F1337" t="s">
        <v>2969</v>
      </c>
    </row>
    <row r="1338" spans="1:6" x14ac:dyDescent="0.25">
      <c r="A1338" t="s">
        <v>2267</v>
      </c>
      <c r="B1338" t="s">
        <v>905</v>
      </c>
      <c r="C1338" t="s">
        <v>71</v>
      </c>
      <c r="D1338">
        <v>1</v>
      </c>
      <c r="E1338" t="s">
        <v>1651</v>
      </c>
      <c r="F1338" t="s">
        <v>2969</v>
      </c>
    </row>
    <row r="1339" spans="1:6" x14ac:dyDescent="0.25">
      <c r="A1339" t="s">
        <v>2267</v>
      </c>
      <c r="B1339" t="s">
        <v>905</v>
      </c>
      <c r="C1339" t="s">
        <v>71</v>
      </c>
      <c r="D1339">
        <v>2</v>
      </c>
      <c r="E1339" t="s">
        <v>1739</v>
      </c>
      <c r="F1339" t="s">
        <v>2969</v>
      </c>
    </row>
    <row r="1340" spans="1:6" x14ac:dyDescent="0.25">
      <c r="A1340" t="s">
        <v>2267</v>
      </c>
      <c r="B1340" t="s">
        <v>905</v>
      </c>
      <c r="C1340" t="s">
        <v>71</v>
      </c>
      <c r="D1340">
        <v>3</v>
      </c>
      <c r="E1340" t="s">
        <v>1769</v>
      </c>
      <c r="F1340" t="s">
        <v>2969</v>
      </c>
    </row>
    <row r="1341" spans="1:6" x14ac:dyDescent="0.25">
      <c r="A1341" t="s">
        <v>2268</v>
      </c>
      <c r="B1341" t="s">
        <v>906</v>
      </c>
      <c r="C1341" t="s">
        <v>132</v>
      </c>
      <c r="D1341">
        <v>1</v>
      </c>
      <c r="E1341" t="s">
        <v>1724</v>
      </c>
      <c r="F1341" t="s">
        <v>2969</v>
      </c>
    </row>
    <row r="1342" spans="1:6" x14ac:dyDescent="0.25">
      <c r="A1342" t="s">
        <v>2268</v>
      </c>
      <c r="B1342" t="s">
        <v>906</v>
      </c>
      <c r="C1342" t="s">
        <v>132</v>
      </c>
      <c r="D1342">
        <v>2</v>
      </c>
      <c r="E1342" t="s">
        <v>1739</v>
      </c>
      <c r="F1342" t="s">
        <v>2969</v>
      </c>
    </row>
    <row r="1343" spans="1:6" x14ac:dyDescent="0.25">
      <c r="A1343" t="s">
        <v>2268</v>
      </c>
      <c r="B1343" t="s">
        <v>906</v>
      </c>
      <c r="C1343" t="s">
        <v>132</v>
      </c>
      <c r="D1343">
        <v>3</v>
      </c>
      <c r="E1343" t="s">
        <v>1850</v>
      </c>
      <c r="F1343" t="s">
        <v>2969</v>
      </c>
    </row>
    <row r="1344" spans="1:6" x14ac:dyDescent="0.25">
      <c r="A1344" t="s">
        <v>2268</v>
      </c>
      <c r="B1344" t="s">
        <v>906</v>
      </c>
      <c r="C1344" t="s">
        <v>132</v>
      </c>
      <c r="D1344">
        <v>4</v>
      </c>
      <c r="E1344" t="s">
        <v>1754</v>
      </c>
      <c r="F1344" t="s">
        <v>2969</v>
      </c>
    </row>
    <row r="1345" spans="1:6" x14ac:dyDescent="0.25">
      <c r="A1345" t="s">
        <v>2268</v>
      </c>
      <c r="B1345" t="s">
        <v>906</v>
      </c>
      <c r="C1345" t="s">
        <v>132</v>
      </c>
      <c r="D1345">
        <v>5</v>
      </c>
      <c r="E1345" t="s">
        <v>1760</v>
      </c>
      <c r="F1345" t="s">
        <v>2969</v>
      </c>
    </row>
    <row r="1346" spans="1:6" x14ac:dyDescent="0.25">
      <c r="A1346" t="s">
        <v>2268</v>
      </c>
      <c r="B1346" t="s">
        <v>906</v>
      </c>
      <c r="C1346" t="s">
        <v>132</v>
      </c>
      <c r="D1346">
        <v>6</v>
      </c>
      <c r="E1346" t="s">
        <v>137</v>
      </c>
      <c r="F1346" t="s">
        <v>2969</v>
      </c>
    </row>
    <row r="1347" spans="1:6" x14ac:dyDescent="0.25">
      <c r="A1347" t="s">
        <v>2269</v>
      </c>
      <c r="B1347" t="s">
        <v>907</v>
      </c>
      <c r="C1347" t="s">
        <v>79</v>
      </c>
      <c r="D1347">
        <v>1</v>
      </c>
      <c r="E1347" t="s">
        <v>1719</v>
      </c>
      <c r="F1347" t="s">
        <v>2969</v>
      </c>
    </row>
    <row r="1348" spans="1:6" x14ac:dyDescent="0.25">
      <c r="A1348" t="s">
        <v>2269</v>
      </c>
      <c r="B1348" t="s">
        <v>907</v>
      </c>
      <c r="C1348" t="s">
        <v>79</v>
      </c>
      <c r="D1348">
        <v>2</v>
      </c>
      <c r="E1348" t="s">
        <v>1629</v>
      </c>
      <c r="F1348" t="s">
        <v>2969</v>
      </c>
    </row>
    <row r="1349" spans="1:6" x14ac:dyDescent="0.25">
      <c r="A1349" t="s">
        <v>2269</v>
      </c>
      <c r="B1349" t="s">
        <v>907</v>
      </c>
      <c r="C1349" t="s">
        <v>79</v>
      </c>
      <c r="D1349">
        <v>3</v>
      </c>
      <c r="E1349" t="s">
        <v>2169</v>
      </c>
      <c r="F1349" t="s">
        <v>2969</v>
      </c>
    </row>
    <row r="1350" spans="1:6" x14ac:dyDescent="0.25">
      <c r="A1350" t="s">
        <v>2269</v>
      </c>
      <c r="B1350" t="s">
        <v>907</v>
      </c>
      <c r="C1350" t="s">
        <v>79</v>
      </c>
      <c r="D1350">
        <v>4</v>
      </c>
      <c r="E1350" t="s">
        <v>1828</v>
      </c>
      <c r="F1350" t="s">
        <v>2969</v>
      </c>
    </row>
    <row r="1351" spans="1:6" x14ac:dyDescent="0.25">
      <c r="A1351" t="s">
        <v>2269</v>
      </c>
      <c r="B1351" t="s">
        <v>907</v>
      </c>
      <c r="C1351" t="s">
        <v>79</v>
      </c>
      <c r="D1351">
        <v>5</v>
      </c>
      <c r="E1351" t="s">
        <v>2516</v>
      </c>
      <c r="F1351" t="s">
        <v>2969</v>
      </c>
    </row>
    <row r="1352" spans="1:6" x14ac:dyDescent="0.25">
      <c r="A1352" t="s">
        <v>2269</v>
      </c>
      <c r="B1352" t="s">
        <v>907</v>
      </c>
      <c r="C1352" t="s">
        <v>79</v>
      </c>
      <c r="D1352">
        <v>6</v>
      </c>
      <c r="E1352" t="s">
        <v>2456</v>
      </c>
      <c r="F1352" t="s">
        <v>2969</v>
      </c>
    </row>
    <row r="1353" spans="1:6" x14ac:dyDescent="0.25">
      <c r="A1353" t="s">
        <v>2269</v>
      </c>
      <c r="B1353" t="s">
        <v>907</v>
      </c>
      <c r="C1353" t="s">
        <v>79</v>
      </c>
      <c r="D1353">
        <v>7</v>
      </c>
      <c r="E1353" t="s">
        <v>2128</v>
      </c>
      <c r="F1353" t="s">
        <v>1692</v>
      </c>
    </row>
    <row r="1354" spans="1:6" x14ac:dyDescent="0.25">
      <c r="A1354" t="s">
        <v>2270</v>
      </c>
      <c r="B1354" t="s">
        <v>908</v>
      </c>
      <c r="C1354" t="s">
        <v>136</v>
      </c>
      <c r="D1354">
        <v>1</v>
      </c>
      <c r="E1354" t="s">
        <v>1879</v>
      </c>
      <c r="F1354" t="s">
        <v>2969</v>
      </c>
    </row>
    <row r="1355" spans="1:6" x14ac:dyDescent="0.25">
      <c r="A1355" t="s">
        <v>2271</v>
      </c>
      <c r="B1355" t="s">
        <v>909</v>
      </c>
      <c r="C1355" t="s">
        <v>69</v>
      </c>
      <c r="D1355">
        <v>1</v>
      </c>
      <c r="E1355" t="s">
        <v>2017</v>
      </c>
      <c r="F1355" t="s">
        <v>2969</v>
      </c>
    </row>
    <row r="1356" spans="1:6" x14ac:dyDescent="0.25">
      <c r="A1356" t="s">
        <v>2272</v>
      </c>
      <c r="B1356" t="s">
        <v>910</v>
      </c>
      <c r="C1356" t="s">
        <v>60</v>
      </c>
      <c r="D1356">
        <v>1</v>
      </c>
      <c r="E1356" t="s">
        <v>2273</v>
      </c>
      <c r="F1356" t="s">
        <v>2969</v>
      </c>
    </row>
    <row r="1357" spans="1:6" x14ac:dyDescent="0.25">
      <c r="A1357" t="s">
        <v>2272</v>
      </c>
      <c r="B1357" t="s">
        <v>910</v>
      </c>
      <c r="C1357" t="s">
        <v>60</v>
      </c>
      <c r="D1357">
        <v>2</v>
      </c>
      <c r="E1357" t="s">
        <v>2029</v>
      </c>
      <c r="F1357" t="s">
        <v>2969</v>
      </c>
    </row>
    <row r="1358" spans="1:6" x14ac:dyDescent="0.25">
      <c r="A1358" t="s">
        <v>2272</v>
      </c>
      <c r="B1358" t="s">
        <v>910</v>
      </c>
      <c r="C1358" t="s">
        <v>60</v>
      </c>
      <c r="D1358">
        <v>3</v>
      </c>
      <c r="E1358" t="s">
        <v>2970</v>
      </c>
      <c r="F1358" t="s">
        <v>2969</v>
      </c>
    </row>
    <row r="1359" spans="1:6" x14ac:dyDescent="0.25">
      <c r="A1359" t="s">
        <v>2272</v>
      </c>
      <c r="B1359" t="s">
        <v>910</v>
      </c>
      <c r="C1359" t="s">
        <v>60</v>
      </c>
      <c r="D1359">
        <v>4</v>
      </c>
      <c r="E1359" t="s">
        <v>2978</v>
      </c>
      <c r="F1359" t="s">
        <v>2969</v>
      </c>
    </row>
    <row r="1360" spans="1:6" x14ac:dyDescent="0.25">
      <c r="A1360" t="s">
        <v>2274</v>
      </c>
      <c r="B1360" t="s">
        <v>912</v>
      </c>
      <c r="C1360" t="s">
        <v>136</v>
      </c>
      <c r="D1360">
        <v>1</v>
      </c>
      <c r="E1360" t="s">
        <v>1721</v>
      </c>
      <c r="F1360" t="s">
        <v>2969</v>
      </c>
    </row>
    <row r="1361" spans="1:6" x14ac:dyDescent="0.25">
      <c r="A1361" t="s">
        <v>2274</v>
      </c>
      <c r="B1361" t="s">
        <v>912</v>
      </c>
      <c r="C1361" t="s">
        <v>136</v>
      </c>
      <c r="D1361">
        <v>2</v>
      </c>
      <c r="E1361" t="s">
        <v>1655</v>
      </c>
      <c r="F1361" t="s">
        <v>2969</v>
      </c>
    </row>
    <row r="1362" spans="1:6" x14ac:dyDescent="0.25">
      <c r="A1362" t="s">
        <v>2274</v>
      </c>
      <c r="B1362" t="s">
        <v>912</v>
      </c>
      <c r="C1362" t="s">
        <v>136</v>
      </c>
      <c r="D1362">
        <v>3</v>
      </c>
      <c r="E1362" t="s">
        <v>48</v>
      </c>
      <c r="F1362" t="s">
        <v>2969</v>
      </c>
    </row>
    <row r="1363" spans="1:6" x14ac:dyDescent="0.25">
      <c r="A1363" t="s">
        <v>2274</v>
      </c>
      <c r="B1363" t="s">
        <v>912</v>
      </c>
      <c r="C1363" t="s">
        <v>136</v>
      </c>
      <c r="D1363">
        <v>4</v>
      </c>
      <c r="E1363" t="s">
        <v>89</v>
      </c>
      <c r="F1363" t="s">
        <v>2969</v>
      </c>
    </row>
    <row r="1364" spans="1:6" x14ac:dyDescent="0.25">
      <c r="A1364" t="s">
        <v>2275</v>
      </c>
      <c r="B1364" t="s">
        <v>913</v>
      </c>
      <c r="C1364" t="s">
        <v>20</v>
      </c>
      <c r="D1364">
        <v>1</v>
      </c>
      <c r="E1364" t="s">
        <v>2081</v>
      </c>
      <c r="F1364" t="s">
        <v>2969</v>
      </c>
    </row>
    <row r="1365" spans="1:6" x14ac:dyDescent="0.25">
      <c r="A1365" t="s">
        <v>2275</v>
      </c>
      <c r="B1365" t="s">
        <v>913</v>
      </c>
      <c r="C1365" t="s">
        <v>20</v>
      </c>
      <c r="D1365">
        <v>2</v>
      </c>
      <c r="E1365" t="s">
        <v>1651</v>
      </c>
      <c r="F1365" t="s">
        <v>2969</v>
      </c>
    </row>
    <row r="1366" spans="1:6" x14ac:dyDescent="0.25">
      <c r="A1366" t="s">
        <v>2275</v>
      </c>
      <c r="B1366" t="s">
        <v>913</v>
      </c>
      <c r="C1366" t="s">
        <v>20</v>
      </c>
      <c r="D1366">
        <v>3</v>
      </c>
      <c r="E1366" t="s">
        <v>1687</v>
      </c>
      <c r="F1366" t="s">
        <v>2969</v>
      </c>
    </row>
    <row r="1367" spans="1:6" x14ac:dyDescent="0.25">
      <c r="A1367" t="s">
        <v>2275</v>
      </c>
      <c r="B1367" t="s">
        <v>913</v>
      </c>
      <c r="C1367" t="s">
        <v>20</v>
      </c>
      <c r="D1367">
        <v>4</v>
      </c>
      <c r="E1367" t="s">
        <v>2472</v>
      </c>
      <c r="F1367" t="s">
        <v>2969</v>
      </c>
    </row>
    <row r="1368" spans="1:6" x14ac:dyDescent="0.25">
      <c r="A1368" t="s">
        <v>2276</v>
      </c>
      <c r="B1368" t="s">
        <v>914</v>
      </c>
      <c r="C1368" t="s">
        <v>23</v>
      </c>
      <c r="D1368">
        <v>1</v>
      </c>
      <c r="E1368" t="s">
        <v>126</v>
      </c>
      <c r="F1368" t="s">
        <v>2969</v>
      </c>
    </row>
    <row r="1369" spans="1:6" x14ac:dyDescent="0.25">
      <c r="A1369" t="s">
        <v>2276</v>
      </c>
      <c r="B1369" t="s">
        <v>914</v>
      </c>
      <c r="C1369" t="s">
        <v>23</v>
      </c>
      <c r="D1369">
        <v>2</v>
      </c>
      <c r="E1369" t="s">
        <v>55</v>
      </c>
      <c r="F1369" t="s">
        <v>2969</v>
      </c>
    </row>
    <row r="1370" spans="1:6" x14ac:dyDescent="0.25">
      <c r="A1370" t="s">
        <v>2276</v>
      </c>
      <c r="B1370" t="s">
        <v>914</v>
      </c>
      <c r="C1370" t="s">
        <v>23</v>
      </c>
      <c r="D1370">
        <v>3</v>
      </c>
      <c r="E1370" t="s">
        <v>84</v>
      </c>
      <c r="F1370" t="s">
        <v>2969</v>
      </c>
    </row>
    <row r="1371" spans="1:6" x14ac:dyDescent="0.25">
      <c r="A1371" t="s">
        <v>2276</v>
      </c>
      <c r="B1371" t="s">
        <v>914</v>
      </c>
      <c r="C1371" t="s">
        <v>23</v>
      </c>
      <c r="D1371">
        <v>4</v>
      </c>
      <c r="E1371" t="s">
        <v>72</v>
      </c>
      <c r="F1371" t="s">
        <v>2969</v>
      </c>
    </row>
    <row r="1372" spans="1:6" x14ac:dyDescent="0.25">
      <c r="A1372" t="s">
        <v>2276</v>
      </c>
      <c r="B1372" t="s">
        <v>914</v>
      </c>
      <c r="C1372" t="s">
        <v>23</v>
      </c>
      <c r="D1372">
        <v>5</v>
      </c>
      <c r="E1372" t="s">
        <v>1886</v>
      </c>
      <c r="F1372" t="s">
        <v>2969</v>
      </c>
    </row>
    <row r="1373" spans="1:6" x14ac:dyDescent="0.25">
      <c r="A1373" t="s">
        <v>2276</v>
      </c>
      <c r="B1373" t="s">
        <v>914</v>
      </c>
      <c r="C1373" t="s">
        <v>23</v>
      </c>
      <c r="D1373">
        <v>6</v>
      </c>
      <c r="E1373" t="s">
        <v>1833</v>
      </c>
      <c r="F1373" t="s">
        <v>2969</v>
      </c>
    </row>
    <row r="1374" spans="1:6" x14ac:dyDescent="0.25">
      <c r="A1374" t="s">
        <v>2276</v>
      </c>
      <c r="B1374" t="s">
        <v>914</v>
      </c>
      <c r="C1374" t="s">
        <v>23</v>
      </c>
      <c r="D1374">
        <v>7</v>
      </c>
      <c r="E1374" t="s">
        <v>1824</v>
      </c>
      <c r="F1374" t="s">
        <v>1692</v>
      </c>
    </row>
    <row r="1375" spans="1:6" x14ac:dyDescent="0.25">
      <c r="A1375" t="s">
        <v>2277</v>
      </c>
      <c r="B1375" t="s">
        <v>915</v>
      </c>
      <c r="C1375" t="s">
        <v>123</v>
      </c>
      <c r="D1375">
        <v>1</v>
      </c>
      <c r="E1375" t="s">
        <v>1657</v>
      </c>
      <c r="F1375" t="s">
        <v>2969</v>
      </c>
    </row>
    <row r="1376" spans="1:6" x14ac:dyDescent="0.25">
      <c r="A1376" t="s">
        <v>2277</v>
      </c>
      <c r="B1376" t="s">
        <v>915</v>
      </c>
      <c r="C1376" t="s">
        <v>123</v>
      </c>
      <c r="D1376">
        <v>2</v>
      </c>
      <c r="E1376" t="s">
        <v>1862</v>
      </c>
      <c r="F1376" t="s">
        <v>2969</v>
      </c>
    </row>
    <row r="1377" spans="1:6" x14ac:dyDescent="0.25">
      <c r="A1377" t="s">
        <v>2277</v>
      </c>
      <c r="B1377" t="s">
        <v>915</v>
      </c>
      <c r="C1377" t="s">
        <v>123</v>
      </c>
      <c r="D1377">
        <v>3</v>
      </c>
      <c r="E1377" t="s">
        <v>1634</v>
      </c>
      <c r="F1377" t="s">
        <v>2969</v>
      </c>
    </row>
    <row r="1378" spans="1:6" x14ac:dyDescent="0.25">
      <c r="A1378" t="s">
        <v>2277</v>
      </c>
      <c r="B1378" t="s">
        <v>915</v>
      </c>
      <c r="C1378" t="s">
        <v>123</v>
      </c>
      <c r="D1378">
        <v>4</v>
      </c>
      <c r="E1378" t="s">
        <v>1960</v>
      </c>
      <c r="F1378" t="s">
        <v>2969</v>
      </c>
    </row>
    <row r="1379" spans="1:6" x14ac:dyDescent="0.25">
      <c r="A1379" t="s">
        <v>2278</v>
      </c>
      <c r="B1379" t="s">
        <v>916</v>
      </c>
      <c r="C1379" t="s">
        <v>113</v>
      </c>
      <c r="D1379">
        <v>1</v>
      </c>
      <c r="E1379" t="s">
        <v>1931</v>
      </c>
      <c r="F1379" t="s">
        <v>2969</v>
      </c>
    </row>
    <row r="1380" spans="1:6" x14ac:dyDescent="0.25">
      <c r="A1380" t="s">
        <v>2278</v>
      </c>
      <c r="B1380" t="s">
        <v>916</v>
      </c>
      <c r="C1380" t="s">
        <v>113</v>
      </c>
      <c r="D1380">
        <v>2</v>
      </c>
      <c r="E1380" t="s">
        <v>1795</v>
      </c>
      <c r="F1380" t="s">
        <v>2969</v>
      </c>
    </row>
    <row r="1381" spans="1:6" x14ac:dyDescent="0.25">
      <c r="A1381" t="s">
        <v>2278</v>
      </c>
      <c r="B1381" t="s">
        <v>916</v>
      </c>
      <c r="C1381" t="s">
        <v>113</v>
      </c>
      <c r="D1381">
        <v>3</v>
      </c>
      <c r="E1381" t="s">
        <v>1869</v>
      </c>
      <c r="F1381" t="s">
        <v>2969</v>
      </c>
    </row>
    <row r="1382" spans="1:6" x14ac:dyDescent="0.25">
      <c r="A1382" t="s">
        <v>2278</v>
      </c>
      <c r="B1382" t="s">
        <v>916</v>
      </c>
      <c r="C1382" t="s">
        <v>113</v>
      </c>
      <c r="D1382">
        <v>4</v>
      </c>
      <c r="E1382" t="s">
        <v>2071</v>
      </c>
      <c r="F1382" t="s">
        <v>2969</v>
      </c>
    </row>
    <row r="1383" spans="1:6" x14ac:dyDescent="0.25">
      <c r="A1383" t="s">
        <v>2279</v>
      </c>
      <c r="B1383" t="s">
        <v>917</v>
      </c>
      <c r="C1383" t="s">
        <v>100</v>
      </c>
      <c r="D1383">
        <v>1</v>
      </c>
      <c r="E1383" t="s">
        <v>1728</v>
      </c>
      <c r="F1383" t="s">
        <v>2969</v>
      </c>
    </row>
    <row r="1384" spans="1:6" x14ac:dyDescent="0.25">
      <c r="A1384" t="s">
        <v>2279</v>
      </c>
      <c r="B1384" t="s">
        <v>917</v>
      </c>
      <c r="C1384" t="s">
        <v>100</v>
      </c>
      <c r="D1384">
        <v>2</v>
      </c>
      <c r="E1384" t="s">
        <v>1772</v>
      </c>
      <c r="F1384" t="s">
        <v>2969</v>
      </c>
    </row>
    <row r="1385" spans="1:6" x14ac:dyDescent="0.25">
      <c r="A1385" t="s">
        <v>2279</v>
      </c>
      <c r="B1385" t="s">
        <v>917</v>
      </c>
      <c r="C1385" t="s">
        <v>100</v>
      </c>
      <c r="D1385">
        <v>3</v>
      </c>
      <c r="E1385" t="s">
        <v>1801</v>
      </c>
      <c r="F1385" t="s">
        <v>2969</v>
      </c>
    </row>
    <row r="1386" spans="1:6" x14ac:dyDescent="0.25">
      <c r="A1386" t="s">
        <v>2279</v>
      </c>
      <c r="B1386" t="s">
        <v>917</v>
      </c>
      <c r="C1386" t="s">
        <v>100</v>
      </c>
      <c r="D1386">
        <v>4</v>
      </c>
      <c r="E1386" t="s">
        <v>1719</v>
      </c>
      <c r="F1386" t="s">
        <v>2969</v>
      </c>
    </row>
    <row r="1387" spans="1:6" x14ac:dyDescent="0.25">
      <c r="A1387" t="s">
        <v>2280</v>
      </c>
      <c r="B1387" t="s">
        <v>918</v>
      </c>
      <c r="C1387" t="s">
        <v>113</v>
      </c>
      <c r="D1387">
        <v>1</v>
      </c>
      <c r="E1387" t="s">
        <v>126</v>
      </c>
      <c r="F1387" t="s">
        <v>2969</v>
      </c>
    </row>
    <row r="1388" spans="1:6" x14ac:dyDescent="0.25">
      <c r="A1388" t="s">
        <v>2281</v>
      </c>
      <c r="B1388" t="s">
        <v>919</v>
      </c>
      <c r="C1388" t="s">
        <v>110</v>
      </c>
      <c r="D1388">
        <v>1</v>
      </c>
      <c r="E1388" t="s">
        <v>1960</v>
      </c>
      <c r="F1388" t="s">
        <v>2969</v>
      </c>
    </row>
    <row r="1389" spans="1:6" x14ac:dyDescent="0.25">
      <c r="A1389" t="s">
        <v>2281</v>
      </c>
      <c r="B1389" t="s">
        <v>919</v>
      </c>
      <c r="C1389" t="s">
        <v>110</v>
      </c>
      <c r="D1389">
        <v>2</v>
      </c>
      <c r="E1389" t="s">
        <v>2169</v>
      </c>
      <c r="F1389" t="s">
        <v>2969</v>
      </c>
    </row>
    <row r="1390" spans="1:6" x14ac:dyDescent="0.25">
      <c r="A1390" t="s">
        <v>2282</v>
      </c>
      <c r="B1390" t="s">
        <v>920</v>
      </c>
      <c r="C1390" t="s">
        <v>128</v>
      </c>
      <c r="D1390">
        <v>1</v>
      </c>
      <c r="E1390" t="s">
        <v>1670</v>
      </c>
      <c r="F1390" t="s">
        <v>2969</v>
      </c>
    </row>
    <row r="1391" spans="1:6" x14ac:dyDescent="0.25">
      <c r="A1391" t="s">
        <v>2282</v>
      </c>
      <c r="B1391" t="s">
        <v>920</v>
      </c>
      <c r="C1391" t="s">
        <v>128</v>
      </c>
      <c r="D1391">
        <v>2</v>
      </c>
      <c r="E1391" t="s">
        <v>1835</v>
      </c>
      <c r="F1391" t="s">
        <v>2969</v>
      </c>
    </row>
    <row r="1392" spans="1:6" x14ac:dyDescent="0.25">
      <c r="A1392" t="s">
        <v>2282</v>
      </c>
      <c r="B1392" t="s">
        <v>920</v>
      </c>
      <c r="C1392" t="s">
        <v>128</v>
      </c>
      <c r="D1392">
        <v>3</v>
      </c>
      <c r="E1392" t="s">
        <v>1797</v>
      </c>
      <c r="F1392" t="s">
        <v>2969</v>
      </c>
    </row>
    <row r="1393" spans="1:6" x14ac:dyDescent="0.25">
      <c r="A1393" t="s">
        <v>2283</v>
      </c>
      <c r="B1393" t="s">
        <v>921</v>
      </c>
      <c r="C1393" t="s">
        <v>59</v>
      </c>
      <c r="D1393">
        <v>1</v>
      </c>
      <c r="E1393" t="s">
        <v>1726</v>
      </c>
      <c r="F1393" t="s">
        <v>2969</v>
      </c>
    </row>
    <row r="1394" spans="1:6" x14ac:dyDescent="0.25">
      <c r="A1394" t="s">
        <v>2283</v>
      </c>
      <c r="B1394" t="s">
        <v>921</v>
      </c>
      <c r="C1394" t="s">
        <v>59</v>
      </c>
      <c r="D1394">
        <v>2</v>
      </c>
      <c r="E1394" t="s">
        <v>64</v>
      </c>
      <c r="F1394" t="s">
        <v>2969</v>
      </c>
    </row>
    <row r="1395" spans="1:6" x14ac:dyDescent="0.25">
      <c r="A1395" t="s">
        <v>2284</v>
      </c>
      <c r="B1395" t="s">
        <v>922</v>
      </c>
      <c r="C1395" t="s">
        <v>110</v>
      </c>
      <c r="D1395">
        <v>1</v>
      </c>
      <c r="E1395" t="s">
        <v>1781</v>
      </c>
      <c r="F1395" t="s">
        <v>2969</v>
      </c>
    </row>
    <row r="1396" spans="1:6" x14ac:dyDescent="0.25">
      <c r="A1396" t="s">
        <v>2284</v>
      </c>
      <c r="B1396" t="s">
        <v>922</v>
      </c>
      <c r="C1396" t="s">
        <v>110</v>
      </c>
      <c r="D1396">
        <v>2</v>
      </c>
      <c r="E1396" t="s">
        <v>1815</v>
      </c>
      <c r="F1396" t="s">
        <v>2969</v>
      </c>
    </row>
    <row r="1397" spans="1:6" x14ac:dyDescent="0.25">
      <c r="A1397" t="s">
        <v>2284</v>
      </c>
      <c r="B1397" t="s">
        <v>922</v>
      </c>
      <c r="C1397" t="s">
        <v>110</v>
      </c>
      <c r="D1397">
        <v>3</v>
      </c>
      <c r="E1397" t="s">
        <v>1828</v>
      </c>
      <c r="F1397" t="s">
        <v>2969</v>
      </c>
    </row>
    <row r="1398" spans="1:6" x14ac:dyDescent="0.25">
      <c r="A1398" t="s">
        <v>2284</v>
      </c>
      <c r="B1398" t="s">
        <v>922</v>
      </c>
      <c r="C1398" t="s">
        <v>110</v>
      </c>
      <c r="D1398">
        <v>4</v>
      </c>
      <c r="E1398" t="s">
        <v>2460</v>
      </c>
      <c r="F1398" t="s">
        <v>2969</v>
      </c>
    </row>
    <row r="1399" spans="1:6" x14ac:dyDescent="0.25">
      <c r="A1399" t="s">
        <v>2285</v>
      </c>
      <c r="B1399" t="s">
        <v>923</v>
      </c>
      <c r="C1399" t="s">
        <v>113</v>
      </c>
      <c r="D1399">
        <v>1</v>
      </c>
      <c r="E1399" t="s">
        <v>1713</v>
      </c>
      <c r="F1399" t="s">
        <v>2969</v>
      </c>
    </row>
    <row r="1400" spans="1:6" x14ac:dyDescent="0.25">
      <c r="A1400" t="s">
        <v>2285</v>
      </c>
      <c r="B1400" t="s">
        <v>923</v>
      </c>
      <c r="C1400" t="s">
        <v>113</v>
      </c>
      <c r="D1400">
        <v>2</v>
      </c>
      <c r="E1400" t="s">
        <v>33</v>
      </c>
      <c r="F1400" t="s">
        <v>2969</v>
      </c>
    </row>
    <row r="1401" spans="1:6" x14ac:dyDescent="0.25">
      <c r="A1401" t="s">
        <v>2285</v>
      </c>
      <c r="B1401" t="s">
        <v>923</v>
      </c>
      <c r="C1401" t="s">
        <v>113</v>
      </c>
      <c r="D1401">
        <v>3</v>
      </c>
      <c r="E1401" t="s">
        <v>133</v>
      </c>
      <c r="F1401" t="s">
        <v>2969</v>
      </c>
    </row>
    <row r="1402" spans="1:6" x14ac:dyDescent="0.25">
      <c r="A1402" t="s">
        <v>2286</v>
      </c>
      <c r="B1402" t="s">
        <v>924</v>
      </c>
      <c r="C1402" t="s">
        <v>52</v>
      </c>
      <c r="D1402">
        <v>1</v>
      </c>
      <c r="E1402" t="s">
        <v>99</v>
      </c>
      <c r="F1402" t="s">
        <v>2969</v>
      </c>
    </row>
    <row r="1403" spans="1:6" x14ac:dyDescent="0.25">
      <c r="A1403" t="s">
        <v>2287</v>
      </c>
      <c r="B1403" t="s">
        <v>925</v>
      </c>
      <c r="C1403" t="s">
        <v>65</v>
      </c>
      <c r="D1403">
        <v>1</v>
      </c>
      <c r="E1403" t="s">
        <v>78</v>
      </c>
      <c r="F1403" t="s">
        <v>2969</v>
      </c>
    </row>
    <row r="1404" spans="1:6" x14ac:dyDescent="0.25">
      <c r="A1404" t="s">
        <v>2287</v>
      </c>
      <c r="B1404" t="s">
        <v>925</v>
      </c>
      <c r="C1404" t="s">
        <v>65</v>
      </c>
      <c r="D1404">
        <v>2</v>
      </c>
      <c r="E1404" t="s">
        <v>1801</v>
      </c>
      <c r="F1404" t="s">
        <v>2969</v>
      </c>
    </row>
    <row r="1405" spans="1:6" x14ac:dyDescent="0.25">
      <c r="A1405" t="s">
        <v>2288</v>
      </c>
      <c r="B1405" t="s">
        <v>926</v>
      </c>
      <c r="C1405" t="s">
        <v>14</v>
      </c>
      <c r="D1405">
        <v>1</v>
      </c>
      <c r="E1405" t="s">
        <v>86</v>
      </c>
      <c r="F1405" t="s">
        <v>2969</v>
      </c>
    </row>
    <row r="1406" spans="1:6" x14ac:dyDescent="0.25">
      <c r="A1406" t="s">
        <v>2289</v>
      </c>
      <c r="B1406" t="s">
        <v>927</v>
      </c>
      <c r="C1406" t="s">
        <v>73</v>
      </c>
      <c r="D1406">
        <v>1</v>
      </c>
      <c r="E1406" t="s">
        <v>2169</v>
      </c>
      <c r="F1406" t="s">
        <v>2969</v>
      </c>
    </row>
    <row r="1407" spans="1:6" x14ac:dyDescent="0.25">
      <c r="A1407" t="s">
        <v>2289</v>
      </c>
      <c r="B1407" t="s">
        <v>927</v>
      </c>
      <c r="C1407" t="s">
        <v>73</v>
      </c>
      <c r="D1407">
        <v>2</v>
      </c>
      <c r="E1407" t="s">
        <v>1781</v>
      </c>
      <c r="F1407" t="s">
        <v>2969</v>
      </c>
    </row>
    <row r="1408" spans="1:6" x14ac:dyDescent="0.25">
      <c r="A1408" t="s">
        <v>2289</v>
      </c>
      <c r="B1408" t="s">
        <v>927</v>
      </c>
      <c r="C1408" t="s">
        <v>73</v>
      </c>
      <c r="D1408">
        <v>3</v>
      </c>
      <c r="E1408" t="s">
        <v>2088</v>
      </c>
      <c r="F1408" t="s">
        <v>2969</v>
      </c>
    </row>
    <row r="1409" spans="1:6" x14ac:dyDescent="0.25">
      <c r="A1409" t="s">
        <v>2290</v>
      </c>
      <c r="B1409" t="s">
        <v>928</v>
      </c>
      <c r="C1409" t="s">
        <v>56</v>
      </c>
      <c r="D1409">
        <v>1</v>
      </c>
      <c r="E1409" t="s">
        <v>22</v>
      </c>
      <c r="F1409" t="s">
        <v>2969</v>
      </c>
    </row>
    <row r="1410" spans="1:6" x14ac:dyDescent="0.25">
      <c r="A1410" t="s">
        <v>2290</v>
      </c>
      <c r="B1410" t="s">
        <v>928</v>
      </c>
      <c r="C1410" t="s">
        <v>56</v>
      </c>
      <c r="D1410">
        <v>2</v>
      </c>
      <c r="E1410" t="s">
        <v>1731</v>
      </c>
      <c r="F1410" t="s">
        <v>2969</v>
      </c>
    </row>
    <row r="1411" spans="1:6" x14ac:dyDescent="0.25">
      <c r="A1411" t="s">
        <v>2291</v>
      </c>
      <c r="B1411" t="s">
        <v>929</v>
      </c>
      <c r="C1411" t="s">
        <v>97</v>
      </c>
      <c r="D1411">
        <v>1</v>
      </c>
      <c r="E1411" t="s">
        <v>1741</v>
      </c>
      <c r="F1411" t="s">
        <v>2969</v>
      </c>
    </row>
    <row r="1412" spans="1:6" x14ac:dyDescent="0.25">
      <c r="A1412" t="s">
        <v>2291</v>
      </c>
      <c r="B1412" t="s">
        <v>929</v>
      </c>
      <c r="C1412" t="s">
        <v>97</v>
      </c>
      <c r="D1412">
        <v>2</v>
      </c>
      <c r="E1412" t="s">
        <v>89</v>
      </c>
      <c r="F1412" t="s">
        <v>2969</v>
      </c>
    </row>
    <row r="1413" spans="1:6" x14ac:dyDescent="0.25">
      <c r="A1413" t="s">
        <v>2291</v>
      </c>
      <c r="B1413" t="s">
        <v>929</v>
      </c>
      <c r="C1413" t="s">
        <v>97</v>
      </c>
      <c r="D1413">
        <v>3</v>
      </c>
      <c r="E1413" t="s">
        <v>51</v>
      </c>
      <c r="F1413" t="s">
        <v>2969</v>
      </c>
    </row>
    <row r="1414" spans="1:6" x14ac:dyDescent="0.25">
      <c r="A1414" t="s">
        <v>2292</v>
      </c>
      <c r="B1414" t="s">
        <v>930</v>
      </c>
      <c r="C1414" t="s">
        <v>123</v>
      </c>
      <c r="D1414">
        <v>1</v>
      </c>
      <c r="E1414" t="s">
        <v>111</v>
      </c>
      <c r="F1414" t="s">
        <v>2969</v>
      </c>
    </row>
    <row r="1415" spans="1:6" x14ac:dyDescent="0.25">
      <c r="A1415" t="s">
        <v>2293</v>
      </c>
      <c r="B1415" t="s">
        <v>931</v>
      </c>
      <c r="C1415" t="s">
        <v>110</v>
      </c>
      <c r="D1415">
        <v>1</v>
      </c>
      <c r="E1415" t="s">
        <v>2128</v>
      </c>
      <c r="F1415" t="s">
        <v>2969</v>
      </c>
    </row>
    <row r="1416" spans="1:6" x14ac:dyDescent="0.25">
      <c r="A1416" t="s">
        <v>2293</v>
      </c>
      <c r="B1416" t="s">
        <v>931</v>
      </c>
      <c r="C1416" t="s">
        <v>110</v>
      </c>
      <c r="D1416">
        <v>2</v>
      </c>
      <c r="E1416" t="s">
        <v>1775</v>
      </c>
      <c r="F1416" t="s">
        <v>2969</v>
      </c>
    </row>
    <row r="1417" spans="1:6" x14ac:dyDescent="0.25">
      <c r="A1417" t="s">
        <v>2293</v>
      </c>
      <c r="B1417" t="s">
        <v>931</v>
      </c>
      <c r="C1417" t="s">
        <v>110</v>
      </c>
      <c r="D1417">
        <v>3</v>
      </c>
      <c r="E1417" t="s">
        <v>1956</v>
      </c>
      <c r="F1417" t="s">
        <v>2969</v>
      </c>
    </row>
    <row r="1418" spans="1:6" x14ac:dyDescent="0.25">
      <c r="A1418" t="s">
        <v>2294</v>
      </c>
      <c r="B1418" t="s">
        <v>932</v>
      </c>
      <c r="C1418" t="s">
        <v>39</v>
      </c>
      <c r="D1418">
        <v>1</v>
      </c>
      <c r="E1418" t="s">
        <v>1995</v>
      </c>
      <c r="F1418" t="s">
        <v>2969</v>
      </c>
    </row>
    <row r="1419" spans="1:6" x14ac:dyDescent="0.25">
      <c r="A1419" t="s">
        <v>2294</v>
      </c>
      <c r="B1419" t="s">
        <v>932</v>
      </c>
      <c r="C1419" t="s">
        <v>39</v>
      </c>
      <c r="D1419">
        <v>2</v>
      </c>
      <c r="E1419" t="s">
        <v>84</v>
      </c>
      <c r="F1419" t="s">
        <v>2969</v>
      </c>
    </row>
    <row r="1420" spans="1:6" x14ac:dyDescent="0.25">
      <c r="A1420" t="s">
        <v>2294</v>
      </c>
      <c r="B1420" t="s">
        <v>932</v>
      </c>
      <c r="C1420" t="s">
        <v>39</v>
      </c>
      <c r="D1420">
        <v>3</v>
      </c>
      <c r="E1420" t="s">
        <v>99</v>
      </c>
      <c r="F1420" t="s">
        <v>2969</v>
      </c>
    </row>
    <row r="1421" spans="1:6" x14ac:dyDescent="0.25">
      <c r="A1421" t="s">
        <v>2295</v>
      </c>
      <c r="B1421" t="s">
        <v>933</v>
      </c>
      <c r="C1421" t="s">
        <v>130</v>
      </c>
      <c r="D1421">
        <v>1</v>
      </c>
      <c r="E1421" t="s">
        <v>1673</v>
      </c>
      <c r="F1421" t="s">
        <v>2969</v>
      </c>
    </row>
    <row r="1422" spans="1:6" x14ac:dyDescent="0.25">
      <c r="A1422" t="s">
        <v>2296</v>
      </c>
      <c r="B1422" t="s">
        <v>934</v>
      </c>
      <c r="C1422" t="s">
        <v>103</v>
      </c>
      <c r="D1422">
        <v>1</v>
      </c>
      <c r="E1422" t="s">
        <v>1862</v>
      </c>
      <c r="F1422" t="s">
        <v>2969</v>
      </c>
    </row>
    <row r="1423" spans="1:6" x14ac:dyDescent="0.25">
      <c r="A1423" t="s">
        <v>2297</v>
      </c>
      <c r="B1423" t="s">
        <v>935</v>
      </c>
      <c r="C1423" t="s">
        <v>116</v>
      </c>
      <c r="D1423">
        <v>1</v>
      </c>
      <c r="E1423" t="s">
        <v>2195</v>
      </c>
      <c r="F1423" t="s">
        <v>2969</v>
      </c>
    </row>
    <row r="1424" spans="1:6" x14ac:dyDescent="0.25">
      <c r="A1424" t="s">
        <v>2298</v>
      </c>
      <c r="B1424" t="s">
        <v>936</v>
      </c>
      <c r="C1424" t="s">
        <v>56</v>
      </c>
      <c r="D1424">
        <v>1</v>
      </c>
      <c r="E1424" t="s">
        <v>1697</v>
      </c>
      <c r="F1424" t="s">
        <v>2969</v>
      </c>
    </row>
    <row r="1425" spans="1:6" x14ac:dyDescent="0.25">
      <c r="A1425" t="s">
        <v>2298</v>
      </c>
      <c r="B1425" t="s">
        <v>936</v>
      </c>
      <c r="C1425" t="s">
        <v>56</v>
      </c>
      <c r="D1425">
        <v>2</v>
      </c>
      <c r="E1425" t="s">
        <v>1701</v>
      </c>
      <c r="F1425" t="s">
        <v>2969</v>
      </c>
    </row>
    <row r="1426" spans="1:6" x14ac:dyDescent="0.25">
      <c r="A1426" t="s">
        <v>2298</v>
      </c>
      <c r="B1426" t="s">
        <v>936</v>
      </c>
      <c r="C1426" t="s">
        <v>56</v>
      </c>
      <c r="D1426">
        <v>3</v>
      </c>
      <c r="E1426" t="s">
        <v>133</v>
      </c>
      <c r="F1426" t="s">
        <v>2969</v>
      </c>
    </row>
    <row r="1427" spans="1:6" x14ac:dyDescent="0.25">
      <c r="A1427" t="s">
        <v>2299</v>
      </c>
      <c r="B1427" t="s">
        <v>937</v>
      </c>
      <c r="C1427" t="s">
        <v>113</v>
      </c>
      <c r="D1427">
        <v>1</v>
      </c>
      <c r="E1427" t="s">
        <v>38</v>
      </c>
      <c r="F1427" t="s">
        <v>2969</v>
      </c>
    </row>
    <row r="1428" spans="1:6" x14ac:dyDescent="0.25">
      <c r="A1428" t="s">
        <v>2299</v>
      </c>
      <c r="B1428" t="s">
        <v>937</v>
      </c>
      <c r="C1428" t="s">
        <v>113</v>
      </c>
      <c r="D1428">
        <v>2</v>
      </c>
      <c r="E1428" t="s">
        <v>1948</v>
      </c>
      <c r="F1428" t="s">
        <v>2969</v>
      </c>
    </row>
    <row r="1429" spans="1:6" x14ac:dyDescent="0.25">
      <c r="A1429" t="s">
        <v>2299</v>
      </c>
      <c r="B1429" t="s">
        <v>937</v>
      </c>
      <c r="C1429" t="s">
        <v>113</v>
      </c>
      <c r="D1429">
        <v>3</v>
      </c>
      <c r="E1429" t="s">
        <v>1787</v>
      </c>
      <c r="F1429" t="s">
        <v>2969</v>
      </c>
    </row>
    <row r="1430" spans="1:6" x14ac:dyDescent="0.25">
      <c r="A1430" t="s">
        <v>2299</v>
      </c>
      <c r="B1430" t="s">
        <v>937</v>
      </c>
      <c r="C1430" t="s">
        <v>113</v>
      </c>
      <c r="D1430">
        <v>4</v>
      </c>
      <c r="E1430" t="s">
        <v>1701</v>
      </c>
      <c r="F1430" t="s">
        <v>2969</v>
      </c>
    </row>
    <row r="1431" spans="1:6" x14ac:dyDescent="0.25">
      <c r="A1431" t="s">
        <v>2300</v>
      </c>
      <c r="B1431" t="s">
        <v>939</v>
      </c>
      <c r="C1431" t="s">
        <v>66</v>
      </c>
      <c r="D1431">
        <v>1</v>
      </c>
      <c r="E1431" t="s">
        <v>2029</v>
      </c>
      <c r="F1431" t="s">
        <v>2969</v>
      </c>
    </row>
    <row r="1432" spans="1:6" x14ac:dyDescent="0.25">
      <c r="A1432" t="s">
        <v>2300</v>
      </c>
      <c r="B1432" t="s">
        <v>939</v>
      </c>
      <c r="C1432" t="s">
        <v>66</v>
      </c>
      <c r="D1432">
        <v>2</v>
      </c>
      <c r="E1432" t="s">
        <v>2973</v>
      </c>
      <c r="F1432" t="s">
        <v>2969</v>
      </c>
    </row>
    <row r="1433" spans="1:6" x14ac:dyDescent="0.25">
      <c r="A1433" t="s">
        <v>2301</v>
      </c>
      <c r="B1433" t="s">
        <v>940</v>
      </c>
      <c r="C1433" t="s">
        <v>79</v>
      </c>
      <c r="D1433">
        <v>1</v>
      </c>
      <c r="E1433" t="s">
        <v>68</v>
      </c>
      <c r="F1433" t="s">
        <v>2969</v>
      </c>
    </row>
    <row r="1434" spans="1:6" x14ac:dyDescent="0.25">
      <c r="A1434" t="s">
        <v>2302</v>
      </c>
      <c r="B1434" t="s">
        <v>941</v>
      </c>
      <c r="C1434" t="s">
        <v>103</v>
      </c>
      <c r="D1434">
        <v>1</v>
      </c>
      <c r="E1434" t="s">
        <v>1862</v>
      </c>
      <c r="F1434" t="s">
        <v>2969</v>
      </c>
    </row>
    <row r="1435" spans="1:6" x14ac:dyDescent="0.25">
      <c r="A1435" t="s">
        <v>2302</v>
      </c>
      <c r="B1435" t="s">
        <v>941</v>
      </c>
      <c r="C1435" t="s">
        <v>103</v>
      </c>
      <c r="D1435">
        <v>2</v>
      </c>
      <c r="E1435" t="s">
        <v>2751</v>
      </c>
      <c r="F1435" t="s">
        <v>2969</v>
      </c>
    </row>
    <row r="1436" spans="1:6" x14ac:dyDescent="0.25">
      <c r="A1436" t="s">
        <v>2303</v>
      </c>
      <c r="B1436" t="s">
        <v>942</v>
      </c>
      <c r="C1436" t="s">
        <v>98</v>
      </c>
      <c r="D1436">
        <v>1</v>
      </c>
      <c r="E1436" t="s">
        <v>1809</v>
      </c>
      <c r="F1436" t="s">
        <v>2969</v>
      </c>
    </row>
    <row r="1437" spans="1:6" x14ac:dyDescent="0.25">
      <c r="A1437" t="s">
        <v>2303</v>
      </c>
      <c r="B1437" t="s">
        <v>942</v>
      </c>
      <c r="C1437" t="s">
        <v>98</v>
      </c>
      <c r="D1437">
        <v>2</v>
      </c>
      <c r="E1437" t="s">
        <v>1704</v>
      </c>
      <c r="F1437" t="s">
        <v>2969</v>
      </c>
    </row>
    <row r="1438" spans="1:6" x14ac:dyDescent="0.25">
      <c r="A1438" t="s">
        <v>2303</v>
      </c>
      <c r="B1438" t="s">
        <v>942</v>
      </c>
      <c r="C1438" t="s">
        <v>98</v>
      </c>
      <c r="D1438">
        <v>3</v>
      </c>
      <c r="E1438" t="s">
        <v>1739</v>
      </c>
      <c r="F1438" t="s">
        <v>2969</v>
      </c>
    </row>
    <row r="1439" spans="1:6" x14ac:dyDescent="0.25">
      <c r="A1439" t="s">
        <v>2303</v>
      </c>
      <c r="B1439" t="s">
        <v>942</v>
      </c>
      <c r="C1439" t="s">
        <v>98</v>
      </c>
      <c r="D1439">
        <v>4</v>
      </c>
      <c r="E1439" t="s">
        <v>1850</v>
      </c>
      <c r="F1439" t="s">
        <v>2969</v>
      </c>
    </row>
    <row r="1440" spans="1:6" x14ac:dyDescent="0.25">
      <c r="A1440" t="s">
        <v>2304</v>
      </c>
      <c r="B1440" t="s">
        <v>943</v>
      </c>
      <c r="C1440" t="s">
        <v>23</v>
      </c>
      <c r="D1440">
        <v>1</v>
      </c>
      <c r="E1440" t="s">
        <v>1833</v>
      </c>
      <c r="F1440" t="s">
        <v>2969</v>
      </c>
    </row>
    <row r="1441" spans="1:6" x14ac:dyDescent="0.25">
      <c r="A1441" t="s">
        <v>2304</v>
      </c>
      <c r="B1441" t="s">
        <v>943</v>
      </c>
      <c r="C1441" t="s">
        <v>23</v>
      </c>
      <c r="D1441">
        <v>2</v>
      </c>
      <c r="E1441" t="s">
        <v>38</v>
      </c>
      <c r="F1441" t="s">
        <v>2969</v>
      </c>
    </row>
    <row r="1442" spans="1:6" x14ac:dyDescent="0.25">
      <c r="A1442" t="s">
        <v>2304</v>
      </c>
      <c r="B1442" t="s">
        <v>943</v>
      </c>
      <c r="C1442" t="s">
        <v>23</v>
      </c>
      <c r="D1442">
        <v>3</v>
      </c>
      <c r="E1442" t="s">
        <v>1787</v>
      </c>
      <c r="F1442" t="s">
        <v>2969</v>
      </c>
    </row>
    <row r="1443" spans="1:6" x14ac:dyDescent="0.25">
      <c r="A1443" t="s">
        <v>2304</v>
      </c>
      <c r="B1443" t="s">
        <v>943</v>
      </c>
      <c r="C1443" t="s">
        <v>23</v>
      </c>
      <c r="D1443">
        <v>4</v>
      </c>
      <c r="E1443" t="s">
        <v>1707</v>
      </c>
      <c r="F1443" t="s">
        <v>2969</v>
      </c>
    </row>
    <row r="1444" spans="1:6" x14ac:dyDescent="0.25">
      <c r="A1444" t="s">
        <v>2305</v>
      </c>
      <c r="B1444" t="s">
        <v>944</v>
      </c>
      <c r="C1444" t="s">
        <v>43</v>
      </c>
      <c r="D1444">
        <v>1</v>
      </c>
      <c r="E1444" t="s">
        <v>72</v>
      </c>
      <c r="F1444" t="s">
        <v>2969</v>
      </c>
    </row>
    <row r="1445" spans="1:6" x14ac:dyDescent="0.25">
      <c r="A1445" t="s">
        <v>2305</v>
      </c>
      <c r="B1445" t="s">
        <v>944</v>
      </c>
      <c r="C1445" t="s">
        <v>43</v>
      </c>
      <c r="D1445">
        <v>2</v>
      </c>
      <c r="E1445" t="s">
        <v>2071</v>
      </c>
      <c r="F1445" t="s">
        <v>2969</v>
      </c>
    </row>
    <row r="1446" spans="1:6" x14ac:dyDescent="0.25">
      <c r="A1446" t="s">
        <v>2305</v>
      </c>
      <c r="B1446" t="s">
        <v>944</v>
      </c>
      <c r="C1446" t="s">
        <v>43</v>
      </c>
      <c r="D1446">
        <v>3</v>
      </c>
      <c r="E1446" t="s">
        <v>1833</v>
      </c>
      <c r="F1446" t="s">
        <v>2969</v>
      </c>
    </row>
    <row r="1447" spans="1:6" x14ac:dyDescent="0.25">
      <c r="A1447" t="s">
        <v>2306</v>
      </c>
      <c r="B1447" t="s">
        <v>945</v>
      </c>
      <c r="C1447" t="s">
        <v>59</v>
      </c>
      <c r="D1447">
        <v>1</v>
      </c>
      <c r="E1447" t="s">
        <v>64</v>
      </c>
      <c r="F1447" t="s">
        <v>2969</v>
      </c>
    </row>
    <row r="1448" spans="1:6" x14ac:dyDescent="0.25">
      <c r="A1448" t="s">
        <v>2306</v>
      </c>
      <c r="B1448" t="s">
        <v>945</v>
      </c>
      <c r="C1448" t="s">
        <v>59</v>
      </c>
      <c r="D1448">
        <v>2</v>
      </c>
      <c r="E1448" t="s">
        <v>111</v>
      </c>
      <c r="F1448" t="s">
        <v>2969</v>
      </c>
    </row>
    <row r="1449" spans="1:6" x14ac:dyDescent="0.25">
      <c r="A1449" t="s">
        <v>2306</v>
      </c>
      <c r="B1449" t="s">
        <v>945</v>
      </c>
      <c r="C1449" t="s">
        <v>59</v>
      </c>
      <c r="D1449">
        <v>3</v>
      </c>
      <c r="E1449" t="s">
        <v>1634</v>
      </c>
      <c r="F1449" t="s">
        <v>2969</v>
      </c>
    </row>
    <row r="1450" spans="1:6" x14ac:dyDescent="0.25">
      <c r="A1450" t="s">
        <v>2307</v>
      </c>
      <c r="B1450" t="s">
        <v>946</v>
      </c>
      <c r="C1450" t="s">
        <v>97</v>
      </c>
      <c r="D1450">
        <v>1</v>
      </c>
      <c r="E1450" t="s">
        <v>2021</v>
      </c>
      <c r="F1450" t="s">
        <v>2969</v>
      </c>
    </row>
    <row r="1451" spans="1:6" x14ac:dyDescent="0.25">
      <c r="A1451" t="s">
        <v>2308</v>
      </c>
      <c r="B1451" t="s">
        <v>947</v>
      </c>
      <c r="C1451" t="s">
        <v>20</v>
      </c>
      <c r="D1451">
        <v>1</v>
      </c>
      <c r="E1451" t="s">
        <v>1651</v>
      </c>
      <c r="F1451" t="s">
        <v>2969</v>
      </c>
    </row>
    <row r="1452" spans="1:6" x14ac:dyDescent="0.25">
      <c r="A1452" t="s">
        <v>2308</v>
      </c>
      <c r="B1452" t="s">
        <v>947</v>
      </c>
      <c r="C1452" t="s">
        <v>20</v>
      </c>
      <c r="D1452">
        <v>2</v>
      </c>
      <c r="E1452" t="s">
        <v>1673</v>
      </c>
      <c r="F1452" t="s">
        <v>2969</v>
      </c>
    </row>
    <row r="1453" spans="1:6" x14ac:dyDescent="0.25">
      <c r="A1453" t="s">
        <v>2308</v>
      </c>
      <c r="B1453" t="s">
        <v>947</v>
      </c>
      <c r="C1453" t="s">
        <v>20</v>
      </c>
      <c r="D1453">
        <v>3</v>
      </c>
      <c r="E1453" t="s">
        <v>1915</v>
      </c>
      <c r="F1453" t="s">
        <v>2969</v>
      </c>
    </row>
    <row r="1454" spans="1:6" x14ac:dyDescent="0.25">
      <c r="A1454" t="s">
        <v>2308</v>
      </c>
      <c r="B1454" t="s">
        <v>947</v>
      </c>
      <c r="C1454" t="s">
        <v>20</v>
      </c>
      <c r="D1454">
        <v>4</v>
      </c>
      <c r="E1454" t="s">
        <v>1754</v>
      </c>
      <c r="F1454" t="s">
        <v>2969</v>
      </c>
    </row>
    <row r="1455" spans="1:6" x14ac:dyDescent="0.25">
      <c r="A1455" t="s">
        <v>2308</v>
      </c>
      <c r="B1455" t="s">
        <v>947</v>
      </c>
      <c r="C1455" t="s">
        <v>20</v>
      </c>
      <c r="D1455">
        <v>5</v>
      </c>
      <c r="E1455" t="s">
        <v>2122</v>
      </c>
      <c r="F1455" t="s">
        <v>2969</v>
      </c>
    </row>
    <row r="1456" spans="1:6" x14ac:dyDescent="0.25">
      <c r="A1456" t="s">
        <v>2308</v>
      </c>
      <c r="B1456" t="s">
        <v>947</v>
      </c>
      <c r="C1456" t="s">
        <v>20</v>
      </c>
      <c r="D1456">
        <v>6</v>
      </c>
      <c r="E1456" t="s">
        <v>1807</v>
      </c>
      <c r="F1456" t="s">
        <v>2969</v>
      </c>
    </row>
    <row r="1457" spans="1:6" x14ac:dyDescent="0.25">
      <c r="A1457" t="s">
        <v>2308</v>
      </c>
      <c r="B1457" t="s">
        <v>947</v>
      </c>
      <c r="C1457" t="s">
        <v>20</v>
      </c>
      <c r="D1457">
        <v>7</v>
      </c>
      <c r="E1457" t="s">
        <v>1779</v>
      </c>
      <c r="F1457" t="s">
        <v>1692</v>
      </c>
    </row>
    <row r="1458" spans="1:6" x14ac:dyDescent="0.25">
      <c r="A1458" t="s">
        <v>2309</v>
      </c>
      <c r="B1458" t="s">
        <v>948</v>
      </c>
      <c r="C1458" t="s">
        <v>125</v>
      </c>
      <c r="D1458">
        <v>1</v>
      </c>
      <c r="E1458" t="s">
        <v>133</v>
      </c>
      <c r="F1458" t="s">
        <v>2969</v>
      </c>
    </row>
    <row r="1459" spans="1:6" x14ac:dyDescent="0.25">
      <c r="A1459" t="s">
        <v>2310</v>
      </c>
      <c r="B1459" t="s">
        <v>949</v>
      </c>
      <c r="C1459" t="s">
        <v>43</v>
      </c>
      <c r="D1459">
        <v>1</v>
      </c>
      <c r="E1459" t="s">
        <v>13</v>
      </c>
      <c r="F1459" t="s">
        <v>2969</v>
      </c>
    </row>
    <row r="1460" spans="1:6" x14ac:dyDescent="0.25">
      <c r="A1460" t="s">
        <v>2310</v>
      </c>
      <c r="B1460" t="s">
        <v>949</v>
      </c>
      <c r="C1460" t="s">
        <v>43</v>
      </c>
      <c r="D1460">
        <v>2</v>
      </c>
      <c r="E1460" t="s">
        <v>1673</v>
      </c>
      <c r="F1460" t="s">
        <v>2969</v>
      </c>
    </row>
    <row r="1461" spans="1:6" x14ac:dyDescent="0.25">
      <c r="A1461" t="s">
        <v>2311</v>
      </c>
      <c r="B1461" t="s">
        <v>950</v>
      </c>
      <c r="C1461" t="s">
        <v>65</v>
      </c>
      <c r="D1461">
        <v>1</v>
      </c>
      <c r="E1461" t="s">
        <v>1781</v>
      </c>
      <c r="F1461" t="s">
        <v>2969</v>
      </c>
    </row>
    <row r="1462" spans="1:6" x14ac:dyDescent="0.25">
      <c r="A1462" t="s">
        <v>2312</v>
      </c>
      <c r="B1462" t="s">
        <v>952</v>
      </c>
      <c r="C1462" t="s">
        <v>73</v>
      </c>
      <c r="D1462">
        <v>1</v>
      </c>
      <c r="E1462" t="s">
        <v>1657</v>
      </c>
      <c r="F1462" t="s">
        <v>2969</v>
      </c>
    </row>
    <row r="1463" spans="1:6" x14ac:dyDescent="0.25">
      <c r="A1463" t="s">
        <v>2312</v>
      </c>
      <c r="B1463" t="s">
        <v>952</v>
      </c>
      <c r="C1463" t="s">
        <v>73</v>
      </c>
      <c r="D1463">
        <v>2</v>
      </c>
      <c r="E1463" t="s">
        <v>2751</v>
      </c>
      <c r="F1463" t="s">
        <v>2969</v>
      </c>
    </row>
    <row r="1464" spans="1:6" x14ac:dyDescent="0.25">
      <c r="A1464" t="s">
        <v>2313</v>
      </c>
      <c r="B1464" t="s">
        <v>954</v>
      </c>
      <c r="C1464" t="s">
        <v>49</v>
      </c>
      <c r="D1464">
        <v>1</v>
      </c>
      <c r="E1464" t="s">
        <v>1801</v>
      </c>
      <c r="F1464" t="s">
        <v>2969</v>
      </c>
    </row>
    <row r="1465" spans="1:6" x14ac:dyDescent="0.25">
      <c r="A1465" t="s">
        <v>2313</v>
      </c>
      <c r="B1465" t="s">
        <v>954</v>
      </c>
      <c r="C1465" t="s">
        <v>49</v>
      </c>
      <c r="D1465">
        <v>2</v>
      </c>
      <c r="E1465" t="s">
        <v>1862</v>
      </c>
      <c r="F1465" t="s">
        <v>2969</v>
      </c>
    </row>
    <row r="1466" spans="1:6" x14ac:dyDescent="0.25">
      <c r="A1466" t="s">
        <v>2313</v>
      </c>
      <c r="B1466" t="s">
        <v>954</v>
      </c>
      <c r="C1466" t="s">
        <v>49</v>
      </c>
      <c r="D1466">
        <v>3</v>
      </c>
      <c r="E1466" t="s">
        <v>96</v>
      </c>
      <c r="F1466" t="s">
        <v>2969</v>
      </c>
    </row>
    <row r="1467" spans="1:6" x14ac:dyDescent="0.25">
      <c r="A1467" t="s">
        <v>2313</v>
      </c>
      <c r="B1467" t="s">
        <v>954</v>
      </c>
      <c r="C1467" t="s">
        <v>49</v>
      </c>
      <c r="D1467">
        <v>4</v>
      </c>
      <c r="E1467" t="s">
        <v>1624</v>
      </c>
      <c r="F1467" t="s">
        <v>2969</v>
      </c>
    </row>
    <row r="1468" spans="1:6" x14ac:dyDescent="0.25">
      <c r="A1468" t="s">
        <v>2314</v>
      </c>
      <c r="B1468" t="s">
        <v>956</v>
      </c>
      <c r="C1468" t="s">
        <v>92</v>
      </c>
      <c r="D1468">
        <v>1</v>
      </c>
      <c r="E1468" t="s">
        <v>1634</v>
      </c>
      <c r="F1468" t="s">
        <v>2969</v>
      </c>
    </row>
    <row r="1469" spans="1:6" x14ac:dyDescent="0.25">
      <c r="A1469" t="s">
        <v>2314</v>
      </c>
      <c r="B1469" t="s">
        <v>956</v>
      </c>
      <c r="C1469" t="s">
        <v>92</v>
      </c>
      <c r="D1469">
        <v>2</v>
      </c>
      <c r="E1469" t="s">
        <v>1953</v>
      </c>
      <c r="F1469" t="s">
        <v>2969</v>
      </c>
    </row>
    <row r="1470" spans="1:6" x14ac:dyDescent="0.25">
      <c r="A1470" t="s">
        <v>2314</v>
      </c>
      <c r="B1470" t="s">
        <v>956</v>
      </c>
      <c r="C1470" t="s">
        <v>92</v>
      </c>
      <c r="D1470">
        <v>3</v>
      </c>
      <c r="E1470" t="s">
        <v>1621</v>
      </c>
      <c r="F1470" t="s">
        <v>2969</v>
      </c>
    </row>
    <row r="1471" spans="1:6" x14ac:dyDescent="0.25">
      <c r="A1471" t="s">
        <v>2315</v>
      </c>
      <c r="B1471" t="s">
        <v>957</v>
      </c>
      <c r="C1471" t="s">
        <v>123</v>
      </c>
      <c r="D1471">
        <v>1</v>
      </c>
      <c r="E1471" t="s">
        <v>1629</v>
      </c>
      <c r="F1471" t="s">
        <v>2969</v>
      </c>
    </row>
    <row r="1472" spans="1:6" x14ac:dyDescent="0.25">
      <c r="A1472" t="s">
        <v>2316</v>
      </c>
      <c r="B1472" t="s">
        <v>958</v>
      </c>
      <c r="C1472" t="s">
        <v>101</v>
      </c>
      <c r="D1472">
        <v>1</v>
      </c>
      <c r="E1472" t="s">
        <v>1731</v>
      </c>
      <c r="F1472" t="s">
        <v>2969</v>
      </c>
    </row>
    <row r="1473" spans="1:6" x14ac:dyDescent="0.25">
      <c r="A1473" t="s">
        <v>2316</v>
      </c>
      <c r="B1473" t="s">
        <v>958</v>
      </c>
      <c r="C1473" t="s">
        <v>101</v>
      </c>
      <c r="D1473">
        <v>2</v>
      </c>
      <c r="E1473" t="s">
        <v>2071</v>
      </c>
      <c r="F1473" t="s">
        <v>2969</v>
      </c>
    </row>
    <row r="1474" spans="1:6" x14ac:dyDescent="0.25">
      <c r="A1474" t="s">
        <v>2317</v>
      </c>
      <c r="B1474" t="s">
        <v>959</v>
      </c>
      <c r="C1474" t="s">
        <v>83</v>
      </c>
      <c r="D1474">
        <v>1</v>
      </c>
      <c r="E1474" t="s">
        <v>1731</v>
      </c>
      <c r="F1474" t="s">
        <v>2969</v>
      </c>
    </row>
    <row r="1475" spans="1:6" x14ac:dyDescent="0.25">
      <c r="A1475" t="s">
        <v>2317</v>
      </c>
      <c r="B1475" t="s">
        <v>959</v>
      </c>
      <c r="C1475" t="s">
        <v>83</v>
      </c>
      <c r="D1475">
        <v>2</v>
      </c>
      <c r="E1475" t="s">
        <v>99</v>
      </c>
      <c r="F1475" t="s">
        <v>2969</v>
      </c>
    </row>
    <row r="1476" spans="1:6" x14ac:dyDescent="0.25">
      <c r="A1476" t="s">
        <v>2318</v>
      </c>
      <c r="B1476" t="s">
        <v>960</v>
      </c>
      <c r="C1476" t="s">
        <v>56</v>
      </c>
      <c r="D1476">
        <v>1</v>
      </c>
      <c r="E1476" t="s">
        <v>1995</v>
      </c>
      <c r="F1476" t="s">
        <v>2969</v>
      </c>
    </row>
    <row r="1477" spans="1:6" x14ac:dyDescent="0.25">
      <c r="A1477" t="s">
        <v>2318</v>
      </c>
      <c r="B1477" t="s">
        <v>960</v>
      </c>
      <c r="C1477" t="s">
        <v>56</v>
      </c>
      <c r="D1477">
        <v>2</v>
      </c>
      <c r="E1477" t="s">
        <v>2344</v>
      </c>
      <c r="F1477" t="s">
        <v>2969</v>
      </c>
    </row>
    <row r="1478" spans="1:6" x14ac:dyDescent="0.25">
      <c r="A1478" t="s">
        <v>2318</v>
      </c>
      <c r="B1478" t="s">
        <v>960</v>
      </c>
      <c r="C1478" t="s">
        <v>56</v>
      </c>
      <c r="D1478">
        <v>3</v>
      </c>
      <c r="E1478" t="s">
        <v>45</v>
      </c>
      <c r="F1478" t="s">
        <v>2969</v>
      </c>
    </row>
    <row r="1479" spans="1:6" x14ac:dyDescent="0.25">
      <c r="A1479" t="s">
        <v>2319</v>
      </c>
      <c r="B1479" t="s">
        <v>961</v>
      </c>
      <c r="C1479" t="s">
        <v>136</v>
      </c>
      <c r="D1479">
        <v>1</v>
      </c>
      <c r="E1479" t="s">
        <v>1789</v>
      </c>
      <c r="F1479" t="s">
        <v>2969</v>
      </c>
    </row>
    <row r="1480" spans="1:6" x14ac:dyDescent="0.25">
      <c r="A1480" t="s">
        <v>2320</v>
      </c>
      <c r="B1480" t="s">
        <v>962</v>
      </c>
      <c r="C1480" t="s">
        <v>14</v>
      </c>
      <c r="D1480">
        <v>1</v>
      </c>
      <c r="E1480" t="s">
        <v>1721</v>
      </c>
      <c r="F1480" t="s">
        <v>2969</v>
      </c>
    </row>
    <row r="1481" spans="1:6" x14ac:dyDescent="0.25">
      <c r="A1481" t="s">
        <v>2321</v>
      </c>
      <c r="B1481" t="s">
        <v>963</v>
      </c>
      <c r="C1481" t="s">
        <v>31</v>
      </c>
      <c r="D1481">
        <v>1</v>
      </c>
      <c r="E1481" t="s">
        <v>1760</v>
      </c>
      <c r="F1481" t="s">
        <v>2969</v>
      </c>
    </row>
    <row r="1482" spans="1:6" x14ac:dyDescent="0.25">
      <c r="A1482" t="s">
        <v>2321</v>
      </c>
      <c r="B1482" t="s">
        <v>963</v>
      </c>
      <c r="C1482" t="s">
        <v>31</v>
      </c>
      <c r="D1482">
        <v>2</v>
      </c>
      <c r="E1482" t="s">
        <v>137</v>
      </c>
      <c r="F1482" t="s">
        <v>2969</v>
      </c>
    </row>
    <row r="1483" spans="1:6" x14ac:dyDescent="0.25">
      <c r="A1483" t="s">
        <v>2321</v>
      </c>
      <c r="B1483" t="s">
        <v>963</v>
      </c>
      <c r="C1483" t="s">
        <v>31</v>
      </c>
      <c r="D1483">
        <v>3</v>
      </c>
      <c r="E1483" t="s">
        <v>2021</v>
      </c>
      <c r="F1483" t="s">
        <v>2969</v>
      </c>
    </row>
    <row r="1484" spans="1:6" x14ac:dyDescent="0.25">
      <c r="A1484" t="s">
        <v>2321</v>
      </c>
      <c r="B1484" t="s">
        <v>963</v>
      </c>
      <c r="C1484" t="s">
        <v>31</v>
      </c>
      <c r="D1484">
        <v>4</v>
      </c>
      <c r="E1484" t="s">
        <v>1721</v>
      </c>
      <c r="F1484" t="s">
        <v>2969</v>
      </c>
    </row>
    <row r="1485" spans="1:6" x14ac:dyDescent="0.25">
      <c r="A1485" t="s">
        <v>2321</v>
      </c>
      <c r="B1485" t="s">
        <v>963</v>
      </c>
      <c r="C1485" t="s">
        <v>31</v>
      </c>
      <c r="D1485">
        <v>5</v>
      </c>
      <c r="E1485" t="s">
        <v>1879</v>
      </c>
      <c r="F1485" t="s">
        <v>2969</v>
      </c>
    </row>
    <row r="1486" spans="1:6" x14ac:dyDescent="0.25">
      <c r="A1486" t="s">
        <v>2322</v>
      </c>
      <c r="B1486" t="s">
        <v>964</v>
      </c>
      <c r="C1486" t="s">
        <v>123</v>
      </c>
      <c r="D1486">
        <v>1</v>
      </c>
      <c r="E1486" t="s">
        <v>1667</v>
      </c>
      <c r="F1486" t="s">
        <v>2969</v>
      </c>
    </row>
    <row r="1487" spans="1:6" x14ac:dyDescent="0.25">
      <c r="A1487" t="s">
        <v>2322</v>
      </c>
      <c r="B1487" t="s">
        <v>964</v>
      </c>
      <c r="C1487" t="s">
        <v>123</v>
      </c>
      <c r="D1487">
        <v>2</v>
      </c>
      <c r="E1487" t="s">
        <v>1812</v>
      </c>
      <c r="F1487" t="s">
        <v>2969</v>
      </c>
    </row>
    <row r="1488" spans="1:6" x14ac:dyDescent="0.25">
      <c r="A1488" t="s">
        <v>2323</v>
      </c>
      <c r="B1488" t="s">
        <v>965</v>
      </c>
      <c r="C1488" t="s">
        <v>130</v>
      </c>
      <c r="D1488">
        <v>1</v>
      </c>
      <c r="E1488" t="s">
        <v>1807</v>
      </c>
      <c r="F1488" t="s">
        <v>2969</v>
      </c>
    </row>
    <row r="1489" spans="1:6" x14ac:dyDescent="0.25">
      <c r="A1489" t="s">
        <v>2323</v>
      </c>
      <c r="B1489" t="s">
        <v>965</v>
      </c>
      <c r="C1489" t="s">
        <v>130</v>
      </c>
      <c r="D1489">
        <v>2</v>
      </c>
      <c r="E1489" t="s">
        <v>1760</v>
      </c>
      <c r="F1489" t="s">
        <v>2969</v>
      </c>
    </row>
    <row r="1490" spans="1:6" x14ac:dyDescent="0.25">
      <c r="A1490" t="s">
        <v>2324</v>
      </c>
      <c r="B1490" t="s">
        <v>966</v>
      </c>
      <c r="C1490" t="s">
        <v>71</v>
      </c>
      <c r="D1490">
        <v>1</v>
      </c>
      <c r="E1490" t="s">
        <v>1824</v>
      </c>
      <c r="F1490" t="s">
        <v>2969</v>
      </c>
    </row>
    <row r="1491" spans="1:6" x14ac:dyDescent="0.25">
      <c r="A1491" t="s">
        <v>2324</v>
      </c>
      <c r="B1491" t="s">
        <v>966</v>
      </c>
      <c r="C1491" t="s">
        <v>71</v>
      </c>
      <c r="D1491">
        <v>2</v>
      </c>
      <c r="E1491" t="s">
        <v>1689</v>
      </c>
      <c r="F1491" t="s">
        <v>2969</v>
      </c>
    </row>
    <row r="1492" spans="1:6" x14ac:dyDescent="0.25">
      <c r="A1492" t="s">
        <v>2324</v>
      </c>
      <c r="B1492" t="s">
        <v>966</v>
      </c>
      <c r="C1492" t="s">
        <v>71</v>
      </c>
      <c r="D1492">
        <v>3</v>
      </c>
      <c r="E1492" t="s">
        <v>1697</v>
      </c>
      <c r="F1492" t="s">
        <v>2969</v>
      </c>
    </row>
    <row r="1493" spans="1:6" x14ac:dyDescent="0.25">
      <c r="A1493" t="s">
        <v>2324</v>
      </c>
      <c r="B1493" t="s">
        <v>966</v>
      </c>
      <c r="C1493" t="s">
        <v>71</v>
      </c>
      <c r="D1493">
        <v>4</v>
      </c>
      <c r="E1493" t="s">
        <v>131</v>
      </c>
      <c r="F1493" t="s">
        <v>2969</v>
      </c>
    </row>
    <row r="1494" spans="1:6" x14ac:dyDescent="0.25">
      <c r="A1494" t="s">
        <v>2325</v>
      </c>
      <c r="B1494" t="s">
        <v>967</v>
      </c>
      <c r="C1494" t="s">
        <v>71</v>
      </c>
      <c r="D1494">
        <v>1</v>
      </c>
      <c r="E1494" t="s">
        <v>1689</v>
      </c>
      <c r="F1494" t="s">
        <v>2969</v>
      </c>
    </row>
    <row r="1495" spans="1:6" x14ac:dyDescent="0.25">
      <c r="A1495" t="s">
        <v>2325</v>
      </c>
      <c r="B1495" t="s">
        <v>967</v>
      </c>
      <c r="C1495" t="s">
        <v>71</v>
      </c>
      <c r="D1495">
        <v>2</v>
      </c>
      <c r="E1495" t="s">
        <v>1787</v>
      </c>
      <c r="F1495" t="s">
        <v>2969</v>
      </c>
    </row>
    <row r="1496" spans="1:6" x14ac:dyDescent="0.25">
      <c r="A1496" t="s">
        <v>2326</v>
      </c>
      <c r="B1496" t="s">
        <v>968</v>
      </c>
      <c r="C1496" t="s">
        <v>90</v>
      </c>
      <c r="D1496">
        <v>1</v>
      </c>
      <c r="E1496" t="s">
        <v>1815</v>
      </c>
      <c r="F1496" t="s">
        <v>2969</v>
      </c>
    </row>
    <row r="1497" spans="1:6" x14ac:dyDescent="0.25">
      <c r="A1497" t="s">
        <v>2326</v>
      </c>
      <c r="B1497" t="s">
        <v>968</v>
      </c>
      <c r="C1497" t="s">
        <v>90</v>
      </c>
      <c r="D1497">
        <v>2</v>
      </c>
      <c r="E1497" t="s">
        <v>1678</v>
      </c>
      <c r="F1497" t="s">
        <v>2969</v>
      </c>
    </row>
    <row r="1498" spans="1:6" x14ac:dyDescent="0.25">
      <c r="A1498" t="s">
        <v>2326</v>
      </c>
      <c r="B1498" t="s">
        <v>968</v>
      </c>
      <c r="C1498" t="s">
        <v>90</v>
      </c>
      <c r="D1498">
        <v>3</v>
      </c>
      <c r="E1498" t="s">
        <v>1820</v>
      </c>
      <c r="F1498" t="s">
        <v>2969</v>
      </c>
    </row>
    <row r="1499" spans="1:6" x14ac:dyDescent="0.25">
      <c r="A1499" t="s">
        <v>2326</v>
      </c>
      <c r="B1499" t="s">
        <v>968</v>
      </c>
      <c r="C1499" t="s">
        <v>90</v>
      </c>
      <c r="D1499">
        <v>4</v>
      </c>
      <c r="E1499" t="s">
        <v>2273</v>
      </c>
      <c r="F1499" t="s">
        <v>2969</v>
      </c>
    </row>
    <row r="1500" spans="1:6" x14ac:dyDescent="0.25">
      <c r="A1500" t="s">
        <v>2327</v>
      </c>
      <c r="B1500" t="s">
        <v>969</v>
      </c>
      <c r="C1500" t="s">
        <v>123</v>
      </c>
      <c r="D1500">
        <v>1</v>
      </c>
      <c r="E1500" t="s">
        <v>1621</v>
      </c>
      <c r="F1500" t="s">
        <v>2969</v>
      </c>
    </row>
    <row r="1501" spans="1:6" x14ac:dyDescent="0.25">
      <c r="A1501" t="s">
        <v>2327</v>
      </c>
      <c r="B1501" t="s">
        <v>969</v>
      </c>
      <c r="C1501" t="s">
        <v>123</v>
      </c>
      <c r="D1501">
        <v>2</v>
      </c>
      <c r="E1501" t="s">
        <v>1751</v>
      </c>
      <c r="F1501" t="s">
        <v>2969</v>
      </c>
    </row>
    <row r="1502" spans="1:6" x14ac:dyDescent="0.25">
      <c r="A1502" t="s">
        <v>2327</v>
      </c>
      <c r="B1502" t="s">
        <v>969</v>
      </c>
      <c r="C1502" t="s">
        <v>123</v>
      </c>
      <c r="D1502">
        <v>3</v>
      </c>
      <c r="E1502" t="s">
        <v>1678</v>
      </c>
      <c r="F1502" t="s">
        <v>2969</v>
      </c>
    </row>
    <row r="1503" spans="1:6" x14ac:dyDescent="0.25">
      <c r="A1503" t="s">
        <v>2328</v>
      </c>
      <c r="B1503" t="s">
        <v>970</v>
      </c>
      <c r="C1503" t="s">
        <v>98</v>
      </c>
      <c r="D1503">
        <v>1</v>
      </c>
      <c r="E1503" t="s">
        <v>1809</v>
      </c>
      <c r="F1503" t="s">
        <v>2969</v>
      </c>
    </row>
    <row r="1504" spans="1:6" x14ac:dyDescent="0.25">
      <c r="A1504" t="s">
        <v>2328</v>
      </c>
      <c r="B1504" t="s">
        <v>970</v>
      </c>
      <c r="C1504" t="s">
        <v>98</v>
      </c>
      <c r="D1504">
        <v>2</v>
      </c>
      <c r="E1504" t="s">
        <v>1704</v>
      </c>
      <c r="F1504" t="s">
        <v>2969</v>
      </c>
    </row>
    <row r="1505" spans="1:6" x14ac:dyDescent="0.25">
      <c r="A1505" t="s">
        <v>2328</v>
      </c>
      <c r="B1505" t="s">
        <v>970</v>
      </c>
      <c r="C1505" t="s">
        <v>98</v>
      </c>
      <c r="D1505">
        <v>3</v>
      </c>
      <c r="E1505" t="s">
        <v>1739</v>
      </c>
      <c r="F1505" t="s">
        <v>2969</v>
      </c>
    </row>
    <row r="1506" spans="1:6" x14ac:dyDescent="0.25">
      <c r="A1506" t="s">
        <v>2328</v>
      </c>
      <c r="B1506" t="s">
        <v>970</v>
      </c>
      <c r="C1506" t="s">
        <v>98</v>
      </c>
      <c r="D1506">
        <v>4</v>
      </c>
      <c r="E1506" t="s">
        <v>1891</v>
      </c>
      <c r="F1506" t="s">
        <v>2969</v>
      </c>
    </row>
    <row r="1507" spans="1:6" x14ac:dyDescent="0.25">
      <c r="A1507" t="s">
        <v>2329</v>
      </c>
      <c r="B1507" t="s">
        <v>971</v>
      </c>
      <c r="C1507" t="s">
        <v>87</v>
      </c>
      <c r="D1507">
        <v>1</v>
      </c>
      <c r="E1507" t="s">
        <v>1657</v>
      </c>
      <c r="F1507" t="s">
        <v>2969</v>
      </c>
    </row>
    <row r="1508" spans="1:6" x14ac:dyDescent="0.25">
      <c r="A1508" t="s">
        <v>2330</v>
      </c>
      <c r="B1508" t="s">
        <v>972</v>
      </c>
      <c r="C1508" t="s">
        <v>49</v>
      </c>
      <c r="D1508">
        <v>1</v>
      </c>
      <c r="E1508" t="s">
        <v>2088</v>
      </c>
      <c r="F1508" t="s">
        <v>2969</v>
      </c>
    </row>
    <row r="1509" spans="1:6" x14ac:dyDescent="0.25">
      <c r="A1509" t="s">
        <v>2331</v>
      </c>
      <c r="B1509" t="s">
        <v>973</v>
      </c>
      <c r="C1509" t="s">
        <v>103</v>
      </c>
      <c r="D1509">
        <v>1</v>
      </c>
      <c r="E1509" t="s">
        <v>1645</v>
      </c>
      <c r="F1509" t="s">
        <v>2969</v>
      </c>
    </row>
    <row r="1510" spans="1:6" x14ac:dyDescent="0.25">
      <c r="A1510" t="s">
        <v>2331</v>
      </c>
      <c r="B1510" t="s">
        <v>973</v>
      </c>
      <c r="C1510" t="s">
        <v>103</v>
      </c>
      <c r="D1510">
        <v>2</v>
      </c>
      <c r="E1510" t="s">
        <v>1639</v>
      </c>
      <c r="F1510" t="s">
        <v>2969</v>
      </c>
    </row>
    <row r="1511" spans="1:6" x14ac:dyDescent="0.25">
      <c r="A1511" t="s">
        <v>2331</v>
      </c>
      <c r="B1511" t="s">
        <v>973</v>
      </c>
      <c r="C1511" t="s">
        <v>103</v>
      </c>
      <c r="D1511">
        <v>3</v>
      </c>
      <c r="E1511" t="s">
        <v>1917</v>
      </c>
      <c r="F1511" t="s">
        <v>2969</v>
      </c>
    </row>
    <row r="1512" spans="1:6" x14ac:dyDescent="0.25">
      <c r="A1512" t="s">
        <v>2331</v>
      </c>
      <c r="B1512" t="s">
        <v>973</v>
      </c>
      <c r="C1512" t="s">
        <v>103</v>
      </c>
      <c r="D1512">
        <v>4</v>
      </c>
      <c r="E1512" t="s">
        <v>1751</v>
      </c>
      <c r="F1512" t="s">
        <v>2969</v>
      </c>
    </row>
    <row r="1513" spans="1:6" x14ac:dyDescent="0.25">
      <c r="A1513" t="s">
        <v>2332</v>
      </c>
      <c r="B1513" t="s">
        <v>974</v>
      </c>
      <c r="C1513" t="s">
        <v>101</v>
      </c>
      <c r="D1513">
        <v>1</v>
      </c>
      <c r="E1513" t="s">
        <v>22</v>
      </c>
      <c r="F1513" t="s">
        <v>2969</v>
      </c>
    </row>
    <row r="1514" spans="1:6" x14ac:dyDescent="0.25">
      <c r="A1514" t="s">
        <v>2332</v>
      </c>
      <c r="B1514" t="s">
        <v>974</v>
      </c>
      <c r="C1514" t="s">
        <v>101</v>
      </c>
      <c r="D1514">
        <v>2</v>
      </c>
      <c r="E1514" t="s">
        <v>45</v>
      </c>
      <c r="F1514" t="s">
        <v>2969</v>
      </c>
    </row>
    <row r="1515" spans="1:6" x14ac:dyDescent="0.25">
      <c r="A1515" t="s">
        <v>2333</v>
      </c>
      <c r="B1515" t="s">
        <v>975</v>
      </c>
      <c r="C1515" t="s">
        <v>79</v>
      </c>
      <c r="D1515">
        <v>1</v>
      </c>
      <c r="E1515" t="s">
        <v>51</v>
      </c>
      <c r="F1515" t="s">
        <v>2969</v>
      </c>
    </row>
    <row r="1516" spans="1:6" x14ac:dyDescent="0.25">
      <c r="A1516" t="s">
        <v>2333</v>
      </c>
      <c r="B1516" t="s">
        <v>975</v>
      </c>
      <c r="C1516" t="s">
        <v>79</v>
      </c>
      <c r="D1516">
        <v>2</v>
      </c>
      <c r="E1516" t="s">
        <v>78</v>
      </c>
      <c r="F1516" t="s">
        <v>2969</v>
      </c>
    </row>
    <row r="1517" spans="1:6" x14ac:dyDescent="0.25">
      <c r="A1517" t="s">
        <v>2333</v>
      </c>
      <c r="B1517" t="s">
        <v>975</v>
      </c>
      <c r="C1517" t="s">
        <v>79</v>
      </c>
      <c r="D1517">
        <v>3</v>
      </c>
      <c r="E1517" t="s">
        <v>1862</v>
      </c>
      <c r="F1517" t="s">
        <v>2969</v>
      </c>
    </row>
    <row r="1518" spans="1:6" x14ac:dyDescent="0.25">
      <c r="A1518" t="s">
        <v>2333</v>
      </c>
      <c r="B1518" t="s">
        <v>975</v>
      </c>
      <c r="C1518" t="s">
        <v>79</v>
      </c>
      <c r="D1518">
        <v>4</v>
      </c>
      <c r="E1518" t="s">
        <v>1645</v>
      </c>
      <c r="F1518" t="s">
        <v>2969</v>
      </c>
    </row>
    <row r="1519" spans="1:6" x14ac:dyDescent="0.25">
      <c r="A1519" t="s">
        <v>2333</v>
      </c>
      <c r="B1519" t="s">
        <v>975</v>
      </c>
      <c r="C1519" t="s">
        <v>79</v>
      </c>
      <c r="D1519">
        <v>5</v>
      </c>
      <c r="E1519" t="s">
        <v>1639</v>
      </c>
      <c r="F1519" t="s">
        <v>2969</v>
      </c>
    </row>
    <row r="1520" spans="1:6" x14ac:dyDescent="0.25">
      <c r="A1520" t="s">
        <v>2333</v>
      </c>
      <c r="B1520" t="s">
        <v>975</v>
      </c>
      <c r="C1520" t="s">
        <v>79</v>
      </c>
      <c r="D1520">
        <v>6</v>
      </c>
      <c r="E1520" t="s">
        <v>1629</v>
      </c>
      <c r="F1520" t="s">
        <v>2969</v>
      </c>
    </row>
    <row r="1521" spans="1:6" x14ac:dyDescent="0.25">
      <c r="A1521" t="s">
        <v>2333</v>
      </c>
      <c r="B1521" t="s">
        <v>975</v>
      </c>
      <c r="C1521" t="s">
        <v>79</v>
      </c>
      <c r="D1521">
        <v>7</v>
      </c>
      <c r="E1521" t="s">
        <v>1960</v>
      </c>
      <c r="F1521" t="s">
        <v>1692</v>
      </c>
    </row>
    <row r="1522" spans="1:6" x14ac:dyDescent="0.25">
      <c r="A1522" t="s">
        <v>2334</v>
      </c>
      <c r="B1522" t="s">
        <v>976</v>
      </c>
      <c r="C1522" t="s">
        <v>20</v>
      </c>
      <c r="D1522">
        <v>1</v>
      </c>
      <c r="E1522" t="s">
        <v>1651</v>
      </c>
      <c r="F1522" t="s">
        <v>2969</v>
      </c>
    </row>
    <row r="1523" spans="1:6" x14ac:dyDescent="0.25">
      <c r="A1523" t="s">
        <v>2334</v>
      </c>
      <c r="B1523" t="s">
        <v>976</v>
      </c>
      <c r="C1523" t="s">
        <v>20</v>
      </c>
      <c r="D1523">
        <v>2</v>
      </c>
      <c r="E1523" t="s">
        <v>2470</v>
      </c>
      <c r="F1523" t="s">
        <v>2969</v>
      </c>
    </row>
    <row r="1524" spans="1:6" x14ac:dyDescent="0.25">
      <c r="A1524" t="s">
        <v>2334</v>
      </c>
      <c r="B1524" t="s">
        <v>976</v>
      </c>
      <c r="C1524" t="s">
        <v>20</v>
      </c>
      <c r="D1524">
        <v>3</v>
      </c>
      <c r="E1524" t="s">
        <v>1687</v>
      </c>
      <c r="F1524" t="s">
        <v>2969</v>
      </c>
    </row>
    <row r="1525" spans="1:6" x14ac:dyDescent="0.25">
      <c r="A1525" t="s">
        <v>2335</v>
      </c>
      <c r="B1525" t="s">
        <v>977</v>
      </c>
      <c r="C1525" t="s">
        <v>118</v>
      </c>
      <c r="D1525">
        <v>1</v>
      </c>
      <c r="E1525" t="s">
        <v>2336</v>
      </c>
      <c r="F1525" t="s">
        <v>2969</v>
      </c>
    </row>
    <row r="1526" spans="1:6" x14ac:dyDescent="0.25">
      <c r="A1526" t="s">
        <v>2335</v>
      </c>
      <c r="B1526" t="s">
        <v>977</v>
      </c>
      <c r="C1526" t="s">
        <v>118</v>
      </c>
      <c r="D1526">
        <v>2</v>
      </c>
      <c r="E1526" t="s">
        <v>1824</v>
      </c>
      <c r="F1526" t="s">
        <v>2969</v>
      </c>
    </row>
    <row r="1527" spans="1:6" x14ac:dyDescent="0.25">
      <c r="A1527" t="s">
        <v>2335</v>
      </c>
      <c r="B1527" t="s">
        <v>977</v>
      </c>
      <c r="C1527" t="s">
        <v>118</v>
      </c>
      <c r="D1527">
        <v>3</v>
      </c>
      <c r="E1527" t="s">
        <v>1787</v>
      </c>
      <c r="F1527" t="s">
        <v>2969</v>
      </c>
    </row>
    <row r="1528" spans="1:6" x14ac:dyDescent="0.25">
      <c r="A1528" t="s">
        <v>2335</v>
      </c>
      <c r="B1528" t="s">
        <v>977</v>
      </c>
      <c r="C1528" t="s">
        <v>118</v>
      </c>
      <c r="D1528">
        <v>4</v>
      </c>
      <c r="E1528" t="s">
        <v>1680</v>
      </c>
      <c r="F1528" t="s">
        <v>2969</v>
      </c>
    </row>
    <row r="1529" spans="1:6" x14ac:dyDescent="0.25">
      <c r="A1529" t="s">
        <v>2335</v>
      </c>
      <c r="B1529" t="s">
        <v>977</v>
      </c>
      <c r="C1529" t="s">
        <v>118</v>
      </c>
      <c r="D1529">
        <v>5</v>
      </c>
      <c r="E1529" t="s">
        <v>1809</v>
      </c>
      <c r="F1529" t="s">
        <v>2969</v>
      </c>
    </row>
    <row r="1530" spans="1:6" x14ac:dyDescent="0.25">
      <c r="A1530" t="s">
        <v>2335</v>
      </c>
      <c r="B1530" t="s">
        <v>977</v>
      </c>
      <c r="C1530" t="s">
        <v>118</v>
      </c>
      <c r="D1530">
        <v>6</v>
      </c>
      <c r="E1530" t="s">
        <v>1785</v>
      </c>
      <c r="F1530" t="s">
        <v>2969</v>
      </c>
    </row>
    <row r="1531" spans="1:6" x14ac:dyDescent="0.25">
      <c r="A1531" t="s">
        <v>2335</v>
      </c>
      <c r="B1531" t="s">
        <v>977</v>
      </c>
      <c r="C1531" t="s">
        <v>118</v>
      </c>
      <c r="D1531">
        <v>7</v>
      </c>
      <c r="E1531" t="s">
        <v>1651</v>
      </c>
      <c r="F1531" t="s">
        <v>1692</v>
      </c>
    </row>
    <row r="1532" spans="1:6" x14ac:dyDescent="0.25">
      <c r="A1532" t="s">
        <v>2337</v>
      </c>
      <c r="B1532" t="s">
        <v>978</v>
      </c>
      <c r="C1532" t="s">
        <v>14</v>
      </c>
      <c r="D1532">
        <v>1</v>
      </c>
      <c r="E1532" t="s">
        <v>124</v>
      </c>
      <c r="F1532" t="s">
        <v>2969</v>
      </c>
    </row>
    <row r="1533" spans="1:6" x14ac:dyDescent="0.25">
      <c r="A1533" t="s">
        <v>2337</v>
      </c>
      <c r="B1533" t="s">
        <v>978</v>
      </c>
      <c r="C1533" t="s">
        <v>14</v>
      </c>
      <c r="D1533">
        <v>2</v>
      </c>
      <c r="E1533" t="s">
        <v>1667</v>
      </c>
      <c r="F1533" t="s">
        <v>2969</v>
      </c>
    </row>
    <row r="1534" spans="1:6" x14ac:dyDescent="0.25">
      <c r="A1534" t="s">
        <v>2337</v>
      </c>
      <c r="B1534" t="s">
        <v>978</v>
      </c>
      <c r="C1534" t="s">
        <v>14</v>
      </c>
      <c r="D1534">
        <v>3</v>
      </c>
      <c r="E1534" t="s">
        <v>78</v>
      </c>
      <c r="F1534" t="s">
        <v>2969</v>
      </c>
    </row>
    <row r="1535" spans="1:6" x14ac:dyDescent="0.25">
      <c r="A1535" t="s">
        <v>2337</v>
      </c>
      <c r="B1535" t="s">
        <v>978</v>
      </c>
      <c r="C1535" t="s">
        <v>14</v>
      </c>
      <c r="D1535">
        <v>4</v>
      </c>
      <c r="E1535" t="s">
        <v>111</v>
      </c>
      <c r="F1535" t="s">
        <v>2969</v>
      </c>
    </row>
    <row r="1536" spans="1:6" x14ac:dyDescent="0.25">
      <c r="A1536" t="s">
        <v>2338</v>
      </c>
      <c r="B1536" t="s">
        <v>979</v>
      </c>
      <c r="C1536" t="s">
        <v>101</v>
      </c>
      <c r="D1536">
        <v>1</v>
      </c>
      <c r="E1536" t="s">
        <v>1908</v>
      </c>
      <c r="F1536" t="s">
        <v>2969</v>
      </c>
    </row>
    <row r="1537" spans="1:6" x14ac:dyDescent="0.25">
      <c r="A1537" t="s">
        <v>2339</v>
      </c>
      <c r="B1537" t="s">
        <v>980</v>
      </c>
      <c r="C1537" t="s">
        <v>112</v>
      </c>
      <c r="D1537">
        <v>1</v>
      </c>
      <c r="E1537" t="s">
        <v>1739</v>
      </c>
      <c r="F1537" t="s">
        <v>2969</v>
      </c>
    </row>
    <row r="1538" spans="1:6" x14ac:dyDescent="0.25">
      <c r="A1538" t="s">
        <v>2340</v>
      </c>
      <c r="B1538" t="s">
        <v>981</v>
      </c>
      <c r="C1538" t="s">
        <v>128</v>
      </c>
      <c r="D1538">
        <v>1</v>
      </c>
      <c r="E1538" t="s">
        <v>1632</v>
      </c>
      <c r="F1538" t="s">
        <v>2969</v>
      </c>
    </row>
    <row r="1539" spans="1:6" x14ac:dyDescent="0.25">
      <c r="A1539" t="s">
        <v>2340</v>
      </c>
      <c r="B1539" t="s">
        <v>981</v>
      </c>
      <c r="C1539" t="s">
        <v>128</v>
      </c>
      <c r="D1539">
        <v>2</v>
      </c>
      <c r="E1539" t="s">
        <v>55</v>
      </c>
      <c r="F1539" t="s">
        <v>2969</v>
      </c>
    </row>
    <row r="1540" spans="1:6" x14ac:dyDescent="0.25">
      <c r="A1540" t="s">
        <v>2341</v>
      </c>
      <c r="B1540" t="s">
        <v>982</v>
      </c>
      <c r="C1540" t="s">
        <v>73</v>
      </c>
      <c r="D1540">
        <v>1</v>
      </c>
      <c r="E1540" t="s">
        <v>96</v>
      </c>
      <c r="F1540" t="s">
        <v>2969</v>
      </c>
    </row>
    <row r="1541" spans="1:6" x14ac:dyDescent="0.25">
      <c r="A1541" t="s">
        <v>2342</v>
      </c>
      <c r="B1541" t="s">
        <v>983</v>
      </c>
      <c r="C1541" t="s">
        <v>52</v>
      </c>
      <c r="D1541">
        <v>1</v>
      </c>
      <c r="E1541" t="s">
        <v>2071</v>
      </c>
      <c r="F1541" t="s">
        <v>2969</v>
      </c>
    </row>
    <row r="1542" spans="1:6" x14ac:dyDescent="0.25">
      <c r="A1542" t="s">
        <v>2342</v>
      </c>
      <c r="B1542" t="s">
        <v>983</v>
      </c>
      <c r="C1542" t="s">
        <v>52</v>
      </c>
      <c r="D1542">
        <v>2</v>
      </c>
      <c r="E1542" t="s">
        <v>120</v>
      </c>
      <c r="F1542" t="s">
        <v>2969</v>
      </c>
    </row>
    <row r="1543" spans="1:6" x14ac:dyDescent="0.25">
      <c r="A1543" t="s">
        <v>2343</v>
      </c>
      <c r="B1543" t="s">
        <v>984</v>
      </c>
      <c r="C1543" t="s">
        <v>39</v>
      </c>
      <c r="D1543">
        <v>1</v>
      </c>
      <c r="E1543" t="s">
        <v>2344</v>
      </c>
      <c r="F1543" t="s">
        <v>2969</v>
      </c>
    </row>
    <row r="1544" spans="1:6" x14ac:dyDescent="0.25">
      <c r="A1544" t="s">
        <v>2343</v>
      </c>
      <c r="B1544" t="s">
        <v>984</v>
      </c>
      <c r="C1544" t="s">
        <v>39</v>
      </c>
      <c r="D1544">
        <v>2</v>
      </c>
      <c r="E1544" t="s">
        <v>45</v>
      </c>
      <c r="F1544" t="s">
        <v>2969</v>
      </c>
    </row>
    <row r="1545" spans="1:6" x14ac:dyDescent="0.25">
      <c r="A1545" t="s">
        <v>2345</v>
      </c>
      <c r="B1545" t="s">
        <v>985</v>
      </c>
      <c r="C1545" t="s">
        <v>27</v>
      </c>
      <c r="D1545">
        <v>1</v>
      </c>
      <c r="E1545" t="s">
        <v>1891</v>
      </c>
      <c r="F1545" t="s">
        <v>2969</v>
      </c>
    </row>
    <row r="1546" spans="1:6" x14ac:dyDescent="0.25">
      <c r="A1546" t="s">
        <v>2345</v>
      </c>
      <c r="B1546" t="s">
        <v>985</v>
      </c>
      <c r="C1546" t="s">
        <v>27</v>
      </c>
      <c r="D1546">
        <v>2</v>
      </c>
      <c r="E1546" t="s">
        <v>1661</v>
      </c>
      <c r="F1546" t="s">
        <v>2969</v>
      </c>
    </row>
    <row r="1547" spans="1:6" x14ac:dyDescent="0.25">
      <c r="A1547" t="s">
        <v>2346</v>
      </c>
      <c r="B1547" t="s">
        <v>986</v>
      </c>
      <c r="C1547" t="s">
        <v>113</v>
      </c>
      <c r="D1547">
        <v>1</v>
      </c>
      <c r="E1547" t="s">
        <v>1699</v>
      </c>
      <c r="F1547" t="s">
        <v>2969</v>
      </c>
    </row>
    <row r="1548" spans="1:6" x14ac:dyDescent="0.25">
      <c r="A1548" t="s">
        <v>2346</v>
      </c>
      <c r="B1548" t="s">
        <v>986</v>
      </c>
      <c r="C1548" t="s">
        <v>113</v>
      </c>
      <c r="D1548">
        <v>2</v>
      </c>
      <c r="E1548" t="s">
        <v>1647</v>
      </c>
      <c r="F1548" t="s">
        <v>2969</v>
      </c>
    </row>
    <row r="1549" spans="1:6" x14ac:dyDescent="0.25">
      <c r="A1549" t="s">
        <v>2346</v>
      </c>
      <c r="B1549" t="s">
        <v>986</v>
      </c>
      <c r="C1549" t="s">
        <v>113</v>
      </c>
      <c r="D1549">
        <v>3</v>
      </c>
      <c r="E1549" t="s">
        <v>1908</v>
      </c>
      <c r="F1549" t="s">
        <v>2969</v>
      </c>
    </row>
    <row r="1550" spans="1:6" x14ac:dyDescent="0.25">
      <c r="A1550" t="s">
        <v>2346</v>
      </c>
      <c r="B1550" t="s">
        <v>986</v>
      </c>
      <c r="C1550" t="s">
        <v>113</v>
      </c>
      <c r="D1550">
        <v>4</v>
      </c>
      <c r="E1550" t="s">
        <v>72</v>
      </c>
      <c r="F1550" t="s">
        <v>2969</v>
      </c>
    </row>
    <row r="1551" spans="1:6" x14ac:dyDescent="0.25">
      <c r="A1551" t="s">
        <v>2347</v>
      </c>
      <c r="B1551" t="s">
        <v>987</v>
      </c>
      <c r="C1551" t="s">
        <v>79</v>
      </c>
      <c r="D1551">
        <v>1</v>
      </c>
      <c r="E1551" t="s">
        <v>1758</v>
      </c>
      <c r="F1551" t="s">
        <v>2969</v>
      </c>
    </row>
    <row r="1552" spans="1:6" x14ac:dyDescent="0.25">
      <c r="A1552" t="s">
        <v>2347</v>
      </c>
      <c r="B1552" t="s">
        <v>987</v>
      </c>
      <c r="C1552" t="s">
        <v>79</v>
      </c>
      <c r="D1552">
        <v>2</v>
      </c>
      <c r="E1552" t="s">
        <v>75</v>
      </c>
      <c r="F1552" t="s">
        <v>2969</v>
      </c>
    </row>
    <row r="1553" spans="1:6" x14ac:dyDescent="0.25">
      <c r="A1553" t="s">
        <v>2348</v>
      </c>
      <c r="B1553" t="s">
        <v>988</v>
      </c>
      <c r="C1553" t="s">
        <v>112</v>
      </c>
      <c r="D1553">
        <v>1</v>
      </c>
      <c r="E1553" t="s">
        <v>1649</v>
      </c>
      <c r="F1553" t="s">
        <v>2969</v>
      </c>
    </row>
    <row r="1554" spans="1:6" x14ac:dyDescent="0.25">
      <c r="A1554" t="s">
        <v>2348</v>
      </c>
      <c r="B1554" t="s">
        <v>988</v>
      </c>
      <c r="C1554" t="s">
        <v>112</v>
      </c>
      <c r="D1554">
        <v>2</v>
      </c>
      <c r="E1554" t="s">
        <v>1713</v>
      </c>
      <c r="F1554" t="s">
        <v>2969</v>
      </c>
    </row>
    <row r="1555" spans="1:6" x14ac:dyDescent="0.25">
      <c r="A1555" t="s">
        <v>2348</v>
      </c>
      <c r="B1555" t="s">
        <v>988</v>
      </c>
      <c r="C1555" t="s">
        <v>112</v>
      </c>
      <c r="D1555">
        <v>3</v>
      </c>
      <c r="E1555" t="s">
        <v>1701</v>
      </c>
      <c r="F1555" t="s">
        <v>2969</v>
      </c>
    </row>
    <row r="1556" spans="1:6" x14ac:dyDescent="0.25">
      <c r="A1556" t="s">
        <v>2349</v>
      </c>
      <c r="B1556" t="s">
        <v>989</v>
      </c>
      <c r="C1556" t="s">
        <v>94</v>
      </c>
      <c r="D1556">
        <v>1</v>
      </c>
      <c r="E1556" t="s">
        <v>1781</v>
      </c>
      <c r="F1556" t="s">
        <v>2969</v>
      </c>
    </row>
    <row r="1557" spans="1:6" x14ac:dyDescent="0.25">
      <c r="A1557" t="s">
        <v>2349</v>
      </c>
      <c r="B1557" t="s">
        <v>989</v>
      </c>
      <c r="C1557" t="s">
        <v>94</v>
      </c>
      <c r="D1557">
        <v>2</v>
      </c>
      <c r="E1557" t="s">
        <v>2032</v>
      </c>
      <c r="F1557" t="s">
        <v>2969</v>
      </c>
    </row>
    <row r="1558" spans="1:6" x14ac:dyDescent="0.25">
      <c r="A1558" t="s">
        <v>2350</v>
      </c>
      <c r="B1558" t="s">
        <v>990</v>
      </c>
      <c r="C1558" t="s">
        <v>97</v>
      </c>
      <c r="D1558">
        <v>1</v>
      </c>
      <c r="E1558" t="s">
        <v>1801</v>
      </c>
      <c r="F1558" t="s">
        <v>2969</v>
      </c>
    </row>
    <row r="1559" spans="1:6" x14ac:dyDescent="0.25">
      <c r="A1559" t="s">
        <v>2350</v>
      </c>
      <c r="B1559" t="s">
        <v>990</v>
      </c>
      <c r="C1559" t="s">
        <v>97</v>
      </c>
      <c r="D1559">
        <v>2</v>
      </c>
      <c r="E1559" t="s">
        <v>1657</v>
      </c>
      <c r="F1559" t="s">
        <v>2969</v>
      </c>
    </row>
    <row r="1560" spans="1:6" x14ac:dyDescent="0.25">
      <c r="A1560" t="s">
        <v>2351</v>
      </c>
      <c r="B1560" t="s">
        <v>991</v>
      </c>
      <c r="C1560" t="s">
        <v>39</v>
      </c>
      <c r="D1560">
        <v>1</v>
      </c>
      <c r="E1560" t="s">
        <v>26</v>
      </c>
      <c r="F1560" t="s">
        <v>2969</v>
      </c>
    </row>
    <row r="1561" spans="1:6" x14ac:dyDescent="0.25">
      <c r="A1561" t="s">
        <v>2352</v>
      </c>
      <c r="B1561" t="s">
        <v>992</v>
      </c>
      <c r="C1561" t="s">
        <v>65</v>
      </c>
      <c r="D1561">
        <v>1</v>
      </c>
      <c r="E1561" t="s">
        <v>1624</v>
      </c>
      <c r="F1561" t="s">
        <v>2969</v>
      </c>
    </row>
    <row r="1562" spans="1:6" x14ac:dyDescent="0.25">
      <c r="A1562" t="s">
        <v>2353</v>
      </c>
      <c r="B1562" t="s">
        <v>993</v>
      </c>
      <c r="C1562" t="s">
        <v>79</v>
      </c>
      <c r="D1562">
        <v>1</v>
      </c>
      <c r="E1562" t="s">
        <v>1801</v>
      </c>
      <c r="F1562" t="s">
        <v>2969</v>
      </c>
    </row>
    <row r="1563" spans="1:6" x14ac:dyDescent="0.25">
      <c r="A1563" t="s">
        <v>2353</v>
      </c>
      <c r="B1563" t="s">
        <v>993</v>
      </c>
      <c r="C1563" t="s">
        <v>79</v>
      </c>
      <c r="D1563">
        <v>2</v>
      </c>
      <c r="E1563" t="s">
        <v>1862</v>
      </c>
      <c r="F1563" t="s">
        <v>2969</v>
      </c>
    </row>
    <row r="1564" spans="1:6" x14ac:dyDescent="0.25">
      <c r="A1564" t="s">
        <v>2354</v>
      </c>
      <c r="B1564" t="s">
        <v>994</v>
      </c>
      <c r="C1564" t="s">
        <v>23</v>
      </c>
      <c r="D1564">
        <v>1</v>
      </c>
      <c r="E1564" t="s">
        <v>99</v>
      </c>
      <c r="F1564" t="s">
        <v>2969</v>
      </c>
    </row>
    <row r="1565" spans="1:6" x14ac:dyDescent="0.25">
      <c r="A1565" t="s">
        <v>2354</v>
      </c>
      <c r="B1565" t="s">
        <v>994</v>
      </c>
      <c r="C1565" t="s">
        <v>23</v>
      </c>
      <c r="D1565">
        <v>2</v>
      </c>
      <c r="E1565" t="s">
        <v>2071</v>
      </c>
      <c r="F1565" t="s">
        <v>2969</v>
      </c>
    </row>
    <row r="1566" spans="1:6" x14ac:dyDescent="0.25">
      <c r="A1566" t="s">
        <v>2355</v>
      </c>
      <c r="B1566" t="s">
        <v>995</v>
      </c>
      <c r="C1566" t="s">
        <v>110</v>
      </c>
      <c r="D1566">
        <v>1</v>
      </c>
      <c r="E1566" t="s">
        <v>1643</v>
      </c>
      <c r="F1566" t="s">
        <v>2969</v>
      </c>
    </row>
    <row r="1567" spans="1:6" x14ac:dyDescent="0.25">
      <c r="A1567" t="s">
        <v>2355</v>
      </c>
      <c r="B1567" t="s">
        <v>995</v>
      </c>
      <c r="C1567" t="s">
        <v>110</v>
      </c>
      <c r="D1567">
        <v>2</v>
      </c>
      <c r="E1567" t="s">
        <v>1621</v>
      </c>
      <c r="F1567" t="s">
        <v>2969</v>
      </c>
    </row>
    <row r="1568" spans="1:6" x14ac:dyDescent="0.25">
      <c r="A1568" t="s">
        <v>2356</v>
      </c>
      <c r="B1568" t="s">
        <v>996</v>
      </c>
      <c r="C1568" t="s">
        <v>34</v>
      </c>
      <c r="D1568">
        <v>1</v>
      </c>
      <c r="E1568" t="s">
        <v>1760</v>
      </c>
      <c r="F1568" t="s">
        <v>2969</v>
      </c>
    </row>
    <row r="1569" spans="1:6" x14ac:dyDescent="0.25">
      <c r="A1569" t="s">
        <v>2356</v>
      </c>
      <c r="B1569" t="s">
        <v>996</v>
      </c>
      <c r="C1569" t="s">
        <v>34</v>
      </c>
      <c r="D1569">
        <v>2</v>
      </c>
      <c r="E1569" t="s">
        <v>1779</v>
      </c>
      <c r="F1569" t="s">
        <v>2969</v>
      </c>
    </row>
    <row r="1570" spans="1:6" x14ac:dyDescent="0.25">
      <c r="A1570" t="s">
        <v>2356</v>
      </c>
      <c r="B1570" t="s">
        <v>996</v>
      </c>
      <c r="C1570" t="s">
        <v>34</v>
      </c>
      <c r="D1570">
        <v>3</v>
      </c>
      <c r="E1570" t="s">
        <v>19</v>
      </c>
      <c r="F1570" t="s">
        <v>2969</v>
      </c>
    </row>
    <row r="1571" spans="1:6" x14ac:dyDescent="0.25">
      <c r="A1571" t="s">
        <v>2356</v>
      </c>
      <c r="B1571" t="s">
        <v>996</v>
      </c>
      <c r="C1571" t="s">
        <v>34</v>
      </c>
      <c r="D1571">
        <v>4</v>
      </c>
      <c r="E1571" t="s">
        <v>1721</v>
      </c>
      <c r="F1571" t="s">
        <v>2969</v>
      </c>
    </row>
    <row r="1572" spans="1:6" x14ac:dyDescent="0.25">
      <c r="A1572" t="s">
        <v>2356</v>
      </c>
      <c r="B1572" t="s">
        <v>996</v>
      </c>
      <c r="C1572" t="s">
        <v>34</v>
      </c>
      <c r="D1572">
        <v>5</v>
      </c>
      <c r="E1572" t="s">
        <v>1709</v>
      </c>
      <c r="F1572" t="s">
        <v>2969</v>
      </c>
    </row>
    <row r="1573" spans="1:6" x14ac:dyDescent="0.25">
      <c r="A1573" t="s">
        <v>2357</v>
      </c>
      <c r="B1573" t="s">
        <v>997</v>
      </c>
      <c r="C1573" t="s">
        <v>101</v>
      </c>
      <c r="D1573">
        <v>1</v>
      </c>
      <c r="E1573" t="s">
        <v>99</v>
      </c>
      <c r="F1573" t="s">
        <v>2969</v>
      </c>
    </row>
    <row r="1574" spans="1:6" x14ac:dyDescent="0.25">
      <c r="A1574" t="s">
        <v>2357</v>
      </c>
      <c r="B1574" t="s">
        <v>997</v>
      </c>
      <c r="C1574" t="s">
        <v>101</v>
      </c>
      <c r="D1574">
        <v>2</v>
      </c>
      <c r="E1574" t="s">
        <v>72</v>
      </c>
      <c r="F1574" t="s">
        <v>2969</v>
      </c>
    </row>
    <row r="1575" spans="1:6" x14ac:dyDescent="0.25">
      <c r="A1575" t="s">
        <v>2357</v>
      </c>
      <c r="B1575" t="s">
        <v>997</v>
      </c>
      <c r="C1575" t="s">
        <v>101</v>
      </c>
      <c r="D1575">
        <v>3</v>
      </c>
      <c r="E1575" t="s">
        <v>1886</v>
      </c>
      <c r="F1575" t="s">
        <v>2969</v>
      </c>
    </row>
    <row r="1576" spans="1:6" x14ac:dyDescent="0.25">
      <c r="A1576" t="s">
        <v>2358</v>
      </c>
      <c r="B1576" t="s">
        <v>998</v>
      </c>
      <c r="C1576" t="s">
        <v>107</v>
      </c>
      <c r="D1576">
        <v>1</v>
      </c>
      <c r="E1576" t="s">
        <v>2038</v>
      </c>
      <c r="F1576" t="s">
        <v>2969</v>
      </c>
    </row>
    <row r="1577" spans="1:6" x14ac:dyDescent="0.25">
      <c r="A1577" t="s">
        <v>2358</v>
      </c>
      <c r="B1577" t="s">
        <v>998</v>
      </c>
      <c r="C1577" t="s">
        <v>107</v>
      </c>
      <c r="D1577">
        <v>2</v>
      </c>
      <c r="E1577" t="s">
        <v>2230</v>
      </c>
      <c r="F1577" t="s">
        <v>2969</v>
      </c>
    </row>
    <row r="1578" spans="1:6" x14ac:dyDescent="0.25">
      <c r="A1578" t="s">
        <v>2359</v>
      </c>
      <c r="B1578" t="s">
        <v>999</v>
      </c>
      <c r="C1578" t="s">
        <v>34</v>
      </c>
      <c r="D1578">
        <v>1</v>
      </c>
      <c r="E1578" t="s">
        <v>2094</v>
      </c>
      <c r="F1578" t="s">
        <v>2969</v>
      </c>
    </row>
    <row r="1579" spans="1:6" x14ac:dyDescent="0.25">
      <c r="A1579" t="s">
        <v>2359</v>
      </c>
      <c r="B1579" t="s">
        <v>999</v>
      </c>
      <c r="C1579" t="s">
        <v>34</v>
      </c>
      <c r="D1579">
        <v>2</v>
      </c>
      <c r="E1579" t="s">
        <v>1822</v>
      </c>
      <c r="F1579" t="s">
        <v>2969</v>
      </c>
    </row>
    <row r="1580" spans="1:6" x14ac:dyDescent="0.25">
      <c r="A1580" t="s">
        <v>2359</v>
      </c>
      <c r="B1580" t="s">
        <v>999</v>
      </c>
      <c r="C1580" t="s">
        <v>34</v>
      </c>
      <c r="D1580">
        <v>3</v>
      </c>
      <c r="E1580" t="s">
        <v>1904</v>
      </c>
      <c r="F1580" t="s">
        <v>2969</v>
      </c>
    </row>
    <row r="1581" spans="1:6" x14ac:dyDescent="0.25">
      <c r="A1581" t="s">
        <v>2360</v>
      </c>
      <c r="B1581" t="s">
        <v>1000</v>
      </c>
      <c r="C1581" t="s">
        <v>14</v>
      </c>
      <c r="D1581">
        <v>1</v>
      </c>
      <c r="E1581" t="s">
        <v>1637</v>
      </c>
      <c r="F1581" t="s">
        <v>2969</v>
      </c>
    </row>
    <row r="1582" spans="1:6" x14ac:dyDescent="0.25">
      <c r="A1582" t="s">
        <v>2360</v>
      </c>
      <c r="B1582" t="s">
        <v>1000</v>
      </c>
      <c r="C1582" t="s">
        <v>14</v>
      </c>
      <c r="D1582">
        <v>2</v>
      </c>
      <c r="E1582" t="s">
        <v>1721</v>
      </c>
      <c r="F1582" t="s">
        <v>2969</v>
      </c>
    </row>
    <row r="1583" spans="1:6" x14ac:dyDescent="0.25">
      <c r="A1583" t="s">
        <v>2361</v>
      </c>
      <c r="B1583" t="s">
        <v>1001</v>
      </c>
      <c r="C1583" t="s">
        <v>101</v>
      </c>
      <c r="D1583">
        <v>1</v>
      </c>
      <c r="E1583" t="s">
        <v>1647</v>
      </c>
      <c r="F1583" t="s">
        <v>2969</v>
      </c>
    </row>
    <row r="1584" spans="1:6" x14ac:dyDescent="0.25">
      <c r="A1584" t="s">
        <v>2361</v>
      </c>
      <c r="B1584" t="s">
        <v>1001</v>
      </c>
      <c r="C1584" t="s">
        <v>101</v>
      </c>
      <c r="D1584">
        <v>2</v>
      </c>
      <c r="E1584" t="s">
        <v>1632</v>
      </c>
      <c r="F1584" t="s">
        <v>2969</v>
      </c>
    </row>
    <row r="1585" spans="1:6" x14ac:dyDescent="0.25">
      <c r="A1585" t="s">
        <v>2361</v>
      </c>
      <c r="B1585" t="s">
        <v>1001</v>
      </c>
      <c r="C1585" t="s">
        <v>101</v>
      </c>
      <c r="D1585">
        <v>3</v>
      </c>
      <c r="E1585" t="s">
        <v>55</v>
      </c>
      <c r="F1585" t="s">
        <v>2969</v>
      </c>
    </row>
    <row r="1586" spans="1:6" x14ac:dyDescent="0.25">
      <c r="A1586" t="s">
        <v>2361</v>
      </c>
      <c r="B1586" t="s">
        <v>1001</v>
      </c>
      <c r="C1586" t="s">
        <v>101</v>
      </c>
      <c r="D1586">
        <v>4</v>
      </c>
      <c r="E1586" t="s">
        <v>84</v>
      </c>
      <c r="F1586" t="s">
        <v>2969</v>
      </c>
    </row>
    <row r="1587" spans="1:6" x14ac:dyDescent="0.25">
      <c r="A1587" t="s">
        <v>2361</v>
      </c>
      <c r="B1587" t="s">
        <v>1001</v>
      </c>
      <c r="C1587" t="s">
        <v>101</v>
      </c>
      <c r="D1587">
        <v>5</v>
      </c>
      <c r="E1587" t="s">
        <v>99</v>
      </c>
      <c r="F1587" t="s">
        <v>2969</v>
      </c>
    </row>
    <row r="1588" spans="1:6" x14ac:dyDescent="0.25">
      <c r="A1588" t="s">
        <v>2362</v>
      </c>
      <c r="B1588" t="s">
        <v>1002</v>
      </c>
      <c r="C1588" t="s">
        <v>73</v>
      </c>
      <c r="D1588">
        <v>1</v>
      </c>
      <c r="E1588" t="s">
        <v>1678</v>
      </c>
      <c r="F1588" t="s">
        <v>2969</v>
      </c>
    </row>
    <row r="1589" spans="1:6" x14ac:dyDescent="0.25">
      <c r="A1589" t="s">
        <v>2362</v>
      </c>
      <c r="B1589" t="s">
        <v>1002</v>
      </c>
      <c r="C1589" t="s">
        <v>73</v>
      </c>
      <c r="D1589">
        <v>2</v>
      </c>
      <c r="E1589" t="s">
        <v>1828</v>
      </c>
      <c r="F1589" t="s">
        <v>2969</v>
      </c>
    </row>
    <row r="1590" spans="1:6" x14ac:dyDescent="0.25">
      <c r="A1590" t="s">
        <v>2363</v>
      </c>
      <c r="B1590" t="s">
        <v>1003</v>
      </c>
      <c r="C1590" t="s">
        <v>14</v>
      </c>
      <c r="D1590">
        <v>1</v>
      </c>
      <c r="E1590" t="s">
        <v>2130</v>
      </c>
      <c r="F1590" t="s">
        <v>2969</v>
      </c>
    </row>
    <row r="1591" spans="1:6" x14ac:dyDescent="0.25">
      <c r="A1591" t="s">
        <v>2363</v>
      </c>
      <c r="B1591" t="s">
        <v>1003</v>
      </c>
      <c r="C1591" t="s">
        <v>14</v>
      </c>
      <c r="D1591">
        <v>2</v>
      </c>
      <c r="E1591" t="s">
        <v>2078</v>
      </c>
      <c r="F1591" t="s">
        <v>2969</v>
      </c>
    </row>
    <row r="1592" spans="1:6" x14ac:dyDescent="0.25">
      <c r="A1592" t="s">
        <v>2364</v>
      </c>
      <c r="B1592" t="s">
        <v>1004</v>
      </c>
      <c r="C1592" t="s">
        <v>105</v>
      </c>
      <c r="D1592">
        <v>1</v>
      </c>
      <c r="E1592" t="s">
        <v>1719</v>
      </c>
      <c r="F1592" t="s">
        <v>2969</v>
      </c>
    </row>
    <row r="1593" spans="1:6" x14ac:dyDescent="0.25">
      <c r="A1593" t="s">
        <v>2365</v>
      </c>
      <c r="B1593" t="s">
        <v>1005</v>
      </c>
      <c r="C1593" t="s">
        <v>83</v>
      </c>
      <c r="D1593">
        <v>1</v>
      </c>
      <c r="E1593" t="s">
        <v>1704</v>
      </c>
      <c r="F1593" t="s">
        <v>2969</v>
      </c>
    </row>
    <row r="1594" spans="1:6" x14ac:dyDescent="0.25">
      <c r="A1594" t="s">
        <v>2365</v>
      </c>
      <c r="B1594" t="s">
        <v>1005</v>
      </c>
      <c r="C1594" t="s">
        <v>83</v>
      </c>
      <c r="D1594">
        <v>2</v>
      </c>
      <c r="E1594" t="s">
        <v>13</v>
      </c>
      <c r="F1594" t="s">
        <v>2969</v>
      </c>
    </row>
    <row r="1595" spans="1:6" x14ac:dyDescent="0.25">
      <c r="A1595" t="s">
        <v>2366</v>
      </c>
      <c r="B1595" t="s">
        <v>1006</v>
      </c>
      <c r="C1595" t="s">
        <v>73</v>
      </c>
      <c r="D1595">
        <v>1</v>
      </c>
      <c r="E1595" t="s">
        <v>1643</v>
      </c>
      <c r="F1595" t="s">
        <v>2969</v>
      </c>
    </row>
    <row r="1596" spans="1:6" x14ac:dyDescent="0.25">
      <c r="A1596" t="s">
        <v>2366</v>
      </c>
      <c r="B1596" t="s">
        <v>1006</v>
      </c>
      <c r="C1596" t="s">
        <v>73</v>
      </c>
      <c r="D1596">
        <v>2</v>
      </c>
      <c r="E1596" t="s">
        <v>1621</v>
      </c>
      <c r="F1596" t="s">
        <v>2969</v>
      </c>
    </row>
    <row r="1597" spans="1:6" x14ac:dyDescent="0.25">
      <c r="A1597" t="s">
        <v>2366</v>
      </c>
      <c r="B1597" t="s">
        <v>1006</v>
      </c>
      <c r="C1597" t="s">
        <v>73</v>
      </c>
      <c r="D1597">
        <v>3</v>
      </c>
      <c r="E1597" t="s">
        <v>1751</v>
      </c>
      <c r="F1597" t="s">
        <v>2969</v>
      </c>
    </row>
    <row r="1598" spans="1:6" x14ac:dyDescent="0.25">
      <c r="A1598" t="s">
        <v>2367</v>
      </c>
      <c r="B1598" t="s">
        <v>1007</v>
      </c>
      <c r="C1598" t="s">
        <v>79</v>
      </c>
      <c r="D1598">
        <v>1</v>
      </c>
      <c r="E1598" t="s">
        <v>1857</v>
      </c>
      <c r="F1598" t="s">
        <v>2969</v>
      </c>
    </row>
    <row r="1599" spans="1:6" x14ac:dyDescent="0.25">
      <c r="A1599" t="s">
        <v>2368</v>
      </c>
      <c r="B1599" t="s">
        <v>1008</v>
      </c>
      <c r="C1599" t="s">
        <v>132</v>
      </c>
      <c r="D1599">
        <v>1</v>
      </c>
      <c r="E1599" t="s">
        <v>1754</v>
      </c>
      <c r="F1599" t="s">
        <v>2969</v>
      </c>
    </row>
    <row r="1600" spans="1:6" x14ac:dyDescent="0.25">
      <c r="A1600" t="s">
        <v>2368</v>
      </c>
      <c r="B1600" t="s">
        <v>1008</v>
      </c>
      <c r="C1600" t="s">
        <v>132</v>
      </c>
      <c r="D1600">
        <v>2</v>
      </c>
      <c r="E1600" t="s">
        <v>1807</v>
      </c>
      <c r="F1600" t="s">
        <v>2969</v>
      </c>
    </row>
    <row r="1601" spans="1:6" x14ac:dyDescent="0.25">
      <c r="A1601" t="s">
        <v>2368</v>
      </c>
      <c r="B1601" t="s">
        <v>1008</v>
      </c>
      <c r="C1601" t="s">
        <v>132</v>
      </c>
      <c r="D1601">
        <v>3</v>
      </c>
      <c r="E1601" t="s">
        <v>137</v>
      </c>
      <c r="F1601" t="s">
        <v>2969</v>
      </c>
    </row>
    <row r="1602" spans="1:6" x14ac:dyDescent="0.25">
      <c r="A1602" t="s">
        <v>2369</v>
      </c>
      <c r="B1602" t="s">
        <v>1009</v>
      </c>
      <c r="C1602" t="s">
        <v>113</v>
      </c>
      <c r="D1602">
        <v>1</v>
      </c>
      <c r="E1602" t="s">
        <v>1699</v>
      </c>
      <c r="F1602" t="s">
        <v>2969</v>
      </c>
    </row>
    <row r="1603" spans="1:6" x14ac:dyDescent="0.25">
      <c r="A1603" t="s">
        <v>2369</v>
      </c>
      <c r="B1603" t="s">
        <v>1009</v>
      </c>
      <c r="C1603" t="s">
        <v>113</v>
      </c>
      <c r="D1603">
        <v>2</v>
      </c>
      <c r="E1603" t="s">
        <v>1795</v>
      </c>
      <c r="F1603" t="s">
        <v>2969</v>
      </c>
    </row>
    <row r="1604" spans="1:6" x14ac:dyDescent="0.25">
      <c r="A1604" t="s">
        <v>2370</v>
      </c>
      <c r="B1604" t="s">
        <v>1010</v>
      </c>
      <c r="C1604" t="s">
        <v>107</v>
      </c>
      <c r="D1604">
        <v>1</v>
      </c>
      <c r="E1604" t="s">
        <v>1651</v>
      </c>
      <c r="F1604" t="s">
        <v>2969</v>
      </c>
    </row>
    <row r="1605" spans="1:6" x14ac:dyDescent="0.25">
      <c r="A1605" t="s">
        <v>2371</v>
      </c>
      <c r="B1605" t="s">
        <v>1011</v>
      </c>
      <c r="C1605" t="s">
        <v>105</v>
      </c>
      <c r="D1605">
        <v>1</v>
      </c>
      <c r="E1605" t="s">
        <v>82</v>
      </c>
      <c r="F1605" t="s">
        <v>2969</v>
      </c>
    </row>
    <row r="1606" spans="1:6" x14ac:dyDescent="0.25">
      <c r="A1606" t="s">
        <v>2371</v>
      </c>
      <c r="B1606" t="s">
        <v>1011</v>
      </c>
      <c r="C1606" t="s">
        <v>105</v>
      </c>
      <c r="D1606">
        <v>2</v>
      </c>
      <c r="E1606" t="s">
        <v>1711</v>
      </c>
      <c r="F1606" t="s">
        <v>2969</v>
      </c>
    </row>
    <row r="1607" spans="1:6" x14ac:dyDescent="0.25">
      <c r="A1607" t="s">
        <v>2372</v>
      </c>
      <c r="B1607" t="s">
        <v>1012</v>
      </c>
      <c r="C1607" t="s">
        <v>76</v>
      </c>
      <c r="D1607">
        <v>1</v>
      </c>
      <c r="E1607" t="s">
        <v>2115</v>
      </c>
      <c r="F1607" t="s">
        <v>2969</v>
      </c>
    </row>
    <row r="1608" spans="1:6" x14ac:dyDescent="0.25">
      <c r="A1608" t="s">
        <v>2372</v>
      </c>
      <c r="B1608" t="s">
        <v>1012</v>
      </c>
      <c r="C1608" t="s">
        <v>76</v>
      </c>
      <c r="D1608">
        <v>2</v>
      </c>
      <c r="E1608" t="s">
        <v>2516</v>
      </c>
      <c r="F1608" t="s">
        <v>2969</v>
      </c>
    </row>
    <row r="1609" spans="1:6" x14ac:dyDescent="0.25">
      <c r="A1609" t="s">
        <v>2372</v>
      </c>
      <c r="B1609" t="s">
        <v>1012</v>
      </c>
      <c r="C1609" t="s">
        <v>76</v>
      </c>
      <c r="D1609">
        <v>3</v>
      </c>
      <c r="E1609" t="s">
        <v>2064</v>
      </c>
      <c r="F1609" t="s">
        <v>2969</v>
      </c>
    </row>
    <row r="1610" spans="1:6" x14ac:dyDescent="0.25">
      <c r="A1610" t="s">
        <v>2373</v>
      </c>
      <c r="B1610" t="s">
        <v>1013</v>
      </c>
      <c r="C1610" t="s">
        <v>34</v>
      </c>
      <c r="D1610">
        <v>1</v>
      </c>
      <c r="E1610" t="s">
        <v>1754</v>
      </c>
      <c r="F1610" t="s">
        <v>2969</v>
      </c>
    </row>
    <row r="1611" spans="1:6" x14ac:dyDescent="0.25">
      <c r="A1611" t="s">
        <v>2373</v>
      </c>
      <c r="B1611" t="s">
        <v>1013</v>
      </c>
      <c r="C1611" t="s">
        <v>34</v>
      </c>
      <c r="D1611">
        <v>2</v>
      </c>
      <c r="E1611" t="s">
        <v>1764</v>
      </c>
      <c r="F1611" t="s">
        <v>2969</v>
      </c>
    </row>
    <row r="1612" spans="1:6" x14ac:dyDescent="0.25">
      <c r="A1612" t="s">
        <v>2374</v>
      </c>
      <c r="B1612" t="s">
        <v>1014</v>
      </c>
      <c r="C1612" t="s">
        <v>56</v>
      </c>
      <c r="D1612">
        <v>1</v>
      </c>
      <c r="E1612" t="s">
        <v>45</v>
      </c>
      <c r="F1612" t="s">
        <v>2969</v>
      </c>
    </row>
    <row r="1613" spans="1:6" x14ac:dyDescent="0.25">
      <c r="A1613" t="s">
        <v>2374</v>
      </c>
      <c r="B1613" t="s">
        <v>1014</v>
      </c>
      <c r="C1613" t="s">
        <v>56</v>
      </c>
      <c r="D1613">
        <v>2</v>
      </c>
      <c r="E1613" t="s">
        <v>99</v>
      </c>
      <c r="F1613" t="s">
        <v>2969</v>
      </c>
    </row>
    <row r="1614" spans="1:6" x14ac:dyDescent="0.25">
      <c r="A1614" t="s">
        <v>2375</v>
      </c>
      <c r="B1614" t="s">
        <v>1016</v>
      </c>
      <c r="C1614" t="s">
        <v>87</v>
      </c>
      <c r="D1614">
        <v>1</v>
      </c>
      <c r="E1614" t="s">
        <v>1645</v>
      </c>
      <c r="F1614" t="s">
        <v>2969</v>
      </c>
    </row>
    <row r="1615" spans="1:6" x14ac:dyDescent="0.25">
      <c r="A1615" t="s">
        <v>2375</v>
      </c>
      <c r="B1615" t="s">
        <v>1016</v>
      </c>
      <c r="C1615" t="s">
        <v>87</v>
      </c>
      <c r="D1615">
        <v>2</v>
      </c>
      <c r="E1615" t="s">
        <v>1634</v>
      </c>
      <c r="F1615" t="s">
        <v>2969</v>
      </c>
    </row>
    <row r="1616" spans="1:6" x14ac:dyDescent="0.25">
      <c r="A1616" t="s">
        <v>2375</v>
      </c>
      <c r="B1616" t="s">
        <v>1016</v>
      </c>
      <c r="C1616" t="s">
        <v>87</v>
      </c>
      <c r="D1616">
        <v>3</v>
      </c>
      <c r="E1616" t="s">
        <v>1643</v>
      </c>
      <c r="F1616" t="s">
        <v>2969</v>
      </c>
    </row>
    <row r="1617" spans="1:6" x14ac:dyDescent="0.25">
      <c r="A1617" t="s">
        <v>2375</v>
      </c>
      <c r="B1617" t="s">
        <v>1016</v>
      </c>
      <c r="C1617" t="s">
        <v>87</v>
      </c>
      <c r="D1617">
        <v>4</v>
      </c>
      <c r="E1617" t="s">
        <v>2032</v>
      </c>
      <c r="F1617" t="s">
        <v>2969</v>
      </c>
    </row>
    <row r="1618" spans="1:6" x14ac:dyDescent="0.25">
      <c r="A1618" t="s">
        <v>2376</v>
      </c>
      <c r="B1618" t="s">
        <v>1017</v>
      </c>
      <c r="C1618" t="s">
        <v>87</v>
      </c>
      <c r="D1618">
        <v>1</v>
      </c>
      <c r="E1618" t="s">
        <v>1862</v>
      </c>
      <c r="F1618" t="s">
        <v>2969</v>
      </c>
    </row>
    <row r="1619" spans="1:6" x14ac:dyDescent="0.25">
      <c r="A1619" t="s">
        <v>2376</v>
      </c>
      <c r="B1619" t="s">
        <v>1017</v>
      </c>
      <c r="C1619" t="s">
        <v>87</v>
      </c>
      <c r="D1619">
        <v>2</v>
      </c>
      <c r="E1619" t="s">
        <v>64</v>
      </c>
      <c r="F1619" t="s">
        <v>2969</v>
      </c>
    </row>
    <row r="1620" spans="1:6" x14ac:dyDescent="0.25">
      <c r="A1620" t="s">
        <v>2377</v>
      </c>
      <c r="B1620" t="s">
        <v>1019</v>
      </c>
      <c r="C1620" t="s">
        <v>105</v>
      </c>
      <c r="D1620">
        <v>1</v>
      </c>
      <c r="E1620" t="s">
        <v>78</v>
      </c>
      <c r="F1620" t="s">
        <v>2969</v>
      </c>
    </row>
    <row r="1621" spans="1:6" x14ac:dyDescent="0.25">
      <c r="A1621" t="s">
        <v>2378</v>
      </c>
      <c r="B1621" t="s">
        <v>1020</v>
      </c>
      <c r="C1621" t="s">
        <v>121</v>
      </c>
      <c r="D1621">
        <v>1</v>
      </c>
      <c r="E1621" t="s">
        <v>89</v>
      </c>
      <c r="F1621" t="s">
        <v>2969</v>
      </c>
    </row>
    <row r="1622" spans="1:6" x14ac:dyDescent="0.25">
      <c r="A1622" t="s">
        <v>2379</v>
      </c>
      <c r="B1622" t="s">
        <v>1021</v>
      </c>
      <c r="C1622" t="s">
        <v>60</v>
      </c>
      <c r="D1622">
        <v>1</v>
      </c>
      <c r="E1622" t="s">
        <v>2380</v>
      </c>
      <c r="F1622" t="s">
        <v>2969</v>
      </c>
    </row>
    <row r="1623" spans="1:6" x14ac:dyDescent="0.25">
      <c r="A1623" t="s">
        <v>2379</v>
      </c>
      <c r="B1623" t="s">
        <v>1021</v>
      </c>
      <c r="C1623" t="s">
        <v>60</v>
      </c>
      <c r="D1623">
        <v>2</v>
      </c>
      <c r="E1623" t="s">
        <v>2786</v>
      </c>
      <c r="F1623" t="s">
        <v>2969</v>
      </c>
    </row>
    <row r="1624" spans="1:6" x14ac:dyDescent="0.25">
      <c r="A1624" t="s">
        <v>2379</v>
      </c>
      <c r="B1624" t="s">
        <v>1021</v>
      </c>
      <c r="C1624" t="s">
        <v>60</v>
      </c>
      <c r="D1624">
        <v>3</v>
      </c>
      <c r="E1624" t="s">
        <v>2972</v>
      </c>
      <c r="F1624" t="s">
        <v>2969</v>
      </c>
    </row>
    <row r="1625" spans="1:6" x14ac:dyDescent="0.25">
      <c r="A1625" t="s">
        <v>2379</v>
      </c>
      <c r="B1625" t="s">
        <v>1021</v>
      </c>
      <c r="C1625" t="s">
        <v>60</v>
      </c>
      <c r="D1625">
        <v>4</v>
      </c>
      <c r="E1625" t="s">
        <v>2978</v>
      </c>
      <c r="F1625" t="s">
        <v>2969</v>
      </c>
    </row>
    <row r="1626" spans="1:6" x14ac:dyDescent="0.25">
      <c r="A1626" t="s">
        <v>2381</v>
      </c>
      <c r="B1626" t="s">
        <v>1022</v>
      </c>
      <c r="C1626" t="s">
        <v>132</v>
      </c>
      <c r="D1626">
        <v>1</v>
      </c>
      <c r="E1626" t="s">
        <v>1680</v>
      </c>
      <c r="F1626" t="s">
        <v>2969</v>
      </c>
    </row>
    <row r="1627" spans="1:6" x14ac:dyDescent="0.25">
      <c r="A1627" t="s">
        <v>2381</v>
      </c>
      <c r="B1627" t="s">
        <v>1022</v>
      </c>
      <c r="C1627" t="s">
        <v>132</v>
      </c>
      <c r="D1627">
        <v>2</v>
      </c>
      <c r="E1627" t="s">
        <v>1785</v>
      </c>
      <c r="F1627" t="s">
        <v>2969</v>
      </c>
    </row>
    <row r="1628" spans="1:6" x14ac:dyDescent="0.25">
      <c r="A1628" t="s">
        <v>2382</v>
      </c>
      <c r="B1628" t="s">
        <v>1024</v>
      </c>
      <c r="C1628" t="s">
        <v>128</v>
      </c>
      <c r="D1628">
        <v>1</v>
      </c>
      <c r="E1628" t="s">
        <v>1797</v>
      </c>
      <c r="F1628" t="s">
        <v>2969</v>
      </c>
    </row>
    <row r="1629" spans="1:6" x14ac:dyDescent="0.25">
      <c r="A1629" t="s">
        <v>2383</v>
      </c>
      <c r="B1629" t="s">
        <v>1025</v>
      </c>
      <c r="C1629" t="s">
        <v>90</v>
      </c>
      <c r="D1629">
        <v>1</v>
      </c>
      <c r="E1629" t="s">
        <v>1629</v>
      </c>
      <c r="F1629" t="s">
        <v>2969</v>
      </c>
    </row>
    <row r="1630" spans="1:6" x14ac:dyDescent="0.25">
      <c r="A1630" t="s">
        <v>2383</v>
      </c>
      <c r="B1630" t="s">
        <v>1025</v>
      </c>
      <c r="C1630" t="s">
        <v>90</v>
      </c>
      <c r="D1630">
        <v>2</v>
      </c>
      <c r="E1630" t="s">
        <v>1643</v>
      </c>
      <c r="F1630" t="s">
        <v>2969</v>
      </c>
    </row>
    <row r="1631" spans="1:6" x14ac:dyDescent="0.25">
      <c r="A1631" t="s">
        <v>2383</v>
      </c>
      <c r="B1631" t="s">
        <v>1025</v>
      </c>
      <c r="C1631" t="s">
        <v>90</v>
      </c>
      <c r="D1631">
        <v>3</v>
      </c>
      <c r="E1631" t="s">
        <v>2169</v>
      </c>
      <c r="F1631" t="s">
        <v>2969</v>
      </c>
    </row>
    <row r="1632" spans="1:6" x14ac:dyDescent="0.25">
      <c r="A1632" t="s">
        <v>2384</v>
      </c>
      <c r="B1632" t="s">
        <v>1026</v>
      </c>
      <c r="C1632" t="s">
        <v>113</v>
      </c>
      <c r="D1632">
        <v>1</v>
      </c>
      <c r="E1632" t="s">
        <v>2042</v>
      </c>
      <c r="F1632" t="s">
        <v>2969</v>
      </c>
    </row>
    <row r="1633" spans="1:6" x14ac:dyDescent="0.25">
      <c r="A1633" t="s">
        <v>2384</v>
      </c>
      <c r="B1633" t="s">
        <v>1026</v>
      </c>
      <c r="C1633" t="s">
        <v>113</v>
      </c>
      <c r="D1633">
        <v>2</v>
      </c>
      <c r="E1633" t="s">
        <v>1647</v>
      </c>
      <c r="F1633" t="s">
        <v>2969</v>
      </c>
    </row>
    <row r="1634" spans="1:6" x14ac:dyDescent="0.25">
      <c r="A1634" t="s">
        <v>2384</v>
      </c>
      <c r="B1634" t="s">
        <v>1026</v>
      </c>
      <c r="C1634" t="s">
        <v>113</v>
      </c>
      <c r="D1634">
        <v>3</v>
      </c>
      <c r="E1634" t="s">
        <v>55</v>
      </c>
      <c r="F1634" t="s">
        <v>2969</v>
      </c>
    </row>
    <row r="1635" spans="1:6" x14ac:dyDescent="0.25">
      <c r="A1635" t="s">
        <v>2385</v>
      </c>
      <c r="B1635" t="s">
        <v>1027</v>
      </c>
      <c r="C1635" t="s">
        <v>113</v>
      </c>
      <c r="D1635">
        <v>1</v>
      </c>
      <c r="E1635" t="s">
        <v>38</v>
      </c>
      <c r="F1635" t="s">
        <v>2969</v>
      </c>
    </row>
    <row r="1636" spans="1:6" x14ac:dyDescent="0.25">
      <c r="A1636" t="s">
        <v>2385</v>
      </c>
      <c r="B1636" t="s">
        <v>1027</v>
      </c>
      <c r="C1636" t="s">
        <v>113</v>
      </c>
      <c r="D1636">
        <v>2</v>
      </c>
      <c r="E1636" t="s">
        <v>1689</v>
      </c>
      <c r="F1636" t="s">
        <v>2969</v>
      </c>
    </row>
    <row r="1637" spans="1:6" x14ac:dyDescent="0.25">
      <c r="A1637" t="s">
        <v>2385</v>
      </c>
      <c r="B1637" t="s">
        <v>1027</v>
      </c>
      <c r="C1637" t="s">
        <v>113</v>
      </c>
      <c r="D1637">
        <v>3</v>
      </c>
      <c r="E1637" t="s">
        <v>1697</v>
      </c>
      <c r="F1637" t="s">
        <v>2969</v>
      </c>
    </row>
    <row r="1638" spans="1:6" x14ac:dyDescent="0.25">
      <c r="A1638" t="s">
        <v>2386</v>
      </c>
      <c r="B1638" t="s">
        <v>1028</v>
      </c>
      <c r="C1638" t="s">
        <v>46</v>
      </c>
      <c r="D1638">
        <v>1</v>
      </c>
      <c r="E1638" t="s">
        <v>1719</v>
      </c>
      <c r="F1638" t="s">
        <v>2969</v>
      </c>
    </row>
    <row r="1639" spans="1:6" x14ac:dyDescent="0.25">
      <c r="A1639" t="s">
        <v>2386</v>
      </c>
      <c r="B1639" t="s">
        <v>1028</v>
      </c>
      <c r="C1639" t="s">
        <v>46</v>
      </c>
      <c r="D1639">
        <v>2</v>
      </c>
      <c r="E1639" t="s">
        <v>1629</v>
      </c>
      <c r="F1639" t="s">
        <v>2969</v>
      </c>
    </row>
    <row r="1640" spans="1:6" x14ac:dyDescent="0.25">
      <c r="A1640" t="s">
        <v>2386</v>
      </c>
      <c r="B1640" t="s">
        <v>1028</v>
      </c>
      <c r="C1640" t="s">
        <v>46</v>
      </c>
      <c r="D1640">
        <v>3</v>
      </c>
      <c r="E1640" t="s">
        <v>1621</v>
      </c>
      <c r="F1640" t="s">
        <v>2969</v>
      </c>
    </row>
    <row r="1641" spans="1:6" x14ac:dyDescent="0.25">
      <c r="A1641" t="s">
        <v>2387</v>
      </c>
      <c r="B1641" t="s">
        <v>1029</v>
      </c>
      <c r="C1641" t="s">
        <v>132</v>
      </c>
      <c r="D1641">
        <v>1</v>
      </c>
      <c r="E1641" t="s">
        <v>1760</v>
      </c>
      <c r="F1641" t="s">
        <v>2969</v>
      </c>
    </row>
    <row r="1642" spans="1:6" x14ac:dyDescent="0.25">
      <c r="A1642" t="s">
        <v>2387</v>
      </c>
      <c r="B1642" t="s">
        <v>1029</v>
      </c>
      <c r="C1642" t="s">
        <v>132</v>
      </c>
      <c r="D1642">
        <v>2</v>
      </c>
      <c r="E1642" t="s">
        <v>2038</v>
      </c>
      <c r="F1642" t="s">
        <v>2969</v>
      </c>
    </row>
    <row r="1643" spans="1:6" x14ac:dyDescent="0.25">
      <c r="A1643" t="s">
        <v>2387</v>
      </c>
      <c r="B1643" t="s">
        <v>1029</v>
      </c>
      <c r="C1643" t="s">
        <v>132</v>
      </c>
      <c r="D1643">
        <v>3</v>
      </c>
      <c r="E1643" t="s">
        <v>2130</v>
      </c>
      <c r="F1643" t="s">
        <v>2969</v>
      </c>
    </row>
    <row r="1644" spans="1:6" x14ac:dyDescent="0.25">
      <c r="A1644" t="s">
        <v>2387</v>
      </c>
      <c r="B1644" t="s">
        <v>1029</v>
      </c>
      <c r="C1644" t="s">
        <v>132</v>
      </c>
      <c r="D1644">
        <v>4</v>
      </c>
      <c r="E1644" t="s">
        <v>1904</v>
      </c>
      <c r="F1644" t="s">
        <v>2969</v>
      </c>
    </row>
    <row r="1645" spans="1:6" x14ac:dyDescent="0.25">
      <c r="A1645" t="s">
        <v>2388</v>
      </c>
      <c r="B1645" t="s">
        <v>1030</v>
      </c>
      <c r="C1645" t="s">
        <v>43</v>
      </c>
      <c r="D1645">
        <v>1</v>
      </c>
      <c r="E1645" t="s">
        <v>1663</v>
      </c>
      <c r="F1645" t="s">
        <v>2969</v>
      </c>
    </row>
    <row r="1646" spans="1:6" x14ac:dyDescent="0.25">
      <c r="A1646" t="s">
        <v>2388</v>
      </c>
      <c r="B1646" t="s">
        <v>1030</v>
      </c>
      <c r="C1646" t="s">
        <v>43</v>
      </c>
      <c r="D1646">
        <v>2</v>
      </c>
      <c r="E1646" t="s">
        <v>120</v>
      </c>
      <c r="F1646" t="s">
        <v>2969</v>
      </c>
    </row>
    <row r="1647" spans="1:6" x14ac:dyDescent="0.25">
      <c r="A1647" t="s">
        <v>2388</v>
      </c>
      <c r="B1647" t="s">
        <v>1030</v>
      </c>
      <c r="C1647" t="s">
        <v>43</v>
      </c>
      <c r="D1647">
        <v>3</v>
      </c>
      <c r="E1647" t="s">
        <v>1833</v>
      </c>
      <c r="F1647" t="s">
        <v>2969</v>
      </c>
    </row>
    <row r="1648" spans="1:6" x14ac:dyDescent="0.25">
      <c r="A1648" t="s">
        <v>2388</v>
      </c>
      <c r="B1648" t="s">
        <v>1030</v>
      </c>
      <c r="C1648" t="s">
        <v>43</v>
      </c>
      <c r="D1648">
        <v>4</v>
      </c>
      <c r="E1648" t="s">
        <v>1649</v>
      </c>
      <c r="F1648" t="s">
        <v>2969</v>
      </c>
    </row>
    <row r="1649" spans="1:6" x14ac:dyDescent="0.25">
      <c r="A1649" t="s">
        <v>2388</v>
      </c>
      <c r="B1649" t="s">
        <v>1030</v>
      </c>
      <c r="C1649" t="s">
        <v>43</v>
      </c>
      <c r="D1649">
        <v>5</v>
      </c>
      <c r="E1649" t="s">
        <v>1697</v>
      </c>
      <c r="F1649" t="s">
        <v>2969</v>
      </c>
    </row>
    <row r="1650" spans="1:6" x14ac:dyDescent="0.25">
      <c r="A1650" t="s">
        <v>2388</v>
      </c>
      <c r="B1650" t="s">
        <v>1030</v>
      </c>
      <c r="C1650" t="s">
        <v>43</v>
      </c>
      <c r="D1650">
        <v>6</v>
      </c>
      <c r="E1650" t="s">
        <v>1707</v>
      </c>
      <c r="F1650" t="s">
        <v>2969</v>
      </c>
    </row>
    <row r="1651" spans="1:6" x14ac:dyDescent="0.25">
      <c r="A1651" t="s">
        <v>2388</v>
      </c>
      <c r="B1651" t="s">
        <v>1030</v>
      </c>
      <c r="C1651" t="s">
        <v>43</v>
      </c>
      <c r="D1651">
        <v>7</v>
      </c>
      <c r="E1651" t="s">
        <v>30</v>
      </c>
      <c r="F1651" t="s">
        <v>1692</v>
      </c>
    </row>
    <row r="1652" spans="1:6" x14ac:dyDescent="0.25">
      <c r="A1652" t="s">
        <v>2389</v>
      </c>
      <c r="B1652" t="s">
        <v>1031</v>
      </c>
      <c r="C1652" t="s">
        <v>134</v>
      </c>
      <c r="D1652">
        <v>1</v>
      </c>
      <c r="E1652" t="s">
        <v>2038</v>
      </c>
      <c r="F1652" t="s">
        <v>2969</v>
      </c>
    </row>
    <row r="1653" spans="1:6" x14ac:dyDescent="0.25">
      <c r="A1653" t="s">
        <v>2390</v>
      </c>
      <c r="B1653" t="s">
        <v>1033</v>
      </c>
      <c r="C1653" t="s">
        <v>31</v>
      </c>
      <c r="D1653">
        <v>1</v>
      </c>
      <c r="E1653" t="s">
        <v>2081</v>
      </c>
      <c r="F1653" t="s">
        <v>2969</v>
      </c>
    </row>
    <row r="1654" spans="1:6" x14ac:dyDescent="0.25">
      <c r="A1654" t="s">
        <v>2390</v>
      </c>
      <c r="B1654" t="s">
        <v>1033</v>
      </c>
      <c r="C1654" t="s">
        <v>31</v>
      </c>
      <c r="D1654">
        <v>2</v>
      </c>
      <c r="E1654" t="s">
        <v>1651</v>
      </c>
      <c r="F1654" t="s">
        <v>2969</v>
      </c>
    </row>
    <row r="1655" spans="1:6" x14ac:dyDescent="0.25">
      <c r="A1655" t="s">
        <v>2391</v>
      </c>
      <c r="B1655" t="s">
        <v>1034</v>
      </c>
      <c r="C1655" t="s">
        <v>69</v>
      </c>
      <c r="D1655">
        <v>1</v>
      </c>
      <c r="E1655" t="s">
        <v>1711</v>
      </c>
      <c r="F1655" t="s">
        <v>2969</v>
      </c>
    </row>
    <row r="1656" spans="1:6" x14ac:dyDescent="0.25">
      <c r="A1656" t="s">
        <v>2392</v>
      </c>
      <c r="B1656" t="s">
        <v>1035</v>
      </c>
      <c r="C1656" t="s">
        <v>123</v>
      </c>
      <c r="D1656">
        <v>1</v>
      </c>
      <c r="E1656" t="s">
        <v>96</v>
      </c>
      <c r="F1656" t="s">
        <v>2969</v>
      </c>
    </row>
    <row r="1657" spans="1:6" x14ac:dyDescent="0.25">
      <c r="A1657" t="s">
        <v>2392</v>
      </c>
      <c r="B1657" t="s">
        <v>1035</v>
      </c>
      <c r="C1657" t="s">
        <v>123</v>
      </c>
      <c r="D1657">
        <v>2</v>
      </c>
      <c r="E1657" t="s">
        <v>1953</v>
      </c>
      <c r="F1657" t="s">
        <v>2969</v>
      </c>
    </row>
    <row r="1658" spans="1:6" x14ac:dyDescent="0.25">
      <c r="A1658" t="s">
        <v>2392</v>
      </c>
      <c r="B1658" t="s">
        <v>1035</v>
      </c>
      <c r="C1658" t="s">
        <v>123</v>
      </c>
      <c r="D1658">
        <v>3</v>
      </c>
      <c r="E1658" t="s">
        <v>1960</v>
      </c>
      <c r="F1658" t="s">
        <v>2969</v>
      </c>
    </row>
    <row r="1659" spans="1:6" x14ac:dyDescent="0.25">
      <c r="A1659" t="s">
        <v>2393</v>
      </c>
      <c r="B1659" t="s">
        <v>1036</v>
      </c>
      <c r="C1659" t="s">
        <v>37</v>
      </c>
      <c r="D1659">
        <v>1</v>
      </c>
      <c r="E1659" t="s">
        <v>1687</v>
      </c>
      <c r="F1659" t="s">
        <v>2969</v>
      </c>
    </row>
    <row r="1660" spans="1:6" x14ac:dyDescent="0.25">
      <c r="A1660" t="s">
        <v>2394</v>
      </c>
      <c r="B1660" t="s">
        <v>1037</v>
      </c>
      <c r="C1660" t="s">
        <v>65</v>
      </c>
      <c r="D1660">
        <v>1</v>
      </c>
      <c r="E1660" t="s">
        <v>124</v>
      </c>
      <c r="F1660" t="s">
        <v>2969</v>
      </c>
    </row>
    <row r="1661" spans="1:6" x14ac:dyDescent="0.25">
      <c r="A1661" t="s">
        <v>2395</v>
      </c>
      <c r="B1661" t="s">
        <v>1038</v>
      </c>
      <c r="C1661" t="s">
        <v>116</v>
      </c>
      <c r="D1661">
        <v>1</v>
      </c>
      <c r="E1661" t="s">
        <v>1699</v>
      </c>
      <c r="F1661" t="s">
        <v>2969</v>
      </c>
    </row>
    <row r="1662" spans="1:6" x14ac:dyDescent="0.25">
      <c r="A1662" t="s">
        <v>2395</v>
      </c>
      <c r="B1662" t="s">
        <v>1038</v>
      </c>
      <c r="C1662" t="s">
        <v>116</v>
      </c>
      <c r="D1662">
        <v>2</v>
      </c>
      <c r="E1662" t="s">
        <v>1647</v>
      </c>
      <c r="F1662" t="s">
        <v>2969</v>
      </c>
    </row>
    <row r="1663" spans="1:6" x14ac:dyDescent="0.25">
      <c r="A1663" t="s">
        <v>2395</v>
      </c>
      <c r="B1663" t="s">
        <v>1038</v>
      </c>
      <c r="C1663" t="s">
        <v>116</v>
      </c>
      <c r="D1663">
        <v>3</v>
      </c>
      <c r="E1663" t="s">
        <v>126</v>
      </c>
      <c r="F1663" t="s">
        <v>2969</v>
      </c>
    </row>
    <row r="1664" spans="1:6" x14ac:dyDescent="0.25">
      <c r="A1664" t="s">
        <v>2396</v>
      </c>
      <c r="B1664" t="s">
        <v>1039</v>
      </c>
      <c r="C1664" t="s">
        <v>90</v>
      </c>
      <c r="D1664">
        <v>1</v>
      </c>
      <c r="E1664" t="s">
        <v>1758</v>
      </c>
      <c r="F1664" t="s">
        <v>2969</v>
      </c>
    </row>
    <row r="1665" spans="1:6" x14ac:dyDescent="0.25">
      <c r="A1665" t="s">
        <v>2397</v>
      </c>
      <c r="B1665" t="s">
        <v>1040</v>
      </c>
      <c r="C1665" t="s">
        <v>118</v>
      </c>
      <c r="D1665">
        <v>1</v>
      </c>
      <c r="E1665" t="s">
        <v>1787</v>
      </c>
      <c r="F1665" t="s">
        <v>2969</v>
      </c>
    </row>
    <row r="1666" spans="1:6" x14ac:dyDescent="0.25">
      <c r="A1666" t="s">
        <v>2398</v>
      </c>
      <c r="B1666" t="s">
        <v>1041</v>
      </c>
      <c r="C1666" t="s">
        <v>27</v>
      </c>
      <c r="D1666">
        <v>1</v>
      </c>
      <c r="E1666" t="s">
        <v>1809</v>
      </c>
      <c r="F1666" t="s">
        <v>2969</v>
      </c>
    </row>
    <row r="1667" spans="1:6" x14ac:dyDescent="0.25">
      <c r="A1667" t="s">
        <v>2398</v>
      </c>
      <c r="B1667" t="s">
        <v>1041</v>
      </c>
      <c r="C1667" t="s">
        <v>27</v>
      </c>
      <c r="D1667">
        <v>2</v>
      </c>
      <c r="E1667" t="s">
        <v>1704</v>
      </c>
      <c r="F1667" t="s">
        <v>2969</v>
      </c>
    </row>
    <row r="1668" spans="1:6" x14ac:dyDescent="0.25">
      <c r="A1668" t="s">
        <v>2398</v>
      </c>
      <c r="B1668" t="s">
        <v>1041</v>
      </c>
      <c r="C1668" t="s">
        <v>27</v>
      </c>
      <c r="D1668">
        <v>3</v>
      </c>
      <c r="E1668" t="s">
        <v>1739</v>
      </c>
      <c r="F1668" t="s">
        <v>2969</v>
      </c>
    </row>
    <row r="1669" spans="1:6" x14ac:dyDescent="0.25">
      <c r="A1669" t="s">
        <v>2399</v>
      </c>
      <c r="B1669" t="s">
        <v>1042</v>
      </c>
      <c r="C1669" t="s">
        <v>132</v>
      </c>
      <c r="D1669">
        <v>1</v>
      </c>
      <c r="E1669" t="s">
        <v>36</v>
      </c>
      <c r="F1669" t="s">
        <v>2969</v>
      </c>
    </row>
    <row r="1670" spans="1:6" x14ac:dyDescent="0.25">
      <c r="A1670" t="s">
        <v>2399</v>
      </c>
      <c r="B1670" t="s">
        <v>1042</v>
      </c>
      <c r="C1670" t="s">
        <v>132</v>
      </c>
      <c r="D1670">
        <v>2</v>
      </c>
      <c r="E1670" t="s">
        <v>70</v>
      </c>
      <c r="F1670" t="s">
        <v>2969</v>
      </c>
    </row>
    <row r="1671" spans="1:6" x14ac:dyDescent="0.25">
      <c r="A1671" t="s">
        <v>2399</v>
      </c>
      <c r="B1671" t="s">
        <v>1042</v>
      </c>
      <c r="C1671" t="s">
        <v>132</v>
      </c>
      <c r="D1671">
        <v>3</v>
      </c>
      <c r="E1671" t="s">
        <v>1661</v>
      </c>
      <c r="F1671" t="s">
        <v>2969</v>
      </c>
    </row>
    <row r="1672" spans="1:6" x14ac:dyDescent="0.25">
      <c r="A1672" t="s">
        <v>2400</v>
      </c>
      <c r="B1672" t="s">
        <v>1043</v>
      </c>
      <c r="C1672" t="s">
        <v>76</v>
      </c>
      <c r="D1672">
        <v>1</v>
      </c>
      <c r="E1672" t="s">
        <v>1815</v>
      </c>
      <c r="F1672" t="s">
        <v>2969</v>
      </c>
    </row>
    <row r="1673" spans="1:6" x14ac:dyDescent="0.25">
      <c r="A1673" t="s">
        <v>2400</v>
      </c>
      <c r="B1673" t="s">
        <v>1043</v>
      </c>
      <c r="C1673" t="s">
        <v>76</v>
      </c>
      <c r="D1673">
        <v>2</v>
      </c>
      <c r="E1673" t="s">
        <v>1678</v>
      </c>
      <c r="F1673" t="s">
        <v>2969</v>
      </c>
    </row>
    <row r="1674" spans="1:6" x14ac:dyDescent="0.25">
      <c r="A1674" t="s">
        <v>2400</v>
      </c>
      <c r="B1674" t="s">
        <v>1043</v>
      </c>
      <c r="C1674" t="s">
        <v>76</v>
      </c>
      <c r="D1674">
        <v>3</v>
      </c>
      <c r="E1674" t="s">
        <v>1820</v>
      </c>
      <c r="F1674" t="s">
        <v>2969</v>
      </c>
    </row>
    <row r="1675" spans="1:6" x14ac:dyDescent="0.25">
      <c r="A1675" t="s">
        <v>2401</v>
      </c>
      <c r="B1675" t="s">
        <v>1044</v>
      </c>
      <c r="C1675" t="s">
        <v>85</v>
      </c>
      <c r="D1675">
        <v>1</v>
      </c>
      <c r="E1675" t="s">
        <v>124</v>
      </c>
      <c r="F1675" t="s">
        <v>2969</v>
      </c>
    </row>
    <row r="1676" spans="1:6" x14ac:dyDescent="0.25">
      <c r="A1676" t="s">
        <v>2401</v>
      </c>
      <c r="B1676" t="s">
        <v>1044</v>
      </c>
      <c r="C1676" t="s">
        <v>85</v>
      </c>
      <c r="D1676">
        <v>2</v>
      </c>
      <c r="E1676" t="s">
        <v>75</v>
      </c>
      <c r="F1676" t="s">
        <v>2969</v>
      </c>
    </row>
    <row r="1677" spans="1:6" x14ac:dyDescent="0.25">
      <c r="A1677" t="s">
        <v>2402</v>
      </c>
      <c r="B1677" t="s">
        <v>1045</v>
      </c>
      <c r="C1677" t="s">
        <v>31</v>
      </c>
      <c r="D1677">
        <v>1</v>
      </c>
      <c r="E1677" t="s">
        <v>109</v>
      </c>
      <c r="F1677" t="s">
        <v>2969</v>
      </c>
    </row>
    <row r="1678" spans="1:6" x14ac:dyDescent="0.25">
      <c r="A1678" t="s">
        <v>2403</v>
      </c>
      <c r="B1678" t="s">
        <v>1046</v>
      </c>
      <c r="C1678" t="s">
        <v>136</v>
      </c>
      <c r="D1678">
        <v>1</v>
      </c>
      <c r="E1678" t="s">
        <v>82</v>
      </c>
      <c r="F1678" t="s">
        <v>2969</v>
      </c>
    </row>
    <row r="1679" spans="1:6" x14ac:dyDescent="0.25">
      <c r="A1679" t="s">
        <v>2404</v>
      </c>
      <c r="B1679" t="s">
        <v>1047</v>
      </c>
      <c r="C1679" t="s">
        <v>34</v>
      </c>
      <c r="D1679">
        <v>1</v>
      </c>
      <c r="E1679" t="s">
        <v>1655</v>
      </c>
      <c r="F1679" t="s">
        <v>2969</v>
      </c>
    </row>
    <row r="1680" spans="1:6" x14ac:dyDescent="0.25">
      <c r="A1680" t="s">
        <v>2404</v>
      </c>
      <c r="B1680" t="s">
        <v>1047</v>
      </c>
      <c r="C1680" t="s">
        <v>34</v>
      </c>
      <c r="D1680">
        <v>2</v>
      </c>
      <c r="E1680" t="s">
        <v>1709</v>
      </c>
      <c r="F1680" t="s">
        <v>2969</v>
      </c>
    </row>
    <row r="1681" spans="1:6" x14ac:dyDescent="0.25">
      <c r="A1681" t="s">
        <v>2404</v>
      </c>
      <c r="B1681" t="s">
        <v>1047</v>
      </c>
      <c r="C1681" t="s">
        <v>34</v>
      </c>
      <c r="D1681">
        <v>3</v>
      </c>
      <c r="E1681" t="s">
        <v>1741</v>
      </c>
      <c r="F1681" t="s">
        <v>2969</v>
      </c>
    </row>
    <row r="1682" spans="1:6" x14ac:dyDescent="0.25">
      <c r="A1682" t="s">
        <v>2404</v>
      </c>
      <c r="B1682" t="s">
        <v>1047</v>
      </c>
      <c r="C1682" t="s">
        <v>34</v>
      </c>
      <c r="D1682">
        <v>4</v>
      </c>
      <c r="E1682" t="s">
        <v>1728</v>
      </c>
      <c r="F1682" t="s">
        <v>2969</v>
      </c>
    </row>
    <row r="1683" spans="1:6" x14ac:dyDescent="0.25">
      <c r="A1683" t="s">
        <v>2405</v>
      </c>
      <c r="B1683" t="s">
        <v>1048</v>
      </c>
      <c r="C1683" t="s">
        <v>87</v>
      </c>
      <c r="D1683">
        <v>1</v>
      </c>
      <c r="E1683" t="s">
        <v>1857</v>
      </c>
      <c r="F1683" t="s">
        <v>2969</v>
      </c>
    </row>
    <row r="1684" spans="1:6" x14ac:dyDescent="0.25">
      <c r="A1684" t="s">
        <v>2405</v>
      </c>
      <c r="B1684" t="s">
        <v>1048</v>
      </c>
      <c r="C1684" t="s">
        <v>87</v>
      </c>
      <c r="D1684">
        <v>2</v>
      </c>
      <c r="E1684" t="s">
        <v>1726</v>
      </c>
      <c r="F1684" t="s">
        <v>2969</v>
      </c>
    </row>
    <row r="1685" spans="1:6" x14ac:dyDescent="0.25">
      <c r="A1685" t="s">
        <v>2406</v>
      </c>
      <c r="B1685" t="s">
        <v>1049</v>
      </c>
      <c r="C1685" t="s">
        <v>43</v>
      </c>
      <c r="D1685">
        <v>1</v>
      </c>
      <c r="E1685" t="s">
        <v>1724</v>
      </c>
      <c r="F1685" t="s">
        <v>2969</v>
      </c>
    </row>
    <row r="1686" spans="1:6" x14ac:dyDescent="0.25">
      <c r="A1686" t="s">
        <v>2406</v>
      </c>
      <c r="B1686" t="s">
        <v>1049</v>
      </c>
      <c r="C1686" t="s">
        <v>43</v>
      </c>
      <c r="D1686">
        <v>2</v>
      </c>
      <c r="E1686" t="s">
        <v>1673</v>
      </c>
      <c r="F1686" t="s">
        <v>2969</v>
      </c>
    </row>
    <row r="1687" spans="1:6" x14ac:dyDescent="0.25">
      <c r="A1687" t="s">
        <v>2406</v>
      </c>
      <c r="B1687" t="s">
        <v>1049</v>
      </c>
      <c r="C1687" t="s">
        <v>43</v>
      </c>
      <c r="D1687">
        <v>3</v>
      </c>
      <c r="E1687" t="s">
        <v>1850</v>
      </c>
      <c r="F1687" t="s">
        <v>2969</v>
      </c>
    </row>
    <row r="1688" spans="1:6" x14ac:dyDescent="0.25">
      <c r="A1688" t="s">
        <v>2407</v>
      </c>
      <c r="B1688" t="s">
        <v>1050</v>
      </c>
      <c r="C1688" t="s">
        <v>118</v>
      </c>
      <c r="D1688">
        <v>1</v>
      </c>
      <c r="E1688" t="s">
        <v>1707</v>
      </c>
      <c r="F1688" t="s">
        <v>2969</v>
      </c>
    </row>
    <row r="1689" spans="1:6" x14ac:dyDescent="0.25">
      <c r="A1689" t="s">
        <v>2407</v>
      </c>
      <c r="B1689" t="s">
        <v>1050</v>
      </c>
      <c r="C1689" t="s">
        <v>118</v>
      </c>
      <c r="D1689">
        <v>2</v>
      </c>
      <c r="E1689" t="s">
        <v>131</v>
      </c>
      <c r="F1689" t="s">
        <v>2969</v>
      </c>
    </row>
    <row r="1690" spans="1:6" x14ac:dyDescent="0.25">
      <c r="A1690" t="s">
        <v>2408</v>
      </c>
      <c r="B1690" t="s">
        <v>1051</v>
      </c>
      <c r="C1690" t="s">
        <v>8</v>
      </c>
      <c r="D1690">
        <v>1</v>
      </c>
      <c r="E1690" t="s">
        <v>2130</v>
      </c>
      <c r="F1690" t="s">
        <v>2969</v>
      </c>
    </row>
    <row r="1691" spans="1:6" x14ac:dyDescent="0.25">
      <c r="A1691" t="s">
        <v>2408</v>
      </c>
      <c r="B1691" t="s">
        <v>1051</v>
      </c>
      <c r="C1691" t="s">
        <v>8</v>
      </c>
      <c r="D1691">
        <v>2</v>
      </c>
      <c r="E1691" t="s">
        <v>2094</v>
      </c>
      <c r="F1691" t="s">
        <v>2969</v>
      </c>
    </row>
    <row r="1692" spans="1:6" x14ac:dyDescent="0.25">
      <c r="A1692" t="s">
        <v>2409</v>
      </c>
      <c r="B1692" t="s">
        <v>1052</v>
      </c>
      <c r="C1692" t="s">
        <v>112</v>
      </c>
      <c r="D1692">
        <v>1</v>
      </c>
      <c r="E1692" t="s">
        <v>1809</v>
      </c>
      <c r="F1692" t="s">
        <v>2969</v>
      </c>
    </row>
    <row r="1693" spans="1:6" x14ac:dyDescent="0.25">
      <c r="A1693" t="s">
        <v>2409</v>
      </c>
      <c r="B1693" t="s">
        <v>1052</v>
      </c>
      <c r="C1693" t="s">
        <v>112</v>
      </c>
      <c r="D1693">
        <v>2</v>
      </c>
      <c r="E1693" t="s">
        <v>1785</v>
      </c>
      <c r="F1693" t="s">
        <v>2969</v>
      </c>
    </row>
    <row r="1694" spans="1:6" x14ac:dyDescent="0.25">
      <c r="A1694" t="s">
        <v>2409</v>
      </c>
      <c r="B1694" t="s">
        <v>1052</v>
      </c>
      <c r="C1694" t="s">
        <v>112</v>
      </c>
      <c r="D1694">
        <v>3</v>
      </c>
      <c r="E1694" t="s">
        <v>1673</v>
      </c>
      <c r="F1694" t="s">
        <v>2969</v>
      </c>
    </row>
    <row r="1695" spans="1:6" x14ac:dyDescent="0.25">
      <c r="A1695" t="s">
        <v>2410</v>
      </c>
      <c r="B1695" t="s">
        <v>1053</v>
      </c>
      <c r="C1695" t="s">
        <v>103</v>
      </c>
      <c r="D1695">
        <v>1</v>
      </c>
      <c r="E1695" t="s">
        <v>78</v>
      </c>
      <c r="F1695" t="s">
        <v>2969</v>
      </c>
    </row>
    <row r="1696" spans="1:6" x14ac:dyDescent="0.25">
      <c r="A1696" t="s">
        <v>2411</v>
      </c>
      <c r="B1696" t="s">
        <v>1054</v>
      </c>
      <c r="C1696" t="s">
        <v>123</v>
      </c>
      <c r="D1696">
        <v>1</v>
      </c>
      <c r="E1696" t="s">
        <v>1639</v>
      </c>
      <c r="F1696" t="s">
        <v>2969</v>
      </c>
    </row>
    <row r="1697" spans="1:6" x14ac:dyDescent="0.25">
      <c r="A1697" t="s">
        <v>2412</v>
      </c>
      <c r="B1697" t="s">
        <v>1055</v>
      </c>
      <c r="C1697" t="s">
        <v>132</v>
      </c>
      <c r="D1697">
        <v>1</v>
      </c>
      <c r="E1697" t="s">
        <v>1687</v>
      </c>
      <c r="F1697" t="s">
        <v>2969</v>
      </c>
    </row>
    <row r="1698" spans="1:6" x14ac:dyDescent="0.25">
      <c r="A1698" t="s">
        <v>2413</v>
      </c>
      <c r="B1698" t="s">
        <v>1056</v>
      </c>
      <c r="C1698" t="s">
        <v>87</v>
      </c>
      <c r="D1698">
        <v>1</v>
      </c>
      <c r="E1698" t="s">
        <v>1624</v>
      </c>
      <c r="F1698" t="s">
        <v>2969</v>
      </c>
    </row>
    <row r="1699" spans="1:6" x14ac:dyDescent="0.25">
      <c r="A1699" t="s">
        <v>2413</v>
      </c>
      <c r="B1699" t="s">
        <v>1056</v>
      </c>
      <c r="C1699" t="s">
        <v>87</v>
      </c>
      <c r="D1699">
        <v>2</v>
      </c>
      <c r="E1699" t="s">
        <v>1960</v>
      </c>
      <c r="F1699" t="s">
        <v>2969</v>
      </c>
    </row>
    <row r="1700" spans="1:6" x14ac:dyDescent="0.25">
      <c r="A1700" t="s">
        <v>2413</v>
      </c>
      <c r="B1700" t="s">
        <v>1056</v>
      </c>
      <c r="C1700" t="s">
        <v>87</v>
      </c>
      <c r="D1700">
        <v>3</v>
      </c>
      <c r="E1700" t="s">
        <v>1934</v>
      </c>
      <c r="F1700" t="s">
        <v>2969</v>
      </c>
    </row>
    <row r="1701" spans="1:6" x14ac:dyDescent="0.25">
      <c r="A1701" t="s">
        <v>2414</v>
      </c>
      <c r="B1701" t="s">
        <v>1057</v>
      </c>
      <c r="C1701" t="s">
        <v>90</v>
      </c>
      <c r="D1701">
        <v>1</v>
      </c>
      <c r="E1701" t="s">
        <v>1857</v>
      </c>
      <c r="F1701" t="s">
        <v>2969</v>
      </c>
    </row>
    <row r="1702" spans="1:6" x14ac:dyDescent="0.25">
      <c r="A1702" t="s">
        <v>2414</v>
      </c>
      <c r="B1702" t="s">
        <v>1057</v>
      </c>
      <c r="C1702" t="s">
        <v>90</v>
      </c>
      <c r="D1702">
        <v>2</v>
      </c>
      <c r="E1702" t="s">
        <v>1801</v>
      </c>
      <c r="F1702" t="s">
        <v>2969</v>
      </c>
    </row>
    <row r="1703" spans="1:6" x14ac:dyDescent="0.25">
      <c r="A1703" t="s">
        <v>2415</v>
      </c>
      <c r="B1703" t="s">
        <v>1058</v>
      </c>
      <c r="C1703" t="s">
        <v>34</v>
      </c>
      <c r="D1703">
        <v>1</v>
      </c>
      <c r="E1703" t="s">
        <v>2046</v>
      </c>
      <c r="F1703" t="s">
        <v>2969</v>
      </c>
    </row>
    <row r="1704" spans="1:6" x14ac:dyDescent="0.25">
      <c r="A1704" t="s">
        <v>2416</v>
      </c>
      <c r="B1704" t="s">
        <v>1060</v>
      </c>
      <c r="C1704" t="s">
        <v>46</v>
      </c>
      <c r="D1704">
        <v>1</v>
      </c>
      <c r="E1704" t="s">
        <v>2169</v>
      </c>
      <c r="F1704" t="s">
        <v>2969</v>
      </c>
    </row>
    <row r="1705" spans="1:6" x14ac:dyDescent="0.25">
      <c r="A1705" t="s">
        <v>2416</v>
      </c>
      <c r="B1705" t="s">
        <v>1060</v>
      </c>
      <c r="C1705" t="s">
        <v>46</v>
      </c>
      <c r="D1705">
        <v>2</v>
      </c>
      <c r="E1705" t="s">
        <v>2003</v>
      </c>
      <c r="F1705" t="s">
        <v>2969</v>
      </c>
    </row>
    <row r="1706" spans="1:6" x14ac:dyDescent="0.25">
      <c r="A1706" t="s">
        <v>2417</v>
      </c>
      <c r="B1706" t="s">
        <v>1061</v>
      </c>
      <c r="C1706" t="s">
        <v>34</v>
      </c>
      <c r="D1706">
        <v>1</v>
      </c>
      <c r="E1706" t="s">
        <v>106</v>
      </c>
      <c r="F1706" t="s">
        <v>2969</v>
      </c>
    </row>
    <row r="1707" spans="1:6" x14ac:dyDescent="0.25">
      <c r="A1707" t="s">
        <v>2417</v>
      </c>
      <c r="B1707" t="s">
        <v>1061</v>
      </c>
      <c r="C1707" t="s">
        <v>34</v>
      </c>
      <c r="D1707">
        <v>2</v>
      </c>
      <c r="E1707" t="s">
        <v>1721</v>
      </c>
      <c r="F1707" t="s">
        <v>2969</v>
      </c>
    </row>
    <row r="1708" spans="1:6" x14ac:dyDescent="0.25">
      <c r="A1708" t="s">
        <v>2418</v>
      </c>
      <c r="B1708" t="s">
        <v>1062</v>
      </c>
      <c r="C1708" t="s">
        <v>103</v>
      </c>
      <c r="D1708">
        <v>1</v>
      </c>
      <c r="E1708" t="s">
        <v>1645</v>
      </c>
      <c r="F1708" t="s">
        <v>2969</v>
      </c>
    </row>
    <row r="1709" spans="1:6" x14ac:dyDescent="0.25">
      <c r="A1709" t="s">
        <v>2418</v>
      </c>
      <c r="B1709" t="s">
        <v>1062</v>
      </c>
      <c r="C1709" t="s">
        <v>103</v>
      </c>
      <c r="D1709">
        <v>2</v>
      </c>
      <c r="E1709" t="s">
        <v>1719</v>
      </c>
      <c r="F1709" t="s">
        <v>2969</v>
      </c>
    </row>
    <row r="1710" spans="1:6" x14ac:dyDescent="0.25">
      <c r="A1710" t="s">
        <v>2418</v>
      </c>
      <c r="B1710" t="s">
        <v>1062</v>
      </c>
      <c r="C1710" t="s">
        <v>103</v>
      </c>
      <c r="D1710">
        <v>3</v>
      </c>
      <c r="E1710" t="s">
        <v>1621</v>
      </c>
      <c r="F1710" t="s">
        <v>2969</v>
      </c>
    </row>
    <row r="1711" spans="1:6" x14ac:dyDescent="0.25">
      <c r="A1711" t="s">
        <v>2419</v>
      </c>
      <c r="B1711" t="s">
        <v>1063</v>
      </c>
      <c r="C1711" t="s">
        <v>27</v>
      </c>
      <c r="D1711">
        <v>1</v>
      </c>
      <c r="E1711" t="s">
        <v>2046</v>
      </c>
      <c r="F1711" t="s">
        <v>2969</v>
      </c>
    </row>
    <row r="1712" spans="1:6" x14ac:dyDescent="0.25">
      <c r="A1712" t="s">
        <v>2419</v>
      </c>
      <c r="B1712" t="s">
        <v>1063</v>
      </c>
      <c r="C1712" t="s">
        <v>27</v>
      </c>
      <c r="D1712">
        <v>2</v>
      </c>
      <c r="E1712" t="s">
        <v>2122</v>
      </c>
      <c r="F1712" t="s">
        <v>2969</v>
      </c>
    </row>
    <row r="1713" spans="1:6" x14ac:dyDescent="0.25">
      <c r="A1713" t="s">
        <v>2419</v>
      </c>
      <c r="B1713" t="s">
        <v>1063</v>
      </c>
      <c r="C1713" t="s">
        <v>27</v>
      </c>
      <c r="D1713">
        <v>3</v>
      </c>
      <c r="E1713" t="s">
        <v>1760</v>
      </c>
      <c r="F1713" t="s">
        <v>2969</v>
      </c>
    </row>
    <row r="1714" spans="1:6" x14ac:dyDescent="0.25">
      <c r="A1714" t="s">
        <v>2420</v>
      </c>
      <c r="B1714" t="s">
        <v>1065</v>
      </c>
      <c r="C1714" t="s">
        <v>127</v>
      </c>
      <c r="D1714">
        <v>1</v>
      </c>
      <c r="E1714" t="s">
        <v>1728</v>
      </c>
      <c r="F1714" t="s">
        <v>2969</v>
      </c>
    </row>
    <row r="1715" spans="1:6" x14ac:dyDescent="0.25">
      <c r="A1715" t="s">
        <v>2420</v>
      </c>
      <c r="B1715" t="s">
        <v>1065</v>
      </c>
      <c r="C1715" t="s">
        <v>127</v>
      </c>
      <c r="D1715">
        <v>2</v>
      </c>
      <c r="E1715" t="s">
        <v>1772</v>
      </c>
      <c r="F1715" t="s">
        <v>2969</v>
      </c>
    </row>
    <row r="1716" spans="1:6" x14ac:dyDescent="0.25">
      <c r="A1716" t="s">
        <v>2420</v>
      </c>
      <c r="B1716" t="s">
        <v>1065</v>
      </c>
      <c r="C1716" t="s">
        <v>127</v>
      </c>
      <c r="D1716">
        <v>3</v>
      </c>
      <c r="E1716" t="s">
        <v>78</v>
      </c>
      <c r="F1716" t="s">
        <v>2969</v>
      </c>
    </row>
    <row r="1717" spans="1:6" x14ac:dyDescent="0.25">
      <c r="A1717" t="s">
        <v>2421</v>
      </c>
      <c r="B1717" t="s">
        <v>1066</v>
      </c>
      <c r="C1717" t="s">
        <v>127</v>
      </c>
      <c r="D1717">
        <v>1</v>
      </c>
      <c r="E1717" t="s">
        <v>1678</v>
      </c>
      <c r="F1717" t="s">
        <v>2969</v>
      </c>
    </row>
    <row r="1718" spans="1:6" x14ac:dyDescent="0.25">
      <c r="A1718" t="s">
        <v>2421</v>
      </c>
      <c r="B1718" t="s">
        <v>1066</v>
      </c>
      <c r="C1718" t="s">
        <v>127</v>
      </c>
      <c r="D1718">
        <v>2</v>
      </c>
      <c r="E1718" t="s">
        <v>2088</v>
      </c>
      <c r="F1718" t="s">
        <v>2969</v>
      </c>
    </row>
    <row r="1719" spans="1:6" x14ac:dyDescent="0.25">
      <c r="A1719" t="s">
        <v>2421</v>
      </c>
      <c r="B1719" t="s">
        <v>1066</v>
      </c>
      <c r="C1719" t="s">
        <v>127</v>
      </c>
      <c r="D1719">
        <v>3</v>
      </c>
      <c r="E1719" t="s">
        <v>2456</v>
      </c>
      <c r="F1719" t="s">
        <v>2969</v>
      </c>
    </row>
    <row r="1720" spans="1:6" x14ac:dyDescent="0.25">
      <c r="A1720" t="s">
        <v>2422</v>
      </c>
      <c r="B1720" t="s">
        <v>1067</v>
      </c>
      <c r="C1720" t="s">
        <v>69</v>
      </c>
      <c r="D1720">
        <v>1</v>
      </c>
      <c r="E1720" t="s">
        <v>86</v>
      </c>
      <c r="F1720" t="s">
        <v>2969</v>
      </c>
    </row>
    <row r="1721" spans="1:6" x14ac:dyDescent="0.25">
      <c r="A1721" t="s">
        <v>2422</v>
      </c>
      <c r="B1721" t="s">
        <v>1067</v>
      </c>
      <c r="C1721" t="s">
        <v>69</v>
      </c>
      <c r="D1721">
        <v>2</v>
      </c>
      <c r="E1721" t="s">
        <v>1655</v>
      </c>
      <c r="F1721" t="s">
        <v>2969</v>
      </c>
    </row>
    <row r="1722" spans="1:6" x14ac:dyDescent="0.25">
      <c r="A1722" t="s">
        <v>2422</v>
      </c>
      <c r="B1722" t="s">
        <v>1067</v>
      </c>
      <c r="C1722" t="s">
        <v>69</v>
      </c>
      <c r="D1722">
        <v>3</v>
      </c>
      <c r="E1722" t="s">
        <v>48</v>
      </c>
      <c r="F1722" t="s">
        <v>2969</v>
      </c>
    </row>
    <row r="1723" spans="1:6" x14ac:dyDescent="0.25">
      <c r="A1723" t="s">
        <v>2423</v>
      </c>
      <c r="B1723" t="s">
        <v>1068</v>
      </c>
      <c r="C1723" t="s">
        <v>79</v>
      </c>
      <c r="D1723">
        <v>1</v>
      </c>
      <c r="E1723" t="s">
        <v>1634</v>
      </c>
      <c r="F1723" t="s">
        <v>2969</v>
      </c>
    </row>
    <row r="1724" spans="1:6" x14ac:dyDescent="0.25">
      <c r="A1724" t="s">
        <v>2423</v>
      </c>
      <c r="B1724" t="s">
        <v>1068</v>
      </c>
      <c r="C1724" t="s">
        <v>79</v>
      </c>
      <c r="D1724">
        <v>2</v>
      </c>
      <c r="E1724" t="s">
        <v>1629</v>
      </c>
      <c r="F1724" t="s">
        <v>2969</v>
      </c>
    </row>
    <row r="1725" spans="1:6" x14ac:dyDescent="0.25">
      <c r="A1725" t="s">
        <v>2423</v>
      </c>
      <c r="B1725" t="s">
        <v>1068</v>
      </c>
      <c r="C1725" t="s">
        <v>79</v>
      </c>
      <c r="D1725">
        <v>3</v>
      </c>
      <c r="E1725" t="s">
        <v>1621</v>
      </c>
      <c r="F1725" t="s">
        <v>2969</v>
      </c>
    </row>
    <row r="1726" spans="1:6" x14ac:dyDescent="0.25">
      <c r="A1726" t="s">
        <v>2423</v>
      </c>
      <c r="B1726" t="s">
        <v>1068</v>
      </c>
      <c r="C1726" t="s">
        <v>79</v>
      </c>
      <c r="D1726">
        <v>4</v>
      </c>
      <c r="E1726" t="s">
        <v>1923</v>
      </c>
      <c r="F1726" t="s">
        <v>2969</v>
      </c>
    </row>
    <row r="1727" spans="1:6" x14ac:dyDescent="0.25">
      <c r="A1727" t="s">
        <v>2424</v>
      </c>
      <c r="B1727" t="s">
        <v>1069</v>
      </c>
      <c r="C1727" t="s">
        <v>105</v>
      </c>
      <c r="D1727">
        <v>1</v>
      </c>
      <c r="E1727" t="s">
        <v>86</v>
      </c>
      <c r="F1727" t="s">
        <v>2969</v>
      </c>
    </row>
    <row r="1728" spans="1:6" x14ac:dyDescent="0.25">
      <c r="A1728" t="s">
        <v>2425</v>
      </c>
      <c r="B1728" t="s">
        <v>1070</v>
      </c>
      <c r="C1728" t="s">
        <v>134</v>
      </c>
      <c r="D1728">
        <v>1</v>
      </c>
      <c r="E1728" t="s">
        <v>1651</v>
      </c>
      <c r="F1728" t="s">
        <v>2969</v>
      </c>
    </row>
    <row r="1729" spans="1:6" x14ac:dyDescent="0.25">
      <c r="A1729" t="s">
        <v>2426</v>
      </c>
      <c r="B1729" t="s">
        <v>1071</v>
      </c>
      <c r="C1729" t="s">
        <v>69</v>
      </c>
      <c r="D1729">
        <v>1</v>
      </c>
      <c r="E1729" t="s">
        <v>86</v>
      </c>
      <c r="F1729" t="s">
        <v>2969</v>
      </c>
    </row>
    <row r="1730" spans="1:6" x14ac:dyDescent="0.25">
      <c r="A1730" t="s">
        <v>2426</v>
      </c>
      <c r="B1730" t="s">
        <v>1071</v>
      </c>
      <c r="C1730" t="s">
        <v>69</v>
      </c>
      <c r="D1730">
        <v>2</v>
      </c>
      <c r="E1730" t="s">
        <v>1721</v>
      </c>
      <c r="F1730" t="s">
        <v>2969</v>
      </c>
    </row>
    <row r="1731" spans="1:6" x14ac:dyDescent="0.25">
      <c r="A1731" t="s">
        <v>2427</v>
      </c>
      <c r="B1731" t="s">
        <v>1072</v>
      </c>
      <c r="C1731" t="s">
        <v>103</v>
      </c>
      <c r="D1731">
        <v>1</v>
      </c>
      <c r="E1731" t="s">
        <v>1676</v>
      </c>
      <c r="F1731" t="s">
        <v>2969</v>
      </c>
    </row>
    <row r="1732" spans="1:6" x14ac:dyDescent="0.25">
      <c r="A1732" t="s">
        <v>2428</v>
      </c>
      <c r="B1732" t="s">
        <v>1073</v>
      </c>
      <c r="C1732" t="s">
        <v>52</v>
      </c>
      <c r="D1732">
        <v>1</v>
      </c>
      <c r="E1732" t="s">
        <v>1680</v>
      </c>
      <c r="F1732" t="s">
        <v>2969</v>
      </c>
    </row>
    <row r="1733" spans="1:6" x14ac:dyDescent="0.25">
      <c r="A1733" t="s">
        <v>2428</v>
      </c>
      <c r="B1733" t="s">
        <v>1073</v>
      </c>
      <c r="C1733" t="s">
        <v>52</v>
      </c>
      <c r="D1733">
        <v>2</v>
      </c>
      <c r="E1733" t="s">
        <v>1785</v>
      </c>
      <c r="F1733" t="s">
        <v>2969</v>
      </c>
    </row>
    <row r="1734" spans="1:6" x14ac:dyDescent="0.25">
      <c r="A1734" t="s">
        <v>2429</v>
      </c>
      <c r="B1734" t="s">
        <v>1074</v>
      </c>
      <c r="C1734" t="s">
        <v>136</v>
      </c>
      <c r="D1734">
        <v>1</v>
      </c>
      <c r="E1734" t="s">
        <v>78</v>
      </c>
      <c r="F1734" t="s">
        <v>2969</v>
      </c>
    </row>
    <row r="1735" spans="1:6" x14ac:dyDescent="0.25">
      <c r="A1735" t="s">
        <v>2429</v>
      </c>
      <c r="B1735" t="s">
        <v>1074</v>
      </c>
      <c r="C1735" t="s">
        <v>136</v>
      </c>
      <c r="D1735">
        <v>2</v>
      </c>
      <c r="E1735" t="s">
        <v>1726</v>
      </c>
      <c r="F1735" t="s">
        <v>2969</v>
      </c>
    </row>
    <row r="1736" spans="1:6" x14ac:dyDescent="0.25">
      <c r="A1736" t="s">
        <v>2429</v>
      </c>
      <c r="B1736" t="s">
        <v>1074</v>
      </c>
      <c r="C1736" t="s">
        <v>136</v>
      </c>
      <c r="D1736">
        <v>3</v>
      </c>
      <c r="E1736" t="s">
        <v>111</v>
      </c>
      <c r="F1736" t="s">
        <v>2969</v>
      </c>
    </row>
    <row r="1737" spans="1:6" x14ac:dyDescent="0.25">
      <c r="A1737" t="s">
        <v>2430</v>
      </c>
      <c r="B1737" t="s">
        <v>1075</v>
      </c>
      <c r="C1737" t="s">
        <v>125</v>
      </c>
      <c r="D1737">
        <v>1</v>
      </c>
      <c r="E1737" t="s">
        <v>1713</v>
      </c>
      <c r="F1737" t="s">
        <v>2969</v>
      </c>
    </row>
    <row r="1738" spans="1:6" x14ac:dyDescent="0.25">
      <c r="A1738" t="s">
        <v>2430</v>
      </c>
      <c r="B1738" t="s">
        <v>1075</v>
      </c>
      <c r="C1738" t="s">
        <v>125</v>
      </c>
      <c r="D1738">
        <v>2</v>
      </c>
      <c r="E1738" t="s">
        <v>1701</v>
      </c>
      <c r="F1738" t="s">
        <v>2969</v>
      </c>
    </row>
    <row r="1739" spans="1:6" x14ac:dyDescent="0.25">
      <c r="A1739" t="s">
        <v>2431</v>
      </c>
      <c r="B1739" t="s">
        <v>1076</v>
      </c>
      <c r="C1739" t="s">
        <v>23</v>
      </c>
      <c r="D1739">
        <v>1</v>
      </c>
      <c r="E1739" t="s">
        <v>1627</v>
      </c>
      <c r="F1739" t="s">
        <v>2969</v>
      </c>
    </row>
    <row r="1740" spans="1:6" x14ac:dyDescent="0.25">
      <c r="A1740" t="s">
        <v>2431</v>
      </c>
      <c r="B1740" t="s">
        <v>1076</v>
      </c>
      <c r="C1740" t="s">
        <v>23</v>
      </c>
      <c r="D1740">
        <v>2</v>
      </c>
      <c r="E1740" t="s">
        <v>1649</v>
      </c>
      <c r="F1740" t="s">
        <v>2969</v>
      </c>
    </row>
    <row r="1741" spans="1:6" x14ac:dyDescent="0.25">
      <c r="A1741" t="s">
        <v>2432</v>
      </c>
      <c r="B1741" t="s">
        <v>1077</v>
      </c>
      <c r="C1741" t="s">
        <v>123</v>
      </c>
      <c r="D1741">
        <v>1</v>
      </c>
      <c r="E1741" t="s">
        <v>1960</v>
      </c>
      <c r="F1741" t="s">
        <v>2969</v>
      </c>
    </row>
    <row r="1742" spans="1:6" x14ac:dyDescent="0.25">
      <c r="A1742" t="s">
        <v>2433</v>
      </c>
      <c r="B1742" t="s">
        <v>1078</v>
      </c>
      <c r="C1742" t="s">
        <v>103</v>
      </c>
      <c r="D1742">
        <v>1</v>
      </c>
      <c r="E1742" t="s">
        <v>51</v>
      </c>
      <c r="F1742" t="s">
        <v>2969</v>
      </c>
    </row>
    <row r="1743" spans="1:6" x14ac:dyDescent="0.25">
      <c r="A1743" t="s">
        <v>2433</v>
      </c>
      <c r="B1743" t="s">
        <v>1078</v>
      </c>
      <c r="C1743" t="s">
        <v>103</v>
      </c>
      <c r="D1743">
        <v>2</v>
      </c>
      <c r="E1743" t="s">
        <v>1801</v>
      </c>
      <c r="F1743" t="s">
        <v>2969</v>
      </c>
    </row>
    <row r="1744" spans="1:6" x14ac:dyDescent="0.25">
      <c r="A1744" t="s">
        <v>2433</v>
      </c>
      <c r="B1744" t="s">
        <v>1078</v>
      </c>
      <c r="C1744" t="s">
        <v>103</v>
      </c>
      <c r="D1744">
        <v>3</v>
      </c>
      <c r="E1744" t="s">
        <v>2751</v>
      </c>
      <c r="F1744" t="s">
        <v>2969</v>
      </c>
    </row>
    <row r="1745" spans="1:6" x14ac:dyDescent="0.25">
      <c r="A1745" t="s">
        <v>2433</v>
      </c>
      <c r="B1745" t="s">
        <v>1078</v>
      </c>
      <c r="C1745" t="s">
        <v>103</v>
      </c>
      <c r="D1745">
        <v>4</v>
      </c>
      <c r="E1745" t="s">
        <v>1643</v>
      </c>
      <c r="F1745" t="s">
        <v>2969</v>
      </c>
    </row>
    <row r="1746" spans="1:6" x14ac:dyDescent="0.25">
      <c r="A1746" t="s">
        <v>2434</v>
      </c>
      <c r="B1746" t="s">
        <v>1079</v>
      </c>
      <c r="C1746" t="s">
        <v>14</v>
      </c>
      <c r="D1746">
        <v>1</v>
      </c>
      <c r="E1746" t="s">
        <v>1741</v>
      </c>
      <c r="F1746" t="s">
        <v>2969</v>
      </c>
    </row>
    <row r="1747" spans="1:6" x14ac:dyDescent="0.25">
      <c r="A1747" t="s">
        <v>2434</v>
      </c>
      <c r="B1747" t="s">
        <v>1079</v>
      </c>
      <c r="C1747" t="s">
        <v>14</v>
      </c>
      <c r="D1747">
        <v>2</v>
      </c>
      <c r="E1747" t="s">
        <v>124</v>
      </c>
      <c r="F1747" t="s">
        <v>2969</v>
      </c>
    </row>
    <row r="1748" spans="1:6" x14ac:dyDescent="0.25">
      <c r="A1748" t="s">
        <v>2434</v>
      </c>
      <c r="B1748" t="s">
        <v>1079</v>
      </c>
      <c r="C1748" t="s">
        <v>14</v>
      </c>
      <c r="D1748">
        <v>3</v>
      </c>
      <c r="E1748" t="s">
        <v>1812</v>
      </c>
      <c r="F1748" t="s">
        <v>2969</v>
      </c>
    </row>
    <row r="1749" spans="1:6" x14ac:dyDescent="0.25">
      <c r="A1749" t="s">
        <v>2434</v>
      </c>
      <c r="B1749" t="s">
        <v>1079</v>
      </c>
      <c r="C1749" t="s">
        <v>14</v>
      </c>
      <c r="D1749">
        <v>4</v>
      </c>
      <c r="E1749" t="s">
        <v>1726</v>
      </c>
      <c r="F1749" t="s">
        <v>2969</v>
      </c>
    </row>
    <row r="1750" spans="1:6" x14ac:dyDescent="0.25">
      <c r="A1750" t="s">
        <v>2434</v>
      </c>
      <c r="B1750" t="s">
        <v>1079</v>
      </c>
      <c r="C1750" t="s">
        <v>14</v>
      </c>
      <c r="D1750">
        <v>5</v>
      </c>
      <c r="E1750" t="s">
        <v>1657</v>
      </c>
      <c r="F1750" t="s">
        <v>2969</v>
      </c>
    </row>
    <row r="1751" spans="1:6" x14ac:dyDescent="0.25">
      <c r="A1751" t="s">
        <v>2435</v>
      </c>
      <c r="B1751" t="s">
        <v>1080</v>
      </c>
      <c r="C1751" t="s">
        <v>107</v>
      </c>
      <c r="D1751">
        <v>1</v>
      </c>
      <c r="E1751" t="s">
        <v>1685</v>
      </c>
      <c r="F1751" t="s">
        <v>2969</v>
      </c>
    </row>
    <row r="1752" spans="1:6" x14ac:dyDescent="0.25">
      <c r="A1752" t="s">
        <v>2435</v>
      </c>
      <c r="B1752" t="s">
        <v>1080</v>
      </c>
      <c r="C1752" t="s">
        <v>107</v>
      </c>
      <c r="D1752">
        <v>2</v>
      </c>
      <c r="E1752" t="s">
        <v>1691</v>
      </c>
      <c r="F1752" t="s">
        <v>2969</v>
      </c>
    </row>
    <row r="1753" spans="1:6" x14ac:dyDescent="0.25">
      <c r="A1753" t="s">
        <v>2436</v>
      </c>
      <c r="B1753" t="s">
        <v>1081</v>
      </c>
      <c r="C1753" t="s">
        <v>49</v>
      </c>
      <c r="D1753">
        <v>1</v>
      </c>
      <c r="E1753" t="s">
        <v>1719</v>
      </c>
      <c r="F1753" t="s">
        <v>2969</v>
      </c>
    </row>
    <row r="1754" spans="1:6" x14ac:dyDescent="0.25">
      <c r="A1754" t="s">
        <v>2436</v>
      </c>
      <c r="B1754" t="s">
        <v>1081</v>
      </c>
      <c r="C1754" t="s">
        <v>49</v>
      </c>
      <c r="D1754">
        <v>2</v>
      </c>
      <c r="E1754" t="s">
        <v>1629</v>
      </c>
      <c r="F1754" t="s">
        <v>2969</v>
      </c>
    </row>
    <row r="1755" spans="1:6" x14ac:dyDescent="0.25">
      <c r="A1755" t="s">
        <v>2436</v>
      </c>
      <c r="B1755" t="s">
        <v>1081</v>
      </c>
      <c r="C1755" t="s">
        <v>49</v>
      </c>
      <c r="D1755">
        <v>3</v>
      </c>
      <c r="E1755" t="s">
        <v>1621</v>
      </c>
      <c r="F1755" t="s">
        <v>2969</v>
      </c>
    </row>
    <row r="1756" spans="1:6" x14ac:dyDescent="0.25">
      <c r="A1756" t="s">
        <v>2437</v>
      </c>
      <c r="B1756" t="s">
        <v>1082</v>
      </c>
      <c r="C1756" t="s">
        <v>71</v>
      </c>
      <c r="D1756">
        <v>1</v>
      </c>
      <c r="E1756" t="s">
        <v>1824</v>
      </c>
      <c r="F1756" t="s">
        <v>2969</v>
      </c>
    </row>
    <row r="1757" spans="1:6" x14ac:dyDescent="0.25">
      <c r="A1757" t="s">
        <v>2438</v>
      </c>
      <c r="B1757" t="s">
        <v>1083</v>
      </c>
      <c r="C1757" t="s">
        <v>37</v>
      </c>
      <c r="D1757">
        <v>1</v>
      </c>
      <c r="E1757" t="s">
        <v>1661</v>
      </c>
      <c r="F1757" t="s">
        <v>2969</v>
      </c>
    </row>
    <row r="1758" spans="1:6" x14ac:dyDescent="0.25">
      <c r="A1758" t="s">
        <v>2438</v>
      </c>
      <c r="B1758" t="s">
        <v>1083</v>
      </c>
      <c r="C1758" t="s">
        <v>37</v>
      </c>
      <c r="D1758">
        <v>2</v>
      </c>
      <c r="E1758" t="s">
        <v>2046</v>
      </c>
      <c r="F1758" t="s">
        <v>2969</v>
      </c>
    </row>
    <row r="1759" spans="1:6" x14ac:dyDescent="0.25">
      <c r="A1759" t="s">
        <v>2438</v>
      </c>
      <c r="B1759" t="s">
        <v>1083</v>
      </c>
      <c r="C1759" t="s">
        <v>37</v>
      </c>
      <c r="D1759">
        <v>3</v>
      </c>
      <c r="E1759" t="s">
        <v>2122</v>
      </c>
      <c r="F1759" t="s">
        <v>2969</v>
      </c>
    </row>
    <row r="1760" spans="1:6" x14ac:dyDescent="0.25">
      <c r="A1760" t="s">
        <v>2438</v>
      </c>
      <c r="B1760" t="s">
        <v>1083</v>
      </c>
      <c r="C1760" t="s">
        <v>37</v>
      </c>
      <c r="D1760">
        <v>4</v>
      </c>
      <c r="E1760" t="s">
        <v>1779</v>
      </c>
      <c r="F1760" t="s">
        <v>2969</v>
      </c>
    </row>
    <row r="1761" spans="1:6" x14ac:dyDescent="0.25">
      <c r="A1761" t="s">
        <v>2439</v>
      </c>
      <c r="B1761" t="s">
        <v>1084</v>
      </c>
      <c r="C1761" t="s">
        <v>73</v>
      </c>
      <c r="D1761">
        <v>1</v>
      </c>
      <c r="E1761" t="s">
        <v>68</v>
      </c>
      <c r="F1761" t="s">
        <v>2969</v>
      </c>
    </row>
    <row r="1762" spans="1:6" x14ac:dyDescent="0.25">
      <c r="A1762" t="s">
        <v>2440</v>
      </c>
      <c r="B1762" t="s">
        <v>1085</v>
      </c>
      <c r="C1762" t="s">
        <v>76</v>
      </c>
      <c r="D1762">
        <v>1</v>
      </c>
      <c r="E1762" t="s">
        <v>1634</v>
      </c>
      <c r="F1762" t="s">
        <v>2969</v>
      </c>
    </row>
    <row r="1763" spans="1:6" x14ac:dyDescent="0.25">
      <c r="A1763" t="s">
        <v>2440</v>
      </c>
      <c r="B1763" t="s">
        <v>1085</v>
      </c>
      <c r="C1763" t="s">
        <v>76</v>
      </c>
      <c r="D1763">
        <v>2</v>
      </c>
      <c r="E1763" t="s">
        <v>1719</v>
      </c>
      <c r="F1763" t="s">
        <v>2969</v>
      </c>
    </row>
    <row r="1764" spans="1:6" x14ac:dyDescent="0.25">
      <c r="A1764" t="s">
        <v>2440</v>
      </c>
      <c r="B1764" t="s">
        <v>1085</v>
      </c>
      <c r="C1764" t="s">
        <v>76</v>
      </c>
      <c r="D1764">
        <v>3</v>
      </c>
      <c r="E1764" t="s">
        <v>1917</v>
      </c>
      <c r="F1764" t="s">
        <v>2969</v>
      </c>
    </row>
    <row r="1765" spans="1:6" x14ac:dyDescent="0.25">
      <c r="A1765" t="s">
        <v>2441</v>
      </c>
      <c r="B1765" t="s">
        <v>1086</v>
      </c>
      <c r="C1765" t="s">
        <v>65</v>
      </c>
      <c r="D1765">
        <v>1</v>
      </c>
      <c r="E1765" t="s">
        <v>1726</v>
      </c>
      <c r="F1765" t="s">
        <v>2969</v>
      </c>
    </row>
    <row r="1766" spans="1:6" x14ac:dyDescent="0.25">
      <c r="A1766" t="s">
        <v>2441</v>
      </c>
      <c r="B1766" t="s">
        <v>1086</v>
      </c>
      <c r="C1766" t="s">
        <v>65</v>
      </c>
      <c r="D1766">
        <v>2</v>
      </c>
      <c r="E1766" t="s">
        <v>1657</v>
      </c>
      <c r="F1766" t="s">
        <v>2969</v>
      </c>
    </row>
    <row r="1767" spans="1:6" x14ac:dyDescent="0.25">
      <c r="A1767" t="s">
        <v>2441</v>
      </c>
      <c r="B1767" t="s">
        <v>1086</v>
      </c>
      <c r="C1767" t="s">
        <v>65</v>
      </c>
      <c r="D1767">
        <v>3</v>
      </c>
      <c r="E1767" t="s">
        <v>2751</v>
      </c>
      <c r="F1767" t="s">
        <v>2969</v>
      </c>
    </row>
    <row r="1768" spans="1:6" x14ac:dyDescent="0.25">
      <c r="A1768" t="s">
        <v>2442</v>
      </c>
      <c r="B1768" t="s">
        <v>1087</v>
      </c>
      <c r="C1768" t="s">
        <v>43</v>
      </c>
      <c r="D1768">
        <v>1</v>
      </c>
      <c r="E1768" t="s">
        <v>1948</v>
      </c>
      <c r="F1768" t="s">
        <v>2969</v>
      </c>
    </row>
    <row r="1769" spans="1:6" x14ac:dyDescent="0.25">
      <c r="A1769" t="s">
        <v>2442</v>
      </c>
      <c r="B1769" t="s">
        <v>1087</v>
      </c>
      <c r="C1769" t="s">
        <v>43</v>
      </c>
      <c r="D1769">
        <v>2</v>
      </c>
      <c r="E1769" t="s">
        <v>1649</v>
      </c>
      <c r="F1769" t="s">
        <v>2969</v>
      </c>
    </row>
    <row r="1770" spans="1:6" x14ac:dyDescent="0.25">
      <c r="A1770" t="s">
        <v>2443</v>
      </c>
      <c r="B1770" t="s">
        <v>1088</v>
      </c>
      <c r="C1770" t="s">
        <v>100</v>
      </c>
      <c r="D1770">
        <v>1</v>
      </c>
      <c r="E1770" t="s">
        <v>1624</v>
      </c>
      <c r="F1770" t="s">
        <v>2969</v>
      </c>
    </row>
    <row r="1771" spans="1:6" x14ac:dyDescent="0.25">
      <c r="A1771" t="s">
        <v>2443</v>
      </c>
      <c r="B1771" t="s">
        <v>1088</v>
      </c>
      <c r="C1771" t="s">
        <v>100</v>
      </c>
      <c r="D1771">
        <v>2</v>
      </c>
      <c r="E1771" t="s">
        <v>1621</v>
      </c>
      <c r="F1771" t="s">
        <v>2969</v>
      </c>
    </row>
    <row r="1772" spans="1:6" x14ac:dyDescent="0.25">
      <c r="A1772" t="s">
        <v>2443</v>
      </c>
      <c r="B1772" t="s">
        <v>1088</v>
      </c>
      <c r="C1772" t="s">
        <v>100</v>
      </c>
      <c r="D1772">
        <v>3</v>
      </c>
      <c r="E1772" t="s">
        <v>1934</v>
      </c>
      <c r="F1772" t="s">
        <v>2969</v>
      </c>
    </row>
    <row r="1773" spans="1:6" x14ac:dyDescent="0.25">
      <c r="A1773" t="s">
        <v>2444</v>
      </c>
      <c r="B1773" t="s">
        <v>1089</v>
      </c>
      <c r="C1773" t="s">
        <v>59</v>
      </c>
      <c r="D1773">
        <v>1</v>
      </c>
      <c r="E1773" t="s">
        <v>2094</v>
      </c>
      <c r="F1773" t="s">
        <v>2969</v>
      </c>
    </row>
    <row r="1774" spans="1:6" x14ac:dyDescent="0.25">
      <c r="A1774" t="s">
        <v>2444</v>
      </c>
      <c r="B1774" t="s">
        <v>1089</v>
      </c>
      <c r="C1774" t="s">
        <v>59</v>
      </c>
      <c r="D1774">
        <v>2</v>
      </c>
      <c r="E1774" t="s">
        <v>1637</v>
      </c>
      <c r="F1774" t="s">
        <v>2969</v>
      </c>
    </row>
    <row r="1775" spans="1:6" x14ac:dyDescent="0.25">
      <c r="A1775" t="s">
        <v>2444</v>
      </c>
      <c r="B1775" t="s">
        <v>1089</v>
      </c>
      <c r="C1775" t="s">
        <v>59</v>
      </c>
      <c r="D1775">
        <v>3</v>
      </c>
      <c r="E1775" t="s">
        <v>1721</v>
      </c>
      <c r="F1775" t="s">
        <v>2969</v>
      </c>
    </row>
    <row r="1776" spans="1:6" x14ac:dyDescent="0.25">
      <c r="A1776" t="s">
        <v>2444</v>
      </c>
      <c r="B1776" t="s">
        <v>1089</v>
      </c>
      <c r="C1776" t="s">
        <v>59</v>
      </c>
      <c r="D1776">
        <v>4</v>
      </c>
      <c r="E1776" t="s">
        <v>1741</v>
      </c>
      <c r="F1776" t="s">
        <v>2969</v>
      </c>
    </row>
    <row r="1777" spans="1:6" x14ac:dyDescent="0.25">
      <c r="A1777" t="s">
        <v>2445</v>
      </c>
      <c r="B1777" t="s">
        <v>1090</v>
      </c>
      <c r="C1777" t="s">
        <v>94</v>
      </c>
      <c r="D1777">
        <v>1</v>
      </c>
      <c r="E1777" t="s">
        <v>1624</v>
      </c>
      <c r="F1777" t="s">
        <v>2969</v>
      </c>
    </row>
    <row r="1778" spans="1:6" x14ac:dyDescent="0.25">
      <c r="A1778" t="s">
        <v>2446</v>
      </c>
      <c r="B1778" t="s">
        <v>1091</v>
      </c>
      <c r="C1778" t="s">
        <v>134</v>
      </c>
      <c r="D1778">
        <v>1</v>
      </c>
      <c r="E1778" t="s">
        <v>1724</v>
      </c>
      <c r="F1778" t="s">
        <v>2969</v>
      </c>
    </row>
    <row r="1779" spans="1:6" x14ac:dyDescent="0.25">
      <c r="A1779" t="s">
        <v>2446</v>
      </c>
      <c r="B1779" t="s">
        <v>1091</v>
      </c>
      <c r="C1779" t="s">
        <v>134</v>
      </c>
      <c r="D1779">
        <v>2</v>
      </c>
      <c r="E1779" t="s">
        <v>1673</v>
      </c>
      <c r="F1779" t="s">
        <v>2969</v>
      </c>
    </row>
    <row r="1780" spans="1:6" x14ac:dyDescent="0.25">
      <c r="A1780" t="s">
        <v>2446</v>
      </c>
      <c r="B1780" t="s">
        <v>1091</v>
      </c>
      <c r="C1780" t="s">
        <v>134</v>
      </c>
      <c r="D1780">
        <v>3</v>
      </c>
      <c r="E1780" t="s">
        <v>1859</v>
      </c>
      <c r="F1780" t="s">
        <v>2969</v>
      </c>
    </row>
    <row r="1781" spans="1:6" x14ac:dyDescent="0.25">
      <c r="A1781" t="s">
        <v>2447</v>
      </c>
      <c r="B1781" t="s">
        <v>1092</v>
      </c>
      <c r="C1781" t="s">
        <v>79</v>
      </c>
      <c r="D1781">
        <v>1</v>
      </c>
      <c r="E1781" t="s">
        <v>1758</v>
      </c>
      <c r="F1781" t="s">
        <v>2969</v>
      </c>
    </row>
    <row r="1782" spans="1:6" x14ac:dyDescent="0.25">
      <c r="A1782" t="s">
        <v>2447</v>
      </c>
      <c r="B1782" t="s">
        <v>1092</v>
      </c>
      <c r="C1782" t="s">
        <v>79</v>
      </c>
      <c r="D1782">
        <v>2</v>
      </c>
      <c r="E1782" t="s">
        <v>124</v>
      </c>
      <c r="F1782" t="s">
        <v>2969</v>
      </c>
    </row>
    <row r="1783" spans="1:6" x14ac:dyDescent="0.25">
      <c r="A1783" t="s">
        <v>2448</v>
      </c>
      <c r="B1783" t="s">
        <v>1093</v>
      </c>
      <c r="C1783" t="s">
        <v>52</v>
      </c>
      <c r="D1783">
        <v>1</v>
      </c>
      <c r="E1783" t="s">
        <v>1785</v>
      </c>
      <c r="F1783" t="s">
        <v>2969</v>
      </c>
    </row>
    <row r="1784" spans="1:6" x14ac:dyDescent="0.25">
      <c r="A1784" t="s">
        <v>2448</v>
      </c>
      <c r="B1784" t="s">
        <v>1093</v>
      </c>
      <c r="C1784" t="s">
        <v>52</v>
      </c>
      <c r="D1784">
        <v>2</v>
      </c>
      <c r="E1784" t="s">
        <v>13</v>
      </c>
      <c r="F1784" t="s">
        <v>2969</v>
      </c>
    </row>
    <row r="1785" spans="1:6" x14ac:dyDescent="0.25">
      <c r="A1785" t="s">
        <v>2448</v>
      </c>
      <c r="B1785" t="s">
        <v>1093</v>
      </c>
      <c r="C1785" t="s">
        <v>52</v>
      </c>
      <c r="D1785">
        <v>3</v>
      </c>
      <c r="E1785" t="s">
        <v>1673</v>
      </c>
      <c r="F1785" t="s">
        <v>2969</v>
      </c>
    </row>
    <row r="1786" spans="1:6" x14ac:dyDescent="0.25">
      <c r="A1786" t="s">
        <v>2449</v>
      </c>
      <c r="B1786" t="s">
        <v>1094</v>
      </c>
      <c r="C1786" t="s">
        <v>52</v>
      </c>
      <c r="D1786">
        <v>1</v>
      </c>
      <c r="E1786" t="s">
        <v>1948</v>
      </c>
      <c r="F1786" t="s">
        <v>2969</v>
      </c>
    </row>
    <row r="1787" spans="1:6" x14ac:dyDescent="0.25">
      <c r="A1787" t="s">
        <v>2449</v>
      </c>
      <c r="B1787" t="s">
        <v>1094</v>
      </c>
      <c r="C1787" t="s">
        <v>52</v>
      </c>
      <c r="D1787">
        <v>2</v>
      </c>
      <c r="E1787" t="s">
        <v>1689</v>
      </c>
      <c r="F1787" t="s">
        <v>2969</v>
      </c>
    </row>
    <row r="1788" spans="1:6" x14ac:dyDescent="0.25">
      <c r="A1788" t="s">
        <v>2449</v>
      </c>
      <c r="B1788" t="s">
        <v>1094</v>
      </c>
      <c r="C1788" t="s">
        <v>52</v>
      </c>
      <c r="D1788">
        <v>3</v>
      </c>
      <c r="E1788" t="s">
        <v>1697</v>
      </c>
      <c r="F1788" t="s">
        <v>2969</v>
      </c>
    </row>
    <row r="1789" spans="1:6" x14ac:dyDescent="0.25">
      <c r="A1789" t="s">
        <v>2449</v>
      </c>
      <c r="B1789" t="s">
        <v>1094</v>
      </c>
      <c r="C1789" t="s">
        <v>52</v>
      </c>
      <c r="D1789">
        <v>4</v>
      </c>
      <c r="E1789" t="s">
        <v>1680</v>
      </c>
      <c r="F1789" t="s">
        <v>2969</v>
      </c>
    </row>
    <row r="1790" spans="1:6" x14ac:dyDescent="0.25">
      <c r="A1790" t="s">
        <v>2449</v>
      </c>
      <c r="B1790" t="s">
        <v>1094</v>
      </c>
      <c r="C1790" t="s">
        <v>52</v>
      </c>
      <c r="D1790">
        <v>5</v>
      </c>
      <c r="E1790" t="s">
        <v>1785</v>
      </c>
      <c r="F1790" t="s">
        <v>2969</v>
      </c>
    </row>
    <row r="1791" spans="1:6" x14ac:dyDescent="0.25">
      <c r="A1791" t="s">
        <v>2449</v>
      </c>
      <c r="B1791" t="s">
        <v>1094</v>
      </c>
      <c r="C1791" t="s">
        <v>52</v>
      </c>
      <c r="D1791">
        <v>6</v>
      </c>
      <c r="E1791" t="s">
        <v>2081</v>
      </c>
      <c r="F1791" t="s">
        <v>2969</v>
      </c>
    </row>
    <row r="1792" spans="1:6" x14ac:dyDescent="0.25">
      <c r="A1792" t="s">
        <v>2449</v>
      </c>
      <c r="B1792" t="s">
        <v>1094</v>
      </c>
      <c r="C1792" t="s">
        <v>52</v>
      </c>
      <c r="D1792">
        <v>7</v>
      </c>
      <c r="E1792" t="s">
        <v>1651</v>
      </c>
      <c r="F1792" t="s">
        <v>1692</v>
      </c>
    </row>
    <row r="1793" spans="1:6" x14ac:dyDescent="0.25">
      <c r="A1793" t="s">
        <v>2450</v>
      </c>
      <c r="B1793" t="s">
        <v>1095</v>
      </c>
      <c r="C1793" t="s">
        <v>8</v>
      </c>
      <c r="D1793">
        <v>1</v>
      </c>
      <c r="E1793" t="s">
        <v>137</v>
      </c>
      <c r="F1793" t="s">
        <v>2969</v>
      </c>
    </row>
    <row r="1794" spans="1:6" x14ac:dyDescent="0.25">
      <c r="A1794" t="s">
        <v>2450</v>
      </c>
      <c r="B1794" t="s">
        <v>1095</v>
      </c>
      <c r="C1794" t="s">
        <v>8</v>
      </c>
      <c r="D1794">
        <v>2</v>
      </c>
      <c r="E1794" t="s">
        <v>2230</v>
      </c>
      <c r="F1794" t="s">
        <v>2969</v>
      </c>
    </row>
    <row r="1795" spans="1:6" x14ac:dyDescent="0.25">
      <c r="A1795" t="s">
        <v>2450</v>
      </c>
      <c r="B1795" t="s">
        <v>1095</v>
      </c>
      <c r="C1795" t="s">
        <v>8</v>
      </c>
      <c r="D1795">
        <v>3</v>
      </c>
      <c r="E1795" t="s">
        <v>2094</v>
      </c>
      <c r="F1795" t="s">
        <v>2969</v>
      </c>
    </row>
    <row r="1796" spans="1:6" x14ac:dyDescent="0.25">
      <c r="A1796" t="s">
        <v>2451</v>
      </c>
      <c r="B1796" t="s">
        <v>1096</v>
      </c>
      <c r="C1796" t="s">
        <v>31</v>
      </c>
      <c r="D1796">
        <v>1</v>
      </c>
      <c r="E1796" t="s">
        <v>1673</v>
      </c>
      <c r="F1796" t="s">
        <v>2969</v>
      </c>
    </row>
    <row r="1797" spans="1:6" x14ac:dyDescent="0.25">
      <c r="A1797" t="s">
        <v>2451</v>
      </c>
      <c r="B1797" t="s">
        <v>1096</v>
      </c>
      <c r="C1797" t="s">
        <v>31</v>
      </c>
      <c r="D1797">
        <v>2</v>
      </c>
      <c r="E1797" t="s">
        <v>1859</v>
      </c>
      <c r="F1797" t="s">
        <v>2969</v>
      </c>
    </row>
    <row r="1798" spans="1:6" x14ac:dyDescent="0.25">
      <c r="A1798" t="s">
        <v>2451</v>
      </c>
      <c r="B1798" t="s">
        <v>1096</v>
      </c>
      <c r="C1798" t="s">
        <v>31</v>
      </c>
      <c r="D1798">
        <v>3</v>
      </c>
      <c r="E1798" t="s">
        <v>1695</v>
      </c>
      <c r="F1798" t="s">
        <v>2969</v>
      </c>
    </row>
    <row r="1799" spans="1:6" x14ac:dyDescent="0.25">
      <c r="A1799" t="s">
        <v>2452</v>
      </c>
      <c r="B1799" t="s">
        <v>1097</v>
      </c>
      <c r="C1799" t="s">
        <v>97</v>
      </c>
      <c r="D1799">
        <v>1</v>
      </c>
      <c r="E1799" t="s">
        <v>2094</v>
      </c>
      <c r="F1799" t="s">
        <v>2969</v>
      </c>
    </row>
    <row r="1800" spans="1:6" x14ac:dyDescent="0.25">
      <c r="A1800" t="s">
        <v>2452</v>
      </c>
      <c r="B1800" t="s">
        <v>1097</v>
      </c>
      <c r="C1800" t="s">
        <v>97</v>
      </c>
      <c r="D1800">
        <v>2</v>
      </c>
      <c r="E1800" t="s">
        <v>1822</v>
      </c>
      <c r="F1800" t="s">
        <v>2969</v>
      </c>
    </row>
    <row r="1801" spans="1:6" x14ac:dyDescent="0.25">
      <c r="A1801" t="s">
        <v>2452</v>
      </c>
      <c r="B1801" t="s">
        <v>1097</v>
      </c>
      <c r="C1801" t="s">
        <v>97</v>
      </c>
      <c r="D1801">
        <v>3</v>
      </c>
      <c r="E1801" t="s">
        <v>1721</v>
      </c>
      <c r="F1801" t="s">
        <v>2969</v>
      </c>
    </row>
    <row r="1802" spans="1:6" x14ac:dyDescent="0.25">
      <c r="A1802" t="s">
        <v>2453</v>
      </c>
      <c r="B1802" t="s">
        <v>1099</v>
      </c>
      <c r="C1802" t="s">
        <v>107</v>
      </c>
      <c r="D1802">
        <v>1</v>
      </c>
      <c r="E1802" t="s">
        <v>1785</v>
      </c>
      <c r="F1802" t="s">
        <v>2969</v>
      </c>
    </row>
    <row r="1803" spans="1:6" x14ac:dyDescent="0.25">
      <c r="A1803" t="s">
        <v>2454</v>
      </c>
      <c r="B1803" t="s">
        <v>1100</v>
      </c>
      <c r="C1803" t="s">
        <v>136</v>
      </c>
      <c r="D1803">
        <v>1</v>
      </c>
      <c r="E1803" t="s">
        <v>82</v>
      </c>
      <c r="F1803" t="s">
        <v>2969</v>
      </c>
    </row>
    <row r="1804" spans="1:6" x14ac:dyDescent="0.25">
      <c r="A1804" t="s">
        <v>2455</v>
      </c>
      <c r="B1804" t="s">
        <v>1101</v>
      </c>
      <c r="C1804" t="s">
        <v>94</v>
      </c>
      <c r="D1804">
        <v>1</v>
      </c>
      <c r="E1804" t="s">
        <v>2456</v>
      </c>
      <c r="F1804" t="s">
        <v>2969</v>
      </c>
    </row>
    <row r="1805" spans="1:6" x14ac:dyDescent="0.25">
      <c r="A1805" t="s">
        <v>2455</v>
      </c>
      <c r="B1805" t="s">
        <v>1101</v>
      </c>
      <c r="C1805" t="s">
        <v>94</v>
      </c>
      <c r="D1805">
        <v>2</v>
      </c>
      <c r="E1805" t="s">
        <v>2128</v>
      </c>
      <c r="F1805" t="s">
        <v>2969</v>
      </c>
    </row>
    <row r="1806" spans="1:6" x14ac:dyDescent="0.25">
      <c r="A1806" t="s">
        <v>2455</v>
      </c>
      <c r="B1806" t="s">
        <v>1101</v>
      </c>
      <c r="C1806" t="s">
        <v>94</v>
      </c>
      <c r="D1806">
        <v>3</v>
      </c>
      <c r="E1806" t="s">
        <v>2380</v>
      </c>
      <c r="F1806" t="s">
        <v>2969</v>
      </c>
    </row>
    <row r="1807" spans="1:6" x14ac:dyDescent="0.25">
      <c r="A1807" t="s">
        <v>2455</v>
      </c>
      <c r="B1807" t="s">
        <v>1101</v>
      </c>
      <c r="C1807" t="s">
        <v>94</v>
      </c>
      <c r="D1807">
        <v>4</v>
      </c>
      <c r="E1807" t="s">
        <v>2975</v>
      </c>
      <c r="F1807" t="s">
        <v>2969</v>
      </c>
    </row>
    <row r="1808" spans="1:6" x14ac:dyDescent="0.25">
      <c r="A1808" t="s">
        <v>2455</v>
      </c>
      <c r="B1808" t="s">
        <v>1101</v>
      </c>
      <c r="C1808" t="s">
        <v>94</v>
      </c>
      <c r="D1808">
        <v>5</v>
      </c>
      <c r="E1808" t="s">
        <v>2979</v>
      </c>
      <c r="F1808" t="s">
        <v>2969</v>
      </c>
    </row>
    <row r="1809" spans="1:6" x14ac:dyDescent="0.25">
      <c r="A1809" t="s">
        <v>2455</v>
      </c>
      <c r="B1809" t="s">
        <v>1101</v>
      </c>
      <c r="C1809" t="s">
        <v>94</v>
      </c>
      <c r="D1809">
        <v>6</v>
      </c>
      <c r="E1809" t="s">
        <v>2980</v>
      </c>
      <c r="F1809" t="s">
        <v>2969</v>
      </c>
    </row>
    <row r="1810" spans="1:6" x14ac:dyDescent="0.25">
      <c r="A1810" t="s">
        <v>2455</v>
      </c>
      <c r="B1810" t="s">
        <v>1101</v>
      </c>
      <c r="C1810" t="s">
        <v>94</v>
      </c>
      <c r="D1810">
        <v>7</v>
      </c>
      <c r="E1810" t="s">
        <v>2981</v>
      </c>
      <c r="F1810" t="s">
        <v>1692</v>
      </c>
    </row>
    <row r="1811" spans="1:6" x14ac:dyDescent="0.25">
      <c r="A1811" t="s">
        <v>2457</v>
      </c>
      <c r="B1811" t="s">
        <v>1103</v>
      </c>
      <c r="C1811" t="s">
        <v>83</v>
      </c>
      <c r="D1811">
        <v>1</v>
      </c>
      <c r="E1811" t="s">
        <v>1787</v>
      </c>
      <c r="F1811" t="s">
        <v>2969</v>
      </c>
    </row>
    <row r="1812" spans="1:6" x14ac:dyDescent="0.25">
      <c r="A1812" t="s">
        <v>2457</v>
      </c>
      <c r="B1812" t="s">
        <v>1103</v>
      </c>
      <c r="C1812" t="s">
        <v>83</v>
      </c>
      <c r="D1812">
        <v>2</v>
      </c>
      <c r="E1812" t="s">
        <v>1951</v>
      </c>
      <c r="F1812" t="s">
        <v>2969</v>
      </c>
    </row>
    <row r="1813" spans="1:6" x14ac:dyDescent="0.25">
      <c r="A1813" t="s">
        <v>2457</v>
      </c>
      <c r="B1813" t="s">
        <v>1103</v>
      </c>
      <c r="C1813" t="s">
        <v>83</v>
      </c>
      <c r="D1813">
        <v>3</v>
      </c>
      <c r="E1813" t="s">
        <v>135</v>
      </c>
      <c r="F1813" t="s">
        <v>2969</v>
      </c>
    </row>
    <row r="1814" spans="1:6" x14ac:dyDescent="0.25">
      <c r="A1814" t="s">
        <v>2458</v>
      </c>
      <c r="B1814" t="s">
        <v>1105</v>
      </c>
      <c r="C1814" t="s">
        <v>71</v>
      </c>
      <c r="D1814">
        <v>1</v>
      </c>
      <c r="E1814" t="s">
        <v>1627</v>
      </c>
      <c r="F1814" t="s">
        <v>2969</v>
      </c>
    </row>
    <row r="1815" spans="1:6" x14ac:dyDescent="0.25">
      <c r="A1815" t="s">
        <v>2458</v>
      </c>
      <c r="B1815" t="s">
        <v>1105</v>
      </c>
      <c r="C1815" t="s">
        <v>71</v>
      </c>
      <c r="D1815">
        <v>2</v>
      </c>
      <c r="E1815" t="s">
        <v>1649</v>
      </c>
      <c r="F1815" t="s">
        <v>2969</v>
      </c>
    </row>
    <row r="1816" spans="1:6" x14ac:dyDescent="0.25">
      <c r="A1816" t="s">
        <v>2458</v>
      </c>
      <c r="B1816" t="s">
        <v>1105</v>
      </c>
      <c r="C1816" t="s">
        <v>71</v>
      </c>
      <c r="D1816">
        <v>3</v>
      </c>
      <c r="E1816" t="s">
        <v>33</v>
      </c>
      <c r="F1816" t="s">
        <v>2969</v>
      </c>
    </row>
    <row r="1817" spans="1:6" x14ac:dyDescent="0.25">
      <c r="A1817" t="s">
        <v>2458</v>
      </c>
      <c r="B1817" t="s">
        <v>1105</v>
      </c>
      <c r="C1817" t="s">
        <v>71</v>
      </c>
      <c r="D1817">
        <v>4</v>
      </c>
      <c r="E1817" t="s">
        <v>1785</v>
      </c>
      <c r="F1817" t="s">
        <v>2969</v>
      </c>
    </row>
    <row r="1818" spans="1:6" x14ac:dyDescent="0.25">
      <c r="A1818" t="s">
        <v>2458</v>
      </c>
      <c r="B1818" t="s">
        <v>1105</v>
      </c>
      <c r="C1818" t="s">
        <v>71</v>
      </c>
      <c r="D1818">
        <v>5</v>
      </c>
      <c r="E1818" t="s">
        <v>1651</v>
      </c>
      <c r="F1818" t="s">
        <v>2969</v>
      </c>
    </row>
    <row r="1819" spans="1:6" x14ac:dyDescent="0.25">
      <c r="A1819" t="s">
        <v>2458</v>
      </c>
      <c r="B1819" t="s">
        <v>1105</v>
      </c>
      <c r="C1819" t="s">
        <v>71</v>
      </c>
      <c r="D1819">
        <v>6</v>
      </c>
      <c r="E1819" t="s">
        <v>1724</v>
      </c>
      <c r="F1819" t="s">
        <v>2969</v>
      </c>
    </row>
    <row r="1820" spans="1:6" x14ac:dyDescent="0.25">
      <c r="A1820" t="s">
        <v>2458</v>
      </c>
      <c r="B1820" t="s">
        <v>1105</v>
      </c>
      <c r="C1820" t="s">
        <v>71</v>
      </c>
      <c r="D1820">
        <v>7</v>
      </c>
      <c r="E1820" t="s">
        <v>1859</v>
      </c>
      <c r="F1820" t="s">
        <v>1692</v>
      </c>
    </row>
    <row r="1821" spans="1:6" x14ac:dyDescent="0.25">
      <c r="A1821" t="s">
        <v>2459</v>
      </c>
      <c r="B1821" t="s">
        <v>1106</v>
      </c>
      <c r="C1821" t="s">
        <v>110</v>
      </c>
      <c r="D1821">
        <v>1</v>
      </c>
      <c r="E1821" t="s">
        <v>2460</v>
      </c>
      <c r="F1821" t="s">
        <v>2969</v>
      </c>
    </row>
    <row r="1822" spans="1:6" x14ac:dyDescent="0.25">
      <c r="A1822" t="s">
        <v>2459</v>
      </c>
      <c r="B1822" t="s">
        <v>1106</v>
      </c>
      <c r="C1822" t="s">
        <v>110</v>
      </c>
      <c r="D1822">
        <v>2</v>
      </c>
      <c r="E1822" t="s">
        <v>2380</v>
      </c>
      <c r="F1822" t="s">
        <v>2969</v>
      </c>
    </row>
    <row r="1823" spans="1:6" x14ac:dyDescent="0.25">
      <c r="A1823" t="s">
        <v>2461</v>
      </c>
      <c r="B1823" t="s">
        <v>1107</v>
      </c>
      <c r="C1823" t="s">
        <v>69</v>
      </c>
      <c r="D1823">
        <v>1</v>
      </c>
      <c r="E1823" t="s">
        <v>86</v>
      </c>
      <c r="F1823" t="s">
        <v>2969</v>
      </c>
    </row>
    <row r="1824" spans="1:6" x14ac:dyDescent="0.25">
      <c r="A1824" t="s">
        <v>2461</v>
      </c>
      <c r="B1824" t="s">
        <v>1107</v>
      </c>
      <c r="C1824" t="s">
        <v>69</v>
      </c>
      <c r="D1824">
        <v>2</v>
      </c>
      <c r="E1824" t="s">
        <v>1721</v>
      </c>
      <c r="F1824" t="s">
        <v>2969</v>
      </c>
    </row>
    <row r="1825" spans="1:6" x14ac:dyDescent="0.25">
      <c r="A1825" t="s">
        <v>2461</v>
      </c>
      <c r="B1825" t="s">
        <v>1107</v>
      </c>
      <c r="C1825" t="s">
        <v>69</v>
      </c>
      <c r="D1825">
        <v>3</v>
      </c>
      <c r="E1825" t="s">
        <v>82</v>
      </c>
      <c r="F1825" t="s">
        <v>2969</v>
      </c>
    </row>
    <row r="1826" spans="1:6" x14ac:dyDescent="0.25">
      <c r="A1826" t="s">
        <v>2462</v>
      </c>
      <c r="B1826" t="s">
        <v>1108</v>
      </c>
      <c r="C1826" t="s">
        <v>66</v>
      </c>
      <c r="D1826">
        <v>1</v>
      </c>
      <c r="E1826" t="s">
        <v>1917</v>
      </c>
      <c r="F1826" t="s">
        <v>2969</v>
      </c>
    </row>
    <row r="1827" spans="1:6" x14ac:dyDescent="0.25">
      <c r="A1827" t="s">
        <v>2463</v>
      </c>
      <c r="B1827" t="s">
        <v>1109</v>
      </c>
      <c r="C1827" t="s">
        <v>39</v>
      </c>
      <c r="D1827">
        <v>1</v>
      </c>
      <c r="E1827" t="s">
        <v>26</v>
      </c>
      <c r="F1827" t="s">
        <v>2969</v>
      </c>
    </row>
    <row r="1828" spans="1:6" x14ac:dyDescent="0.25">
      <c r="A1828" t="s">
        <v>2463</v>
      </c>
      <c r="B1828" t="s">
        <v>1109</v>
      </c>
      <c r="C1828" t="s">
        <v>39</v>
      </c>
      <c r="D1828">
        <v>2</v>
      </c>
      <c r="E1828" t="s">
        <v>1670</v>
      </c>
      <c r="F1828" t="s">
        <v>2969</v>
      </c>
    </row>
    <row r="1829" spans="1:6" x14ac:dyDescent="0.25">
      <c r="A1829" t="s">
        <v>2463</v>
      </c>
      <c r="B1829" t="s">
        <v>1109</v>
      </c>
      <c r="C1829" t="s">
        <v>39</v>
      </c>
      <c r="D1829">
        <v>3</v>
      </c>
      <c r="E1829" t="s">
        <v>2611</v>
      </c>
      <c r="F1829" t="s">
        <v>2969</v>
      </c>
    </row>
    <row r="1830" spans="1:6" x14ac:dyDescent="0.25">
      <c r="A1830" t="s">
        <v>2463</v>
      </c>
      <c r="B1830" t="s">
        <v>1109</v>
      </c>
      <c r="C1830" t="s">
        <v>39</v>
      </c>
      <c r="D1830">
        <v>4</v>
      </c>
      <c r="E1830" t="s">
        <v>2111</v>
      </c>
      <c r="F1830" t="s">
        <v>2969</v>
      </c>
    </row>
    <row r="1831" spans="1:6" x14ac:dyDescent="0.25">
      <c r="A1831" t="s">
        <v>2464</v>
      </c>
      <c r="B1831" t="s">
        <v>1110</v>
      </c>
      <c r="C1831" t="s">
        <v>98</v>
      </c>
      <c r="D1831">
        <v>1</v>
      </c>
      <c r="E1831" t="s">
        <v>2071</v>
      </c>
      <c r="F1831" t="s">
        <v>2969</v>
      </c>
    </row>
    <row r="1832" spans="1:6" x14ac:dyDescent="0.25">
      <c r="A1832" t="s">
        <v>2464</v>
      </c>
      <c r="B1832" t="s">
        <v>1110</v>
      </c>
      <c r="C1832" t="s">
        <v>98</v>
      </c>
      <c r="D1832">
        <v>2</v>
      </c>
      <c r="E1832" t="s">
        <v>120</v>
      </c>
      <c r="F1832" t="s">
        <v>2969</v>
      </c>
    </row>
    <row r="1833" spans="1:6" x14ac:dyDescent="0.25">
      <c r="A1833" t="s">
        <v>2465</v>
      </c>
      <c r="B1833" t="s">
        <v>1111</v>
      </c>
      <c r="C1833" t="s">
        <v>90</v>
      </c>
      <c r="D1833">
        <v>1</v>
      </c>
      <c r="E1833" t="s">
        <v>78</v>
      </c>
      <c r="F1833" t="s">
        <v>2969</v>
      </c>
    </row>
    <row r="1834" spans="1:6" x14ac:dyDescent="0.25">
      <c r="A1834" t="s">
        <v>2465</v>
      </c>
      <c r="B1834" t="s">
        <v>1111</v>
      </c>
      <c r="C1834" t="s">
        <v>90</v>
      </c>
      <c r="D1834">
        <v>2</v>
      </c>
      <c r="E1834" t="s">
        <v>1862</v>
      </c>
      <c r="F1834" t="s">
        <v>2969</v>
      </c>
    </row>
    <row r="1835" spans="1:6" x14ac:dyDescent="0.25">
      <c r="A1835" t="s">
        <v>2466</v>
      </c>
      <c r="B1835" t="s">
        <v>1112</v>
      </c>
      <c r="C1835" t="s">
        <v>37</v>
      </c>
      <c r="D1835">
        <v>1</v>
      </c>
      <c r="E1835" t="s">
        <v>13</v>
      </c>
      <c r="F1835" t="s">
        <v>2969</v>
      </c>
    </row>
    <row r="1836" spans="1:6" x14ac:dyDescent="0.25">
      <c r="A1836" t="s">
        <v>2466</v>
      </c>
      <c r="B1836" t="s">
        <v>1112</v>
      </c>
      <c r="C1836" t="s">
        <v>37</v>
      </c>
      <c r="D1836">
        <v>2</v>
      </c>
      <c r="E1836" t="s">
        <v>2081</v>
      </c>
      <c r="F1836" t="s">
        <v>2969</v>
      </c>
    </row>
    <row r="1837" spans="1:6" x14ac:dyDescent="0.25">
      <c r="A1837" t="s">
        <v>2466</v>
      </c>
      <c r="B1837" t="s">
        <v>1112</v>
      </c>
      <c r="C1837" t="s">
        <v>37</v>
      </c>
      <c r="D1837">
        <v>3</v>
      </c>
      <c r="E1837" t="s">
        <v>1769</v>
      </c>
      <c r="F1837" t="s">
        <v>2969</v>
      </c>
    </row>
    <row r="1838" spans="1:6" x14ac:dyDescent="0.25">
      <c r="A1838" t="s">
        <v>2467</v>
      </c>
      <c r="B1838" t="s">
        <v>1113</v>
      </c>
      <c r="C1838" t="s">
        <v>103</v>
      </c>
      <c r="D1838">
        <v>1</v>
      </c>
      <c r="E1838" t="s">
        <v>1812</v>
      </c>
      <c r="F1838" t="s">
        <v>2969</v>
      </c>
    </row>
    <row r="1839" spans="1:6" x14ac:dyDescent="0.25">
      <c r="A1839" t="s">
        <v>2467</v>
      </c>
      <c r="B1839" t="s">
        <v>1113</v>
      </c>
      <c r="C1839" t="s">
        <v>103</v>
      </c>
      <c r="D1839">
        <v>2</v>
      </c>
      <c r="E1839" t="s">
        <v>1772</v>
      </c>
      <c r="F1839" t="s">
        <v>2969</v>
      </c>
    </row>
    <row r="1840" spans="1:6" x14ac:dyDescent="0.25">
      <c r="A1840" t="s">
        <v>2467</v>
      </c>
      <c r="B1840" t="s">
        <v>1113</v>
      </c>
      <c r="C1840" t="s">
        <v>103</v>
      </c>
      <c r="D1840">
        <v>3</v>
      </c>
      <c r="E1840" t="s">
        <v>1801</v>
      </c>
      <c r="F1840" t="s">
        <v>2969</v>
      </c>
    </row>
    <row r="1841" spans="1:6" x14ac:dyDescent="0.25">
      <c r="A1841" t="s">
        <v>2467</v>
      </c>
      <c r="B1841" t="s">
        <v>1113</v>
      </c>
      <c r="C1841" t="s">
        <v>103</v>
      </c>
      <c r="D1841">
        <v>4</v>
      </c>
      <c r="E1841" t="s">
        <v>96</v>
      </c>
      <c r="F1841" t="s">
        <v>2969</v>
      </c>
    </row>
    <row r="1842" spans="1:6" x14ac:dyDescent="0.25">
      <c r="A1842" t="s">
        <v>2467</v>
      </c>
      <c r="B1842" t="s">
        <v>1113</v>
      </c>
      <c r="C1842" t="s">
        <v>103</v>
      </c>
      <c r="D1842">
        <v>5</v>
      </c>
      <c r="E1842" t="s">
        <v>1639</v>
      </c>
      <c r="F1842" t="s">
        <v>2969</v>
      </c>
    </row>
    <row r="1843" spans="1:6" x14ac:dyDescent="0.25">
      <c r="A1843" t="s">
        <v>2467</v>
      </c>
      <c r="B1843" t="s">
        <v>1113</v>
      </c>
      <c r="C1843" t="s">
        <v>103</v>
      </c>
      <c r="D1843">
        <v>6</v>
      </c>
      <c r="E1843" t="s">
        <v>1719</v>
      </c>
      <c r="F1843" t="s">
        <v>2969</v>
      </c>
    </row>
    <row r="1844" spans="1:6" x14ac:dyDescent="0.25">
      <c r="A1844" t="s">
        <v>2467</v>
      </c>
      <c r="B1844" t="s">
        <v>1113</v>
      </c>
      <c r="C1844" t="s">
        <v>103</v>
      </c>
      <c r="D1844">
        <v>7</v>
      </c>
      <c r="E1844" t="s">
        <v>1953</v>
      </c>
      <c r="F1844" t="s">
        <v>1692</v>
      </c>
    </row>
    <row r="1845" spans="1:6" x14ac:dyDescent="0.25">
      <c r="A1845" t="s">
        <v>2468</v>
      </c>
      <c r="B1845" t="s">
        <v>1114</v>
      </c>
      <c r="C1845" t="s">
        <v>8</v>
      </c>
      <c r="D1845">
        <v>1</v>
      </c>
      <c r="E1845" t="s">
        <v>1739</v>
      </c>
      <c r="F1845" t="s">
        <v>2969</v>
      </c>
    </row>
    <row r="1846" spans="1:6" x14ac:dyDescent="0.25">
      <c r="A1846" t="s">
        <v>2468</v>
      </c>
      <c r="B1846" t="s">
        <v>1114</v>
      </c>
      <c r="C1846" t="s">
        <v>8</v>
      </c>
      <c r="D1846">
        <v>2</v>
      </c>
      <c r="E1846" t="s">
        <v>1859</v>
      </c>
      <c r="F1846" t="s">
        <v>2969</v>
      </c>
    </row>
    <row r="1847" spans="1:6" x14ac:dyDescent="0.25">
      <c r="A1847" t="s">
        <v>2469</v>
      </c>
      <c r="B1847" t="s">
        <v>1115</v>
      </c>
      <c r="C1847" t="s">
        <v>83</v>
      </c>
      <c r="D1847">
        <v>1</v>
      </c>
      <c r="E1847" t="s">
        <v>2470</v>
      </c>
      <c r="F1847" t="s">
        <v>2969</v>
      </c>
    </row>
    <row r="1848" spans="1:6" x14ac:dyDescent="0.25">
      <c r="A1848" t="s">
        <v>2471</v>
      </c>
      <c r="B1848" t="s">
        <v>1116</v>
      </c>
      <c r="C1848" t="s">
        <v>69</v>
      </c>
      <c r="D1848">
        <v>1</v>
      </c>
      <c r="E1848" t="s">
        <v>2472</v>
      </c>
      <c r="F1848" t="s">
        <v>2969</v>
      </c>
    </row>
    <row r="1849" spans="1:6" x14ac:dyDescent="0.25">
      <c r="A1849" t="s">
        <v>2471</v>
      </c>
      <c r="B1849" t="s">
        <v>1116</v>
      </c>
      <c r="C1849" t="s">
        <v>69</v>
      </c>
      <c r="D1849">
        <v>2</v>
      </c>
      <c r="E1849" t="s">
        <v>1754</v>
      </c>
      <c r="F1849" t="s">
        <v>2969</v>
      </c>
    </row>
    <row r="1850" spans="1:6" x14ac:dyDescent="0.25">
      <c r="A1850" t="s">
        <v>2473</v>
      </c>
      <c r="B1850" t="s">
        <v>1117</v>
      </c>
      <c r="C1850" t="s">
        <v>59</v>
      </c>
      <c r="D1850">
        <v>1</v>
      </c>
      <c r="E1850" t="s">
        <v>1789</v>
      </c>
      <c r="F1850" t="s">
        <v>2969</v>
      </c>
    </row>
    <row r="1851" spans="1:6" x14ac:dyDescent="0.25">
      <c r="A1851" t="s">
        <v>2474</v>
      </c>
      <c r="B1851" t="s">
        <v>1118</v>
      </c>
      <c r="C1851" t="s">
        <v>87</v>
      </c>
      <c r="D1851">
        <v>1</v>
      </c>
      <c r="E1851" t="s">
        <v>1751</v>
      </c>
      <c r="F1851" t="s">
        <v>2969</v>
      </c>
    </row>
    <row r="1852" spans="1:6" x14ac:dyDescent="0.25">
      <c r="A1852" t="s">
        <v>2474</v>
      </c>
      <c r="B1852" t="s">
        <v>1118</v>
      </c>
      <c r="C1852" t="s">
        <v>87</v>
      </c>
      <c r="D1852">
        <v>2</v>
      </c>
      <c r="E1852" t="s">
        <v>1781</v>
      </c>
      <c r="F1852" t="s">
        <v>2969</v>
      </c>
    </row>
    <row r="1853" spans="1:6" x14ac:dyDescent="0.25">
      <c r="A1853" t="s">
        <v>2474</v>
      </c>
      <c r="B1853" t="s">
        <v>1118</v>
      </c>
      <c r="C1853" t="s">
        <v>87</v>
      </c>
      <c r="D1853">
        <v>3</v>
      </c>
      <c r="E1853" t="s">
        <v>2032</v>
      </c>
      <c r="F1853" t="s">
        <v>2969</v>
      </c>
    </row>
    <row r="1854" spans="1:6" x14ac:dyDescent="0.25">
      <c r="A1854" t="s">
        <v>2474</v>
      </c>
      <c r="B1854" t="s">
        <v>1118</v>
      </c>
      <c r="C1854" t="s">
        <v>87</v>
      </c>
      <c r="D1854">
        <v>4</v>
      </c>
      <c r="E1854" t="s">
        <v>2456</v>
      </c>
      <c r="F1854" t="s">
        <v>2969</v>
      </c>
    </row>
    <row r="1855" spans="1:6" x14ac:dyDescent="0.25">
      <c r="A1855" t="s">
        <v>2475</v>
      </c>
      <c r="B1855" t="s">
        <v>1119</v>
      </c>
      <c r="C1855" t="s">
        <v>31</v>
      </c>
      <c r="D1855">
        <v>1</v>
      </c>
      <c r="E1855" t="s">
        <v>1807</v>
      </c>
      <c r="F1855" t="s">
        <v>2969</v>
      </c>
    </row>
    <row r="1856" spans="1:6" x14ac:dyDescent="0.25">
      <c r="A1856" t="s">
        <v>2475</v>
      </c>
      <c r="B1856" t="s">
        <v>1119</v>
      </c>
      <c r="C1856" t="s">
        <v>31</v>
      </c>
      <c r="D1856">
        <v>2</v>
      </c>
      <c r="E1856" t="s">
        <v>2017</v>
      </c>
      <c r="F1856" t="s">
        <v>2969</v>
      </c>
    </row>
    <row r="1857" spans="1:6" x14ac:dyDescent="0.25">
      <c r="A1857" t="s">
        <v>2475</v>
      </c>
      <c r="B1857" t="s">
        <v>1119</v>
      </c>
      <c r="C1857" t="s">
        <v>31</v>
      </c>
      <c r="D1857">
        <v>3</v>
      </c>
      <c r="E1857" t="s">
        <v>2230</v>
      </c>
      <c r="F1857" t="s">
        <v>2969</v>
      </c>
    </row>
    <row r="1858" spans="1:6" x14ac:dyDescent="0.25">
      <c r="A1858" t="s">
        <v>2475</v>
      </c>
      <c r="B1858" t="s">
        <v>1119</v>
      </c>
      <c r="C1858" t="s">
        <v>31</v>
      </c>
      <c r="D1858">
        <v>4</v>
      </c>
      <c r="E1858" t="s">
        <v>86</v>
      </c>
      <c r="F1858" t="s">
        <v>2969</v>
      </c>
    </row>
    <row r="1859" spans="1:6" x14ac:dyDescent="0.25">
      <c r="A1859" t="s">
        <v>2476</v>
      </c>
      <c r="B1859" t="s">
        <v>1120</v>
      </c>
      <c r="C1859" t="s">
        <v>52</v>
      </c>
      <c r="D1859">
        <v>1</v>
      </c>
      <c r="E1859" t="s">
        <v>1707</v>
      </c>
      <c r="F1859" t="s">
        <v>2969</v>
      </c>
    </row>
    <row r="1860" spans="1:6" x14ac:dyDescent="0.25">
      <c r="A1860" t="s">
        <v>2476</v>
      </c>
      <c r="B1860" t="s">
        <v>1120</v>
      </c>
      <c r="C1860" t="s">
        <v>52</v>
      </c>
      <c r="D1860">
        <v>2</v>
      </c>
      <c r="E1860" t="s">
        <v>133</v>
      </c>
      <c r="F1860" t="s">
        <v>2969</v>
      </c>
    </row>
    <row r="1861" spans="1:6" x14ac:dyDescent="0.25">
      <c r="A1861" t="s">
        <v>2476</v>
      </c>
      <c r="B1861" t="s">
        <v>1120</v>
      </c>
      <c r="C1861" t="s">
        <v>52</v>
      </c>
      <c r="D1861">
        <v>3</v>
      </c>
      <c r="E1861" t="s">
        <v>2081</v>
      </c>
      <c r="F1861" t="s">
        <v>2969</v>
      </c>
    </row>
    <row r="1862" spans="1:6" x14ac:dyDescent="0.25">
      <c r="A1862" t="s">
        <v>2476</v>
      </c>
      <c r="B1862" t="s">
        <v>1120</v>
      </c>
      <c r="C1862" t="s">
        <v>52</v>
      </c>
      <c r="D1862">
        <v>4</v>
      </c>
      <c r="E1862" t="s">
        <v>1915</v>
      </c>
      <c r="F1862" t="s">
        <v>2969</v>
      </c>
    </row>
    <row r="1863" spans="1:6" x14ac:dyDescent="0.25">
      <c r="A1863" t="s">
        <v>2477</v>
      </c>
      <c r="B1863" t="s">
        <v>1121</v>
      </c>
      <c r="C1863" t="s">
        <v>101</v>
      </c>
      <c r="D1863">
        <v>1</v>
      </c>
      <c r="E1863" t="s">
        <v>2478</v>
      </c>
      <c r="F1863" t="s">
        <v>2969</v>
      </c>
    </row>
    <row r="1864" spans="1:6" x14ac:dyDescent="0.25">
      <c r="A1864" t="s">
        <v>2477</v>
      </c>
      <c r="B1864" t="s">
        <v>1121</v>
      </c>
      <c r="C1864" t="s">
        <v>101</v>
      </c>
      <c r="D1864">
        <v>2</v>
      </c>
      <c r="E1864" t="s">
        <v>129</v>
      </c>
      <c r="F1864" t="s">
        <v>2969</v>
      </c>
    </row>
    <row r="1865" spans="1:6" x14ac:dyDescent="0.25">
      <c r="A1865" t="s">
        <v>2479</v>
      </c>
      <c r="B1865" t="s">
        <v>1122</v>
      </c>
      <c r="C1865" t="s">
        <v>65</v>
      </c>
      <c r="D1865">
        <v>1</v>
      </c>
      <c r="E1865" t="s">
        <v>1751</v>
      </c>
      <c r="F1865" t="s">
        <v>2969</v>
      </c>
    </row>
    <row r="1866" spans="1:6" x14ac:dyDescent="0.25">
      <c r="A1866" t="s">
        <v>2479</v>
      </c>
      <c r="B1866" t="s">
        <v>1122</v>
      </c>
      <c r="C1866" t="s">
        <v>65</v>
      </c>
      <c r="D1866">
        <v>2</v>
      </c>
      <c r="E1866" t="s">
        <v>2032</v>
      </c>
      <c r="F1866" t="s">
        <v>2969</v>
      </c>
    </row>
    <row r="1867" spans="1:6" x14ac:dyDescent="0.25">
      <c r="A1867" t="s">
        <v>2479</v>
      </c>
      <c r="B1867" t="s">
        <v>1122</v>
      </c>
      <c r="C1867" t="s">
        <v>65</v>
      </c>
      <c r="D1867">
        <v>3</v>
      </c>
      <c r="E1867" t="s">
        <v>1828</v>
      </c>
      <c r="F1867" t="s">
        <v>2969</v>
      </c>
    </row>
    <row r="1868" spans="1:6" x14ac:dyDescent="0.25">
      <c r="A1868" t="s">
        <v>2480</v>
      </c>
      <c r="B1868" t="s">
        <v>1123</v>
      </c>
      <c r="C1868" t="s">
        <v>100</v>
      </c>
      <c r="D1868">
        <v>1</v>
      </c>
      <c r="E1868" t="s">
        <v>1621</v>
      </c>
      <c r="F1868" t="s">
        <v>2969</v>
      </c>
    </row>
    <row r="1869" spans="1:6" x14ac:dyDescent="0.25">
      <c r="A1869" t="s">
        <v>2480</v>
      </c>
      <c r="B1869" t="s">
        <v>1123</v>
      </c>
      <c r="C1869" t="s">
        <v>100</v>
      </c>
      <c r="D1869">
        <v>2</v>
      </c>
      <c r="E1869" t="s">
        <v>2169</v>
      </c>
      <c r="F1869" t="s">
        <v>2969</v>
      </c>
    </row>
    <row r="1870" spans="1:6" x14ac:dyDescent="0.25">
      <c r="A1870" t="s">
        <v>2480</v>
      </c>
      <c r="B1870" t="s">
        <v>1123</v>
      </c>
      <c r="C1870" t="s">
        <v>100</v>
      </c>
      <c r="D1870">
        <v>3</v>
      </c>
      <c r="E1870" t="s">
        <v>1781</v>
      </c>
      <c r="F1870" t="s">
        <v>2969</v>
      </c>
    </row>
    <row r="1871" spans="1:6" x14ac:dyDescent="0.25">
      <c r="A1871" t="s">
        <v>2481</v>
      </c>
      <c r="B1871" t="s">
        <v>1124</v>
      </c>
      <c r="C1871" t="s">
        <v>98</v>
      </c>
      <c r="D1871">
        <v>1</v>
      </c>
      <c r="E1871" t="s">
        <v>2071</v>
      </c>
      <c r="F1871" t="s">
        <v>2969</v>
      </c>
    </row>
    <row r="1872" spans="1:6" x14ac:dyDescent="0.25">
      <c r="A1872" t="s">
        <v>2481</v>
      </c>
      <c r="B1872" t="s">
        <v>1124</v>
      </c>
      <c r="C1872" t="s">
        <v>98</v>
      </c>
      <c r="D1872">
        <v>2</v>
      </c>
      <c r="E1872" t="s">
        <v>2336</v>
      </c>
      <c r="F1872" t="s">
        <v>2969</v>
      </c>
    </row>
    <row r="1873" spans="1:6" x14ac:dyDescent="0.25">
      <c r="A1873" t="s">
        <v>2482</v>
      </c>
      <c r="B1873" t="s">
        <v>1125</v>
      </c>
      <c r="C1873" t="s">
        <v>59</v>
      </c>
      <c r="D1873">
        <v>1</v>
      </c>
      <c r="E1873" t="s">
        <v>68</v>
      </c>
      <c r="F1873" t="s">
        <v>2969</v>
      </c>
    </row>
    <row r="1874" spans="1:6" x14ac:dyDescent="0.25">
      <c r="A1874" t="s">
        <v>2482</v>
      </c>
      <c r="B1874" t="s">
        <v>1125</v>
      </c>
      <c r="C1874" t="s">
        <v>59</v>
      </c>
      <c r="D1874">
        <v>2</v>
      </c>
      <c r="E1874" t="s">
        <v>96</v>
      </c>
      <c r="F1874" t="s">
        <v>2969</v>
      </c>
    </row>
    <row r="1875" spans="1:6" x14ac:dyDescent="0.25">
      <c r="A1875" t="s">
        <v>2482</v>
      </c>
      <c r="B1875" t="s">
        <v>1125</v>
      </c>
      <c r="C1875" t="s">
        <v>59</v>
      </c>
      <c r="D1875">
        <v>3</v>
      </c>
      <c r="E1875" t="s">
        <v>1643</v>
      </c>
      <c r="F1875" t="s">
        <v>2969</v>
      </c>
    </row>
    <row r="1876" spans="1:6" x14ac:dyDescent="0.25">
      <c r="A1876" t="s">
        <v>2483</v>
      </c>
      <c r="B1876" t="s">
        <v>1126</v>
      </c>
      <c r="C1876" t="s">
        <v>107</v>
      </c>
      <c r="D1876">
        <v>1</v>
      </c>
      <c r="E1876" t="s">
        <v>1769</v>
      </c>
      <c r="F1876" t="s">
        <v>2969</v>
      </c>
    </row>
    <row r="1877" spans="1:6" x14ac:dyDescent="0.25">
      <c r="A1877" t="s">
        <v>2483</v>
      </c>
      <c r="B1877" t="s">
        <v>1126</v>
      </c>
      <c r="C1877" t="s">
        <v>107</v>
      </c>
      <c r="D1877">
        <v>2</v>
      </c>
      <c r="E1877" t="s">
        <v>1915</v>
      </c>
      <c r="F1877" t="s">
        <v>2969</v>
      </c>
    </row>
    <row r="1878" spans="1:6" x14ac:dyDescent="0.25">
      <c r="A1878" t="s">
        <v>2484</v>
      </c>
      <c r="B1878" t="s">
        <v>1127</v>
      </c>
      <c r="C1878" t="s">
        <v>52</v>
      </c>
      <c r="D1878">
        <v>1</v>
      </c>
      <c r="E1878" t="s">
        <v>1787</v>
      </c>
      <c r="F1878" t="s">
        <v>2969</v>
      </c>
    </row>
    <row r="1879" spans="1:6" x14ac:dyDescent="0.25">
      <c r="A1879" t="s">
        <v>2485</v>
      </c>
      <c r="B1879" t="s">
        <v>1128</v>
      </c>
      <c r="C1879" t="s">
        <v>83</v>
      </c>
      <c r="D1879">
        <v>1</v>
      </c>
      <c r="E1879" t="s">
        <v>1673</v>
      </c>
      <c r="F1879" t="s">
        <v>2969</v>
      </c>
    </row>
    <row r="1880" spans="1:6" x14ac:dyDescent="0.25">
      <c r="A1880" t="s">
        <v>2486</v>
      </c>
      <c r="B1880" t="s">
        <v>1129</v>
      </c>
      <c r="C1880" t="s">
        <v>130</v>
      </c>
      <c r="D1880">
        <v>1</v>
      </c>
      <c r="E1880" t="s">
        <v>2217</v>
      </c>
      <c r="F1880" t="s">
        <v>2969</v>
      </c>
    </row>
    <row r="1881" spans="1:6" x14ac:dyDescent="0.25">
      <c r="A1881" t="s">
        <v>2486</v>
      </c>
      <c r="B1881" t="s">
        <v>1129</v>
      </c>
      <c r="C1881" t="s">
        <v>130</v>
      </c>
      <c r="D1881">
        <v>2</v>
      </c>
      <c r="E1881" t="s">
        <v>1661</v>
      </c>
      <c r="F1881" t="s">
        <v>2969</v>
      </c>
    </row>
    <row r="1882" spans="1:6" x14ac:dyDescent="0.25">
      <c r="A1882" t="s">
        <v>2486</v>
      </c>
      <c r="B1882" t="s">
        <v>1129</v>
      </c>
      <c r="C1882" t="s">
        <v>130</v>
      </c>
      <c r="D1882">
        <v>3</v>
      </c>
      <c r="E1882" t="s">
        <v>1754</v>
      </c>
      <c r="F1882" t="s">
        <v>2969</v>
      </c>
    </row>
    <row r="1883" spans="1:6" x14ac:dyDescent="0.25">
      <c r="A1883" t="s">
        <v>2487</v>
      </c>
      <c r="B1883" t="s">
        <v>1130</v>
      </c>
      <c r="C1883" t="s">
        <v>59</v>
      </c>
      <c r="D1883">
        <v>1</v>
      </c>
      <c r="E1883" t="s">
        <v>82</v>
      </c>
      <c r="F1883" t="s">
        <v>2969</v>
      </c>
    </row>
    <row r="1884" spans="1:6" x14ac:dyDescent="0.25">
      <c r="A1884" t="s">
        <v>2487</v>
      </c>
      <c r="B1884" t="s">
        <v>1130</v>
      </c>
      <c r="C1884" t="s">
        <v>59</v>
      </c>
      <c r="D1884">
        <v>2</v>
      </c>
      <c r="E1884" t="s">
        <v>1711</v>
      </c>
      <c r="F1884" t="s">
        <v>2969</v>
      </c>
    </row>
    <row r="1885" spans="1:6" x14ac:dyDescent="0.25">
      <c r="A1885" t="s">
        <v>2488</v>
      </c>
      <c r="B1885" t="s">
        <v>1131</v>
      </c>
      <c r="C1885" t="s">
        <v>83</v>
      </c>
      <c r="D1885">
        <v>1</v>
      </c>
      <c r="E1885" t="s">
        <v>1689</v>
      </c>
      <c r="F1885" t="s">
        <v>2969</v>
      </c>
    </row>
    <row r="1886" spans="1:6" x14ac:dyDescent="0.25">
      <c r="A1886" t="s">
        <v>2488</v>
      </c>
      <c r="B1886" t="s">
        <v>1131</v>
      </c>
      <c r="C1886" t="s">
        <v>83</v>
      </c>
      <c r="D1886">
        <v>2</v>
      </c>
      <c r="E1886" t="s">
        <v>1951</v>
      </c>
      <c r="F1886" t="s">
        <v>2969</v>
      </c>
    </row>
    <row r="1887" spans="1:6" x14ac:dyDescent="0.25">
      <c r="A1887" t="s">
        <v>2488</v>
      </c>
      <c r="B1887" t="s">
        <v>1131</v>
      </c>
      <c r="C1887" t="s">
        <v>83</v>
      </c>
      <c r="D1887">
        <v>3</v>
      </c>
      <c r="E1887" t="s">
        <v>135</v>
      </c>
      <c r="F1887" t="s">
        <v>2969</v>
      </c>
    </row>
    <row r="1888" spans="1:6" x14ac:dyDescent="0.25">
      <c r="A1888" t="s">
        <v>2489</v>
      </c>
      <c r="B1888" t="s">
        <v>1132</v>
      </c>
      <c r="C1888" t="s">
        <v>8</v>
      </c>
      <c r="D1888">
        <v>1</v>
      </c>
      <c r="E1888" t="s">
        <v>2046</v>
      </c>
      <c r="F1888" t="s">
        <v>2969</v>
      </c>
    </row>
    <row r="1889" spans="1:6" x14ac:dyDescent="0.25">
      <c r="A1889" t="s">
        <v>2490</v>
      </c>
      <c r="B1889" t="s">
        <v>1133</v>
      </c>
      <c r="C1889" t="s">
        <v>85</v>
      </c>
      <c r="D1889">
        <v>1</v>
      </c>
      <c r="E1889" t="s">
        <v>104</v>
      </c>
      <c r="F1889" t="s">
        <v>2969</v>
      </c>
    </row>
    <row r="1890" spans="1:6" x14ac:dyDescent="0.25">
      <c r="A1890" t="s">
        <v>2490</v>
      </c>
      <c r="B1890" t="s">
        <v>1133</v>
      </c>
      <c r="C1890" t="s">
        <v>85</v>
      </c>
      <c r="D1890">
        <v>2</v>
      </c>
      <c r="E1890" t="s">
        <v>1655</v>
      </c>
      <c r="F1890" t="s">
        <v>2969</v>
      </c>
    </row>
    <row r="1891" spans="1:6" x14ac:dyDescent="0.25">
      <c r="A1891" t="s">
        <v>2491</v>
      </c>
      <c r="B1891" t="s">
        <v>1134</v>
      </c>
      <c r="C1891" t="s">
        <v>110</v>
      </c>
      <c r="D1891">
        <v>1</v>
      </c>
      <c r="E1891" t="s">
        <v>2003</v>
      </c>
      <c r="F1891" t="s">
        <v>2969</v>
      </c>
    </row>
    <row r="1892" spans="1:6" x14ac:dyDescent="0.25">
      <c r="A1892" t="s">
        <v>2491</v>
      </c>
      <c r="B1892" t="s">
        <v>1134</v>
      </c>
      <c r="C1892" t="s">
        <v>110</v>
      </c>
      <c r="D1892">
        <v>2</v>
      </c>
      <c r="E1892" t="s">
        <v>1751</v>
      </c>
      <c r="F1892" t="s">
        <v>2969</v>
      </c>
    </row>
    <row r="1893" spans="1:6" x14ac:dyDescent="0.25">
      <c r="A1893" t="s">
        <v>2491</v>
      </c>
      <c r="B1893" t="s">
        <v>1134</v>
      </c>
      <c r="C1893" t="s">
        <v>110</v>
      </c>
      <c r="D1893">
        <v>3</v>
      </c>
      <c r="E1893" t="s">
        <v>1678</v>
      </c>
      <c r="F1893" t="s">
        <v>2969</v>
      </c>
    </row>
    <row r="1894" spans="1:6" x14ac:dyDescent="0.25">
      <c r="A1894" t="s">
        <v>2491</v>
      </c>
      <c r="B1894" t="s">
        <v>1134</v>
      </c>
      <c r="C1894" t="s">
        <v>110</v>
      </c>
      <c r="D1894">
        <v>4</v>
      </c>
      <c r="E1894" t="s">
        <v>2273</v>
      </c>
      <c r="F1894" t="s">
        <v>2969</v>
      </c>
    </row>
    <row r="1895" spans="1:6" x14ac:dyDescent="0.25">
      <c r="A1895" t="s">
        <v>2492</v>
      </c>
      <c r="B1895" t="s">
        <v>1135</v>
      </c>
      <c r="C1895" t="s">
        <v>37</v>
      </c>
      <c r="D1895">
        <v>1</v>
      </c>
      <c r="E1895" t="s">
        <v>30</v>
      </c>
      <c r="F1895" t="s">
        <v>2969</v>
      </c>
    </row>
    <row r="1896" spans="1:6" x14ac:dyDescent="0.25">
      <c r="A1896" t="s">
        <v>2492</v>
      </c>
      <c r="B1896" t="s">
        <v>1135</v>
      </c>
      <c r="C1896" t="s">
        <v>37</v>
      </c>
      <c r="D1896">
        <v>2</v>
      </c>
      <c r="E1896" t="s">
        <v>133</v>
      </c>
      <c r="F1896" t="s">
        <v>2969</v>
      </c>
    </row>
    <row r="1897" spans="1:6" x14ac:dyDescent="0.25">
      <c r="A1897" t="s">
        <v>2493</v>
      </c>
      <c r="B1897" t="s">
        <v>1136</v>
      </c>
      <c r="C1897" t="s">
        <v>76</v>
      </c>
      <c r="D1897">
        <v>1</v>
      </c>
      <c r="E1897" t="s">
        <v>1828</v>
      </c>
      <c r="F1897" t="s">
        <v>2969</v>
      </c>
    </row>
    <row r="1898" spans="1:6" x14ac:dyDescent="0.25">
      <c r="A1898" t="s">
        <v>2494</v>
      </c>
      <c r="B1898" t="s">
        <v>1137</v>
      </c>
      <c r="C1898" t="s">
        <v>97</v>
      </c>
      <c r="D1898">
        <v>1</v>
      </c>
      <c r="E1898" t="s">
        <v>1657</v>
      </c>
      <c r="F1898" t="s">
        <v>2969</v>
      </c>
    </row>
    <row r="1899" spans="1:6" x14ac:dyDescent="0.25">
      <c r="A1899" t="s">
        <v>2495</v>
      </c>
      <c r="B1899" t="s">
        <v>1138</v>
      </c>
      <c r="C1899" t="s">
        <v>123</v>
      </c>
      <c r="D1899">
        <v>1</v>
      </c>
      <c r="E1899" t="s">
        <v>111</v>
      </c>
      <c r="F1899" t="s">
        <v>2969</v>
      </c>
    </row>
    <row r="1900" spans="1:6" x14ac:dyDescent="0.25">
      <c r="A1900" t="s">
        <v>2495</v>
      </c>
      <c r="B1900" t="s">
        <v>1138</v>
      </c>
      <c r="C1900" t="s">
        <v>123</v>
      </c>
      <c r="D1900">
        <v>2</v>
      </c>
      <c r="E1900" t="s">
        <v>1645</v>
      </c>
      <c r="F1900" t="s">
        <v>2969</v>
      </c>
    </row>
    <row r="1901" spans="1:6" x14ac:dyDescent="0.25">
      <c r="A1901" t="s">
        <v>2495</v>
      </c>
      <c r="B1901" t="s">
        <v>1138</v>
      </c>
      <c r="C1901" t="s">
        <v>123</v>
      </c>
      <c r="D1901">
        <v>3</v>
      </c>
      <c r="E1901" t="s">
        <v>1624</v>
      </c>
      <c r="F1901" t="s">
        <v>2969</v>
      </c>
    </row>
    <row r="1902" spans="1:6" x14ac:dyDescent="0.25">
      <c r="A1902" t="s">
        <v>2495</v>
      </c>
      <c r="B1902" t="s">
        <v>1138</v>
      </c>
      <c r="C1902" t="s">
        <v>123</v>
      </c>
      <c r="D1902">
        <v>4</v>
      </c>
      <c r="E1902" t="s">
        <v>2003</v>
      </c>
      <c r="F1902" t="s">
        <v>2969</v>
      </c>
    </row>
    <row r="1903" spans="1:6" x14ac:dyDescent="0.25">
      <c r="A1903" t="s">
        <v>2496</v>
      </c>
      <c r="B1903" t="s">
        <v>1139</v>
      </c>
      <c r="C1903" t="s">
        <v>27</v>
      </c>
      <c r="D1903">
        <v>1</v>
      </c>
      <c r="E1903" t="s">
        <v>1859</v>
      </c>
      <c r="F1903" t="s">
        <v>2969</v>
      </c>
    </row>
    <row r="1904" spans="1:6" x14ac:dyDescent="0.25">
      <c r="A1904" t="s">
        <v>2496</v>
      </c>
      <c r="B1904" t="s">
        <v>1139</v>
      </c>
      <c r="C1904" t="s">
        <v>27</v>
      </c>
      <c r="D1904">
        <v>2</v>
      </c>
      <c r="E1904" t="s">
        <v>1915</v>
      </c>
      <c r="F1904" t="s">
        <v>2969</v>
      </c>
    </row>
    <row r="1905" spans="1:6" x14ac:dyDescent="0.25">
      <c r="A1905" t="s">
        <v>2496</v>
      </c>
      <c r="B1905" t="s">
        <v>1139</v>
      </c>
      <c r="C1905" t="s">
        <v>27</v>
      </c>
      <c r="D1905">
        <v>3</v>
      </c>
      <c r="E1905" t="s">
        <v>70</v>
      </c>
      <c r="F1905" t="s">
        <v>2969</v>
      </c>
    </row>
    <row r="1906" spans="1:6" x14ac:dyDescent="0.25">
      <c r="A1906" t="s">
        <v>2496</v>
      </c>
      <c r="B1906" t="s">
        <v>1139</v>
      </c>
      <c r="C1906" t="s">
        <v>27</v>
      </c>
      <c r="D1906">
        <v>4</v>
      </c>
      <c r="E1906" t="s">
        <v>2122</v>
      </c>
      <c r="F1906" t="s">
        <v>2969</v>
      </c>
    </row>
    <row r="1907" spans="1:6" x14ac:dyDescent="0.25">
      <c r="A1907" t="s">
        <v>2496</v>
      </c>
      <c r="B1907" t="s">
        <v>1139</v>
      </c>
      <c r="C1907" t="s">
        <v>27</v>
      </c>
      <c r="D1907">
        <v>5</v>
      </c>
      <c r="E1907" t="s">
        <v>1760</v>
      </c>
      <c r="F1907" t="s">
        <v>2969</v>
      </c>
    </row>
    <row r="1908" spans="1:6" x14ac:dyDescent="0.25">
      <c r="A1908" t="s">
        <v>2496</v>
      </c>
      <c r="B1908" t="s">
        <v>1139</v>
      </c>
      <c r="C1908" t="s">
        <v>27</v>
      </c>
      <c r="D1908">
        <v>6</v>
      </c>
      <c r="E1908" t="s">
        <v>2017</v>
      </c>
      <c r="F1908" t="s">
        <v>2969</v>
      </c>
    </row>
    <row r="1909" spans="1:6" x14ac:dyDescent="0.25">
      <c r="A1909" t="s">
        <v>2496</v>
      </c>
      <c r="B1909" t="s">
        <v>1139</v>
      </c>
      <c r="C1909" t="s">
        <v>27</v>
      </c>
      <c r="D1909">
        <v>7</v>
      </c>
      <c r="E1909" t="s">
        <v>1779</v>
      </c>
      <c r="F1909" t="s">
        <v>1692</v>
      </c>
    </row>
    <row r="1910" spans="1:6" x14ac:dyDescent="0.25">
      <c r="A1910" t="s">
        <v>2497</v>
      </c>
      <c r="B1910" t="s">
        <v>1140</v>
      </c>
      <c r="C1910" t="s">
        <v>116</v>
      </c>
      <c r="D1910">
        <v>1</v>
      </c>
      <c r="E1910" t="s">
        <v>1797</v>
      </c>
      <c r="F1910" t="s">
        <v>2969</v>
      </c>
    </row>
    <row r="1911" spans="1:6" x14ac:dyDescent="0.25">
      <c r="A1911" t="s">
        <v>2497</v>
      </c>
      <c r="B1911" t="s">
        <v>1140</v>
      </c>
      <c r="C1911" t="s">
        <v>116</v>
      </c>
      <c r="D1911">
        <v>2</v>
      </c>
      <c r="E1911" t="s">
        <v>1699</v>
      </c>
      <c r="F1911" t="s">
        <v>2969</v>
      </c>
    </row>
    <row r="1912" spans="1:6" x14ac:dyDescent="0.25">
      <c r="A1912" t="s">
        <v>2498</v>
      </c>
      <c r="B1912" t="s">
        <v>1141</v>
      </c>
      <c r="C1912" t="s">
        <v>46</v>
      </c>
      <c r="D1912">
        <v>1</v>
      </c>
      <c r="E1912" t="s">
        <v>1726</v>
      </c>
      <c r="F1912" t="s">
        <v>2969</v>
      </c>
    </row>
    <row r="1913" spans="1:6" x14ac:dyDescent="0.25">
      <c r="A1913" t="s">
        <v>2498</v>
      </c>
      <c r="B1913" t="s">
        <v>1141</v>
      </c>
      <c r="C1913" t="s">
        <v>46</v>
      </c>
      <c r="D1913">
        <v>2</v>
      </c>
      <c r="E1913" t="s">
        <v>1801</v>
      </c>
      <c r="F1913" t="s">
        <v>2969</v>
      </c>
    </row>
    <row r="1914" spans="1:6" x14ac:dyDescent="0.25">
      <c r="A1914" t="s">
        <v>2498</v>
      </c>
      <c r="B1914" t="s">
        <v>1141</v>
      </c>
      <c r="C1914" t="s">
        <v>46</v>
      </c>
      <c r="D1914">
        <v>3</v>
      </c>
      <c r="E1914" t="s">
        <v>68</v>
      </c>
      <c r="F1914" t="s">
        <v>2969</v>
      </c>
    </row>
    <row r="1915" spans="1:6" x14ac:dyDescent="0.25">
      <c r="A1915" t="s">
        <v>2499</v>
      </c>
      <c r="B1915" t="s">
        <v>1142</v>
      </c>
      <c r="C1915" t="s">
        <v>34</v>
      </c>
      <c r="D1915">
        <v>1</v>
      </c>
      <c r="E1915" t="s">
        <v>2122</v>
      </c>
      <c r="F1915" t="s">
        <v>2969</v>
      </c>
    </row>
    <row r="1916" spans="1:6" x14ac:dyDescent="0.25">
      <c r="A1916" t="s">
        <v>2500</v>
      </c>
      <c r="B1916" t="s">
        <v>1143</v>
      </c>
      <c r="C1916" t="s">
        <v>123</v>
      </c>
      <c r="D1916">
        <v>1</v>
      </c>
      <c r="E1916" t="s">
        <v>75</v>
      </c>
      <c r="F1916" t="s">
        <v>2969</v>
      </c>
    </row>
    <row r="1917" spans="1:6" x14ac:dyDescent="0.25">
      <c r="A1917" t="s">
        <v>2500</v>
      </c>
      <c r="B1917" t="s">
        <v>1143</v>
      </c>
      <c r="C1917" t="s">
        <v>123</v>
      </c>
      <c r="D1917">
        <v>2</v>
      </c>
      <c r="E1917" t="s">
        <v>1728</v>
      </c>
      <c r="F1917" t="s">
        <v>2969</v>
      </c>
    </row>
    <row r="1918" spans="1:6" x14ac:dyDescent="0.25">
      <c r="A1918" t="s">
        <v>2500</v>
      </c>
      <c r="B1918" t="s">
        <v>1143</v>
      </c>
      <c r="C1918" t="s">
        <v>123</v>
      </c>
      <c r="D1918">
        <v>3</v>
      </c>
      <c r="E1918" t="s">
        <v>1726</v>
      </c>
      <c r="F1918" t="s">
        <v>2969</v>
      </c>
    </row>
    <row r="1919" spans="1:6" x14ac:dyDescent="0.25">
      <c r="A1919" t="s">
        <v>2501</v>
      </c>
      <c r="B1919" t="s">
        <v>1144</v>
      </c>
      <c r="C1919" t="s">
        <v>107</v>
      </c>
      <c r="D1919">
        <v>1</v>
      </c>
      <c r="E1919" t="s">
        <v>2217</v>
      </c>
      <c r="F1919" t="s">
        <v>2969</v>
      </c>
    </row>
    <row r="1920" spans="1:6" x14ac:dyDescent="0.25">
      <c r="A1920" t="s">
        <v>2501</v>
      </c>
      <c r="B1920" t="s">
        <v>1144</v>
      </c>
      <c r="C1920" t="s">
        <v>107</v>
      </c>
      <c r="D1920">
        <v>2</v>
      </c>
      <c r="E1920" t="s">
        <v>1891</v>
      </c>
      <c r="F1920" t="s">
        <v>2969</v>
      </c>
    </row>
    <row r="1921" spans="1:6" x14ac:dyDescent="0.25">
      <c r="A1921" t="s">
        <v>2501</v>
      </c>
      <c r="B1921" t="s">
        <v>1144</v>
      </c>
      <c r="C1921" t="s">
        <v>107</v>
      </c>
      <c r="D1921">
        <v>3</v>
      </c>
      <c r="E1921" t="s">
        <v>1691</v>
      </c>
      <c r="F1921" t="s">
        <v>2969</v>
      </c>
    </row>
    <row r="1922" spans="1:6" x14ac:dyDescent="0.25">
      <c r="A1922" t="s">
        <v>2501</v>
      </c>
      <c r="B1922" t="s">
        <v>1144</v>
      </c>
      <c r="C1922" t="s">
        <v>107</v>
      </c>
      <c r="D1922">
        <v>4</v>
      </c>
      <c r="E1922" t="s">
        <v>19</v>
      </c>
      <c r="F1922" t="s">
        <v>2969</v>
      </c>
    </row>
    <row r="1923" spans="1:6" x14ac:dyDescent="0.25">
      <c r="A1923" t="s">
        <v>2502</v>
      </c>
      <c r="B1923" t="s">
        <v>1145</v>
      </c>
      <c r="C1923" t="s">
        <v>8</v>
      </c>
      <c r="D1923">
        <v>1</v>
      </c>
      <c r="E1923" t="s">
        <v>2472</v>
      </c>
      <c r="F1923" t="s">
        <v>2969</v>
      </c>
    </row>
    <row r="1924" spans="1:6" x14ac:dyDescent="0.25">
      <c r="A1924" t="s">
        <v>2502</v>
      </c>
      <c r="B1924" t="s">
        <v>1145</v>
      </c>
      <c r="C1924" t="s">
        <v>8</v>
      </c>
      <c r="D1924">
        <v>2</v>
      </c>
      <c r="E1924" t="s">
        <v>1754</v>
      </c>
      <c r="F1924" t="s">
        <v>2969</v>
      </c>
    </row>
    <row r="1925" spans="1:6" x14ac:dyDescent="0.25">
      <c r="A1925" t="s">
        <v>2502</v>
      </c>
      <c r="B1925" t="s">
        <v>1145</v>
      </c>
      <c r="C1925" t="s">
        <v>8</v>
      </c>
      <c r="D1925">
        <v>3</v>
      </c>
      <c r="E1925" t="s">
        <v>1807</v>
      </c>
      <c r="F1925" t="s">
        <v>2969</v>
      </c>
    </row>
    <row r="1926" spans="1:6" x14ac:dyDescent="0.25">
      <c r="A1926" t="s">
        <v>2503</v>
      </c>
      <c r="B1926" t="s">
        <v>1146</v>
      </c>
      <c r="C1926" t="s">
        <v>118</v>
      </c>
      <c r="D1926">
        <v>1</v>
      </c>
      <c r="E1926" t="s">
        <v>1697</v>
      </c>
      <c r="F1926" t="s">
        <v>2969</v>
      </c>
    </row>
    <row r="1927" spans="1:6" x14ac:dyDescent="0.25">
      <c r="A1927" t="s">
        <v>2503</v>
      </c>
      <c r="B1927" t="s">
        <v>1146</v>
      </c>
      <c r="C1927" t="s">
        <v>118</v>
      </c>
      <c r="D1927">
        <v>2</v>
      </c>
      <c r="E1927" t="s">
        <v>33</v>
      </c>
      <c r="F1927" t="s">
        <v>2969</v>
      </c>
    </row>
    <row r="1928" spans="1:6" x14ac:dyDescent="0.25">
      <c r="A1928" t="s">
        <v>2503</v>
      </c>
      <c r="B1928" t="s">
        <v>1146</v>
      </c>
      <c r="C1928" t="s">
        <v>118</v>
      </c>
      <c r="D1928">
        <v>3</v>
      </c>
      <c r="E1928" t="s">
        <v>133</v>
      </c>
      <c r="F1928" t="s">
        <v>2969</v>
      </c>
    </row>
    <row r="1929" spans="1:6" x14ac:dyDescent="0.25">
      <c r="A1929" t="s">
        <v>2503</v>
      </c>
      <c r="B1929" t="s">
        <v>1146</v>
      </c>
      <c r="C1929" t="s">
        <v>118</v>
      </c>
      <c r="D1929">
        <v>4</v>
      </c>
      <c r="E1929" t="s">
        <v>1651</v>
      </c>
      <c r="F1929" t="s">
        <v>2969</v>
      </c>
    </row>
    <row r="1930" spans="1:6" x14ac:dyDescent="0.25">
      <c r="A1930" t="s">
        <v>2503</v>
      </c>
      <c r="B1930" t="s">
        <v>1146</v>
      </c>
      <c r="C1930" t="s">
        <v>118</v>
      </c>
      <c r="D1930">
        <v>5</v>
      </c>
      <c r="E1930" t="s">
        <v>2470</v>
      </c>
      <c r="F1930" t="s">
        <v>2969</v>
      </c>
    </row>
    <row r="1931" spans="1:6" x14ac:dyDescent="0.25">
      <c r="A1931" t="s">
        <v>2504</v>
      </c>
      <c r="B1931" t="s">
        <v>1147</v>
      </c>
      <c r="C1931" t="s">
        <v>92</v>
      </c>
      <c r="D1931">
        <v>1</v>
      </c>
      <c r="E1931" t="s">
        <v>1960</v>
      </c>
      <c r="F1931" t="s">
        <v>2969</v>
      </c>
    </row>
    <row r="1932" spans="1:6" x14ac:dyDescent="0.25">
      <c r="A1932" t="s">
        <v>2504</v>
      </c>
      <c r="B1932" t="s">
        <v>1147</v>
      </c>
      <c r="C1932" t="s">
        <v>92</v>
      </c>
      <c r="D1932">
        <v>2</v>
      </c>
      <c r="E1932" t="s">
        <v>1621</v>
      </c>
      <c r="F1932" t="s">
        <v>2969</v>
      </c>
    </row>
    <row r="1933" spans="1:6" x14ac:dyDescent="0.25">
      <c r="A1933" t="s">
        <v>2504</v>
      </c>
      <c r="B1933" t="s">
        <v>1147</v>
      </c>
      <c r="C1933" t="s">
        <v>92</v>
      </c>
      <c r="D1933">
        <v>3</v>
      </c>
      <c r="E1933" t="s">
        <v>1751</v>
      </c>
      <c r="F1933" t="s">
        <v>2969</v>
      </c>
    </row>
    <row r="1934" spans="1:6" x14ac:dyDescent="0.25">
      <c r="A1934" t="s">
        <v>2504</v>
      </c>
      <c r="B1934" t="s">
        <v>1147</v>
      </c>
      <c r="C1934" t="s">
        <v>92</v>
      </c>
      <c r="D1934">
        <v>4</v>
      </c>
      <c r="E1934" t="s">
        <v>1678</v>
      </c>
      <c r="F1934" t="s">
        <v>2969</v>
      </c>
    </row>
    <row r="1935" spans="1:6" x14ac:dyDescent="0.25">
      <c r="A1935" t="s">
        <v>2505</v>
      </c>
      <c r="B1935" t="s">
        <v>1148</v>
      </c>
      <c r="C1935" t="s">
        <v>69</v>
      </c>
      <c r="D1935">
        <v>1</v>
      </c>
      <c r="E1935" t="s">
        <v>1879</v>
      </c>
      <c r="F1935" t="s">
        <v>2969</v>
      </c>
    </row>
    <row r="1936" spans="1:6" x14ac:dyDescent="0.25">
      <c r="A1936" t="s">
        <v>2506</v>
      </c>
      <c r="B1936" t="s">
        <v>1149</v>
      </c>
      <c r="C1936" t="s">
        <v>56</v>
      </c>
      <c r="D1936">
        <v>1</v>
      </c>
      <c r="E1936" t="s">
        <v>13</v>
      </c>
      <c r="F1936" t="s">
        <v>2969</v>
      </c>
    </row>
    <row r="1937" spans="1:6" x14ac:dyDescent="0.25">
      <c r="A1937" t="s">
        <v>2506</v>
      </c>
      <c r="B1937" t="s">
        <v>1149</v>
      </c>
      <c r="C1937" t="s">
        <v>56</v>
      </c>
      <c r="D1937">
        <v>2</v>
      </c>
      <c r="E1937" t="s">
        <v>2081</v>
      </c>
      <c r="F1937" t="s">
        <v>2969</v>
      </c>
    </row>
    <row r="1938" spans="1:6" x14ac:dyDescent="0.25">
      <c r="A1938" t="s">
        <v>2507</v>
      </c>
      <c r="B1938" t="s">
        <v>1150</v>
      </c>
      <c r="C1938" t="s">
        <v>66</v>
      </c>
      <c r="D1938">
        <v>1</v>
      </c>
      <c r="E1938" t="s">
        <v>2029</v>
      </c>
      <c r="F1938" t="s">
        <v>2969</v>
      </c>
    </row>
    <row r="1939" spans="1:6" x14ac:dyDescent="0.25">
      <c r="A1939" t="s">
        <v>2508</v>
      </c>
      <c r="B1939" t="s">
        <v>1151</v>
      </c>
      <c r="C1939" t="s">
        <v>116</v>
      </c>
      <c r="D1939">
        <v>1</v>
      </c>
      <c r="E1939" t="s">
        <v>84</v>
      </c>
      <c r="F1939" t="s">
        <v>2969</v>
      </c>
    </row>
    <row r="1940" spans="1:6" x14ac:dyDescent="0.25">
      <c r="A1940" t="s">
        <v>2508</v>
      </c>
      <c r="B1940" t="s">
        <v>1151</v>
      </c>
      <c r="C1940" t="s">
        <v>116</v>
      </c>
      <c r="D1940">
        <v>2</v>
      </c>
      <c r="E1940" t="s">
        <v>45</v>
      </c>
      <c r="F1940" t="s">
        <v>2969</v>
      </c>
    </row>
    <row r="1941" spans="1:6" x14ac:dyDescent="0.25">
      <c r="A1941" t="s">
        <v>2508</v>
      </c>
      <c r="B1941" t="s">
        <v>1151</v>
      </c>
      <c r="C1941" t="s">
        <v>116</v>
      </c>
      <c r="D1941">
        <v>3</v>
      </c>
      <c r="E1941" t="s">
        <v>2071</v>
      </c>
      <c r="F1941" t="s">
        <v>2969</v>
      </c>
    </row>
    <row r="1942" spans="1:6" x14ac:dyDescent="0.25">
      <c r="A1942" t="s">
        <v>2508</v>
      </c>
      <c r="B1942" t="s">
        <v>1151</v>
      </c>
      <c r="C1942" t="s">
        <v>116</v>
      </c>
      <c r="D1942">
        <v>4</v>
      </c>
      <c r="E1942" t="s">
        <v>38</v>
      </c>
      <c r="F1942" t="s">
        <v>2969</v>
      </c>
    </row>
    <row r="1943" spans="1:6" x14ac:dyDescent="0.25">
      <c r="A1943" t="s">
        <v>2509</v>
      </c>
      <c r="B1943" t="s">
        <v>1152</v>
      </c>
      <c r="C1943" t="s">
        <v>134</v>
      </c>
      <c r="D1943">
        <v>1</v>
      </c>
      <c r="E1943" t="s">
        <v>1695</v>
      </c>
      <c r="F1943" t="s">
        <v>2969</v>
      </c>
    </row>
    <row r="1944" spans="1:6" x14ac:dyDescent="0.25">
      <c r="A1944" t="s">
        <v>2509</v>
      </c>
      <c r="B1944" t="s">
        <v>1152</v>
      </c>
      <c r="C1944" t="s">
        <v>134</v>
      </c>
      <c r="D1944">
        <v>2</v>
      </c>
      <c r="E1944" t="s">
        <v>70</v>
      </c>
      <c r="F1944" t="s">
        <v>2969</v>
      </c>
    </row>
    <row r="1945" spans="1:6" x14ac:dyDescent="0.25">
      <c r="A1945" t="s">
        <v>2509</v>
      </c>
      <c r="B1945" t="s">
        <v>1152</v>
      </c>
      <c r="C1945" t="s">
        <v>134</v>
      </c>
      <c r="D1945">
        <v>3</v>
      </c>
      <c r="E1945" t="s">
        <v>1754</v>
      </c>
      <c r="F1945" t="s">
        <v>2969</v>
      </c>
    </row>
    <row r="1946" spans="1:6" x14ac:dyDescent="0.25">
      <c r="A1946" t="s">
        <v>2510</v>
      </c>
      <c r="B1946" t="s">
        <v>1153</v>
      </c>
      <c r="C1946" t="s">
        <v>52</v>
      </c>
      <c r="D1946">
        <v>1</v>
      </c>
      <c r="E1946" t="s">
        <v>99</v>
      </c>
      <c r="F1946" t="s">
        <v>2969</v>
      </c>
    </row>
    <row r="1947" spans="1:6" x14ac:dyDescent="0.25">
      <c r="A1947" t="s">
        <v>2510</v>
      </c>
      <c r="B1947" t="s">
        <v>1153</v>
      </c>
      <c r="C1947" t="s">
        <v>52</v>
      </c>
      <c r="D1947">
        <v>2</v>
      </c>
      <c r="E1947" t="s">
        <v>1663</v>
      </c>
      <c r="F1947" t="s">
        <v>2969</v>
      </c>
    </row>
    <row r="1948" spans="1:6" x14ac:dyDescent="0.25">
      <c r="A1948" t="s">
        <v>2510</v>
      </c>
      <c r="B1948" t="s">
        <v>1153</v>
      </c>
      <c r="C1948" t="s">
        <v>52</v>
      </c>
      <c r="D1948">
        <v>3</v>
      </c>
      <c r="E1948" t="s">
        <v>1886</v>
      </c>
      <c r="F1948" t="s">
        <v>2969</v>
      </c>
    </row>
    <row r="1949" spans="1:6" x14ac:dyDescent="0.25">
      <c r="A1949" t="s">
        <v>2511</v>
      </c>
      <c r="B1949" t="s">
        <v>1154</v>
      </c>
      <c r="C1949" t="s">
        <v>130</v>
      </c>
      <c r="D1949">
        <v>1</v>
      </c>
      <c r="E1949" t="s">
        <v>1891</v>
      </c>
      <c r="F1949" t="s">
        <v>2969</v>
      </c>
    </row>
    <row r="1950" spans="1:6" x14ac:dyDescent="0.25">
      <c r="A1950" t="s">
        <v>2511</v>
      </c>
      <c r="B1950" t="s">
        <v>1154</v>
      </c>
      <c r="C1950" t="s">
        <v>130</v>
      </c>
      <c r="D1950">
        <v>2</v>
      </c>
      <c r="E1950" t="s">
        <v>2472</v>
      </c>
      <c r="F1950" t="s">
        <v>2969</v>
      </c>
    </row>
    <row r="1951" spans="1:6" x14ac:dyDescent="0.25">
      <c r="A1951" t="s">
        <v>2512</v>
      </c>
      <c r="B1951" t="s">
        <v>1155</v>
      </c>
      <c r="C1951" t="s">
        <v>31</v>
      </c>
      <c r="D1951">
        <v>1</v>
      </c>
      <c r="E1951" t="s">
        <v>2081</v>
      </c>
      <c r="F1951" t="s">
        <v>2969</v>
      </c>
    </row>
    <row r="1952" spans="1:6" x14ac:dyDescent="0.25">
      <c r="A1952" t="s">
        <v>2512</v>
      </c>
      <c r="B1952" t="s">
        <v>1155</v>
      </c>
      <c r="C1952" t="s">
        <v>31</v>
      </c>
      <c r="D1952">
        <v>2</v>
      </c>
      <c r="E1952" t="s">
        <v>1651</v>
      </c>
      <c r="F1952" t="s">
        <v>2969</v>
      </c>
    </row>
    <row r="1953" spans="1:6" x14ac:dyDescent="0.25">
      <c r="A1953" t="s">
        <v>2513</v>
      </c>
      <c r="B1953" t="s">
        <v>1156</v>
      </c>
      <c r="C1953" t="s">
        <v>59</v>
      </c>
      <c r="D1953">
        <v>1</v>
      </c>
      <c r="E1953" t="s">
        <v>104</v>
      </c>
      <c r="F1953" t="s">
        <v>2969</v>
      </c>
    </row>
    <row r="1954" spans="1:6" x14ac:dyDescent="0.25">
      <c r="A1954" t="s">
        <v>2513</v>
      </c>
      <c r="B1954" t="s">
        <v>1156</v>
      </c>
      <c r="C1954" t="s">
        <v>59</v>
      </c>
      <c r="D1954">
        <v>2</v>
      </c>
      <c r="E1954" t="s">
        <v>82</v>
      </c>
      <c r="F1954" t="s">
        <v>2969</v>
      </c>
    </row>
    <row r="1955" spans="1:6" x14ac:dyDescent="0.25">
      <c r="A1955" t="s">
        <v>2513</v>
      </c>
      <c r="B1955" t="s">
        <v>1156</v>
      </c>
      <c r="C1955" t="s">
        <v>59</v>
      </c>
      <c r="D1955">
        <v>3</v>
      </c>
      <c r="E1955" t="s">
        <v>48</v>
      </c>
      <c r="F1955" t="s">
        <v>2969</v>
      </c>
    </row>
    <row r="1956" spans="1:6" x14ac:dyDescent="0.25">
      <c r="A1956" t="s">
        <v>2514</v>
      </c>
      <c r="B1956" t="s">
        <v>1157</v>
      </c>
      <c r="C1956" t="s">
        <v>8</v>
      </c>
      <c r="D1956">
        <v>1</v>
      </c>
      <c r="E1956" t="s">
        <v>1687</v>
      </c>
      <c r="F1956" t="s">
        <v>2969</v>
      </c>
    </row>
    <row r="1957" spans="1:6" x14ac:dyDescent="0.25">
      <c r="A1957" t="s">
        <v>2514</v>
      </c>
      <c r="B1957" t="s">
        <v>1157</v>
      </c>
      <c r="C1957" t="s">
        <v>8</v>
      </c>
      <c r="D1957">
        <v>2</v>
      </c>
      <c r="E1957" t="s">
        <v>1850</v>
      </c>
      <c r="F1957" t="s">
        <v>2969</v>
      </c>
    </row>
    <row r="1958" spans="1:6" x14ac:dyDescent="0.25">
      <c r="A1958" t="s">
        <v>2515</v>
      </c>
      <c r="B1958" t="s">
        <v>1158</v>
      </c>
      <c r="C1958" t="s">
        <v>94</v>
      </c>
      <c r="D1958">
        <v>1</v>
      </c>
      <c r="E1958" t="s">
        <v>2516</v>
      </c>
      <c r="F1958" t="s">
        <v>2969</v>
      </c>
    </row>
    <row r="1959" spans="1:6" x14ac:dyDescent="0.25">
      <c r="A1959" t="s">
        <v>2517</v>
      </c>
      <c r="B1959" t="s">
        <v>1159</v>
      </c>
      <c r="C1959" t="s">
        <v>23</v>
      </c>
      <c r="D1959">
        <v>1</v>
      </c>
      <c r="E1959" t="s">
        <v>1908</v>
      </c>
      <c r="F1959" t="s">
        <v>2969</v>
      </c>
    </row>
    <row r="1960" spans="1:6" x14ac:dyDescent="0.25">
      <c r="A1960" t="s">
        <v>2517</v>
      </c>
      <c r="B1960" t="s">
        <v>1159</v>
      </c>
      <c r="C1960" t="s">
        <v>23</v>
      </c>
      <c r="D1960">
        <v>2</v>
      </c>
      <c r="E1960" t="s">
        <v>1995</v>
      </c>
      <c r="F1960" t="s">
        <v>2969</v>
      </c>
    </row>
    <row r="1961" spans="1:6" x14ac:dyDescent="0.25">
      <c r="A1961" t="s">
        <v>2517</v>
      </c>
      <c r="B1961" t="s">
        <v>1159</v>
      </c>
      <c r="C1961" t="s">
        <v>23</v>
      </c>
      <c r="D1961">
        <v>3</v>
      </c>
      <c r="E1961" t="s">
        <v>1731</v>
      </c>
      <c r="F1961" t="s">
        <v>2969</v>
      </c>
    </row>
    <row r="1962" spans="1:6" x14ac:dyDescent="0.25">
      <c r="A1962" t="s">
        <v>2517</v>
      </c>
      <c r="B1962" t="s">
        <v>1159</v>
      </c>
      <c r="C1962" t="s">
        <v>23</v>
      </c>
      <c r="D1962">
        <v>4</v>
      </c>
      <c r="E1962" t="s">
        <v>1833</v>
      </c>
      <c r="F1962" t="s">
        <v>2969</v>
      </c>
    </row>
    <row r="1963" spans="1:6" x14ac:dyDescent="0.25">
      <c r="A1963" t="s">
        <v>2518</v>
      </c>
      <c r="B1963" t="s">
        <v>1160</v>
      </c>
      <c r="C1963" t="s">
        <v>59</v>
      </c>
      <c r="D1963">
        <v>1</v>
      </c>
      <c r="E1963" t="s">
        <v>48</v>
      </c>
      <c r="F1963" t="s">
        <v>2969</v>
      </c>
    </row>
    <row r="1964" spans="1:6" x14ac:dyDescent="0.25">
      <c r="A1964" t="s">
        <v>2518</v>
      </c>
      <c r="B1964" t="s">
        <v>1160</v>
      </c>
      <c r="C1964" t="s">
        <v>59</v>
      </c>
      <c r="D1964">
        <v>2</v>
      </c>
      <c r="E1964" t="s">
        <v>1758</v>
      </c>
      <c r="F1964" t="s">
        <v>2969</v>
      </c>
    </row>
    <row r="1965" spans="1:6" x14ac:dyDescent="0.25">
      <c r="A1965" t="s">
        <v>2518</v>
      </c>
      <c r="B1965" t="s">
        <v>1160</v>
      </c>
      <c r="C1965" t="s">
        <v>59</v>
      </c>
      <c r="D1965">
        <v>3</v>
      </c>
      <c r="E1965" t="s">
        <v>1667</v>
      </c>
      <c r="F1965" t="s">
        <v>2969</v>
      </c>
    </row>
    <row r="1966" spans="1:6" x14ac:dyDescent="0.25">
      <c r="A1966" t="s">
        <v>2519</v>
      </c>
      <c r="B1966" t="s">
        <v>1161</v>
      </c>
      <c r="C1966" t="s">
        <v>71</v>
      </c>
      <c r="D1966">
        <v>1</v>
      </c>
      <c r="E1966" t="s">
        <v>1649</v>
      </c>
      <c r="F1966" t="s">
        <v>2969</v>
      </c>
    </row>
    <row r="1967" spans="1:6" x14ac:dyDescent="0.25">
      <c r="A1967" t="s">
        <v>2519</v>
      </c>
      <c r="B1967" t="s">
        <v>1161</v>
      </c>
      <c r="C1967" t="s">
        <v>71</v>
      </c>
      <c r="D1967">
        <v>2</v>
      </c>
      <c r="E1967" t="s">
        <v>1697</v>
      </c>
      <c r="F1967" t="s">
        <v>2969</v>
      </c>
    </row>
    <row r="1968" spans="1:6" x14ac:dyDescent="0.25">
      <c r="A1968" t="s">
        <v>2520</v>
      </c>
      <c r="B1968" t="s">
        <v>1162</v>
      </c>
      <c r="C1968" t="s">
        <v>100</v>
      </c>
      <c r="D1968">
        <v>1</v>
      </c>
      <c r="E1968" t="s">
        <v>1629</v>
      </c>
      <c r="F1968" t="s">
        <v>2969</v>
      </c>
    </row>
    <row r="1969" spans="1:6" x14ac:dyDescent="0.25">
      <c r="A1969" t="s">
        <v>2521</v>
      </c>
      <c r="B1969" t="s">
        <v>1163</v>
      </c>
      <c r="C1969" t="s">
        <v>100</v>
      </c>
      <c r="D1969">
        <v>1</v>
      </c>
      <c r="E1969" t="s">
        <v>1815</v>
      </c>
      <c r="F1969" t="s">
        <v>2969</v>
      </c>
    </row>
    <row r="1970" spans="1:6" x14ac:dyDescent="0.25">
      <c r="A1970" t="s">
        <v>2522</v>
      </c>
      <c r="B1970" t="s">
        <v>1164</v>
      </c>
      <c r="C1970" t="s">
        <v>27</v>
      </c>
      <c r="D1970">
        <v>1</v>
      </c>
      <c r="E1970" t="s">
        <v>2046</v>
      </c>
      <c r="F1970" t="s">
        <v>2969</v>
      </c>
    </row>
    <row r="1971" spans="1:6" x14ac:dyDescent="0.25">
      <c r="A1971" t="s">
        <v>2522</v>
      </c>
      <c r="B1971" t="s">
        <v>1164</v>
      </c>
      <c r="C1971" t="s">
        <v>27</v>
      </c>
      <c r="D1971">
        <v>2</v>
      </c>
      <c r="E1971" t="s">
        <v>2472</v>
      </c>
      <c r="F1971" t="s">
        <v>2969</v>
      </c>
    </row>
    <row r="1972" spans="1:6" x14ac:dyDescent="0.25">
      <c r="A1972" t="s">
        <v>2522</v>
      </c>
      <c r="B1972" t="s">
        <v>1164</v>
      </c>
      <c r="C1972" t="s">
        <v>27</v>
      </c>
      <c r="D1972">
        <v>3</v>
      </c>
      <c r="E1972" t="s">
        <v>1807</v>
      </c>
      <c r="F1972" t="s">
        <v>2969</v>
      </c>
    </row>
    <row r="1973" spans="1:6" x14ac:dyDescent="0.25">
      <c r="A1973" t="s">
        <v>2522</v>
      </c>
      <c r="B1973" t="s">
        <v>1164</v>
      </c>
      <c r="C1973" t="s">
        <v>27</v>
      </c>
      <c r="D1973">
        <v>4</v>
      </c>
      <c r="E1973" t="s">
        <v>2094</v>
      </c>
      <c r="F1973" t="s">
        <v>2969</v>
      </c>
    </row>
    <row r="1974" spans="1:6" x14ac:dyDescent="0.25">
      <c r="A1974" t="s">
        <v>2523</v>
      </c>
      <c r="B1974" t="s">
        <v>1165</v>
      </c>
      <c r="C1974" t="s">
        <v>46</v>
      </c>
      <c r="D1974">
        <v>1</v>
      </c>
      <c r="E1974" t="s">
        <v>78</v>
      </c>
      <c r="F1974" t="s">
        <v>2969</v>
      </c>
    </row>
    <row r="1975" spans="1:6" x14ac:dyDescent="0.25">
      <c r="A1975" t="s">
        <v>2524</v>
      </c>
      <c r="B1975" t="s">
        <v>1166</v>
      </c>
      <c r="C1975" t="s">
        <v>132</v>
      </c>
      <c r="D1975">
        <v>1</v>
      </c>
      <c r="E1975" t="s">
        <v>1760</v>
      </c>
      <c r="F1975" t="s">
        <v>2969</v>
      </c>
    </row>
    <row r="1976" spans="1:6" x14ac:dyDescent="0.25">
      <c r="A1976" t="s">
        <v>2524</v>
      </c>
      <c r="B1976" t="s">
        <v>1166</v>
      </c>
      <c r="C1976" t="s">
        <v>132</v>
      </c>
      <c r="D1976">
        <v>2</v>
      </c>
      <c r="E1976" t="s">
        <v>2017</v>
      </c>
      <c r="F1976" t="s">
        <v>2969</v>
      </c>
    </row>
    <row r="1977" spans="1:6" x14ac:dyDescent="0.25">
      <c r="A1977" t="s">
        <v>2524</v>
      </c>
      <c r="B1977" t="s">
        <v>1166</v>
      </c>
      <c r="C1977" t="s">
        <v>132</v>
      </c>
      <c r="D1977">
        <v>3</v>
      </c>
      <c r="E1977" t="s">
        <v>2130</v>
      </c>
      <c r="F1977" t="s">
        <v>2969</v>
      </c>
    </row>
    <row r="1978" spans="1:6" x14ac:dyDescent="0.25">
      <c r="A1978" t="s">
        <v>2524</v>
      </c>
      <c r="B1978" t="s">
        <v>1166</v>
      </c>
      <c r="C1978" t="s">
        <v>132</v>
      </c>
      <c r="D1978">
        <v>4</v>
      </c>
      <c r="E1978" t="s">
        <v>106</v>
      </c>
      <c r="F1978" t="s">
        <v>2969</v>
      </c>
    </row>
    <row r="1979" spans="1:6" x14ac:dyDescent="0.25">
      <c r="A1979" t="s">
        <v>2524</v>
      </c>
      <c r="B1979" t="s">
        <v>1166</v>
      </c>
      <c r="C1979" t="s">
        <v>132</v>
      </c>
      <c r="D1979">
        <v>5</v>
      </c>
      <c r="E1979" t="s">
        <v>1904</v>
      </c>
      <c r="F1979" t="s">
        <v>2969</v>
      </c>
    </row>
    <row r="1980" spans="1:6" x14ac:dyDescent="0.25">
      <c r="A1980" t="s">
        <v>2524</v>
      </c>
      <c r="B1980" t="s">
        <v>1166</v>
      </c>
      <c r="C1980" t="s">
        <v>132</v>
      </c>
      <c r="D1980">
        <v>6</v>
      </c>
      <c r="E1980" t="s">
        <v>1655</v>
      </c>
      <c r="F1980" t="s">
        <v>2969</v>
      </c>
    </row>
    <row r="1981" spans="1:6" x14ac:dyDescent="0.25">
      <c r="A1981" t="s">
        <v>2524</v>
      </c>
      <c r="B1981" t="s">
        <v>1166</v>
      </c>
      <c r="C1981" t="s">
        <v>132</v>
      </c>
      <c r="D1981">
        <v>7</v>
      </c>
      <c r="E1981" t="s">
        <v>1711</v>
      </c>
      <c r="F1981" t="s">
        <v>1692</v>
      </c>
    </row>
    <row r="1982" spans="1:6" x14ac:dyDescent="0.25">
      <c r="A1982" t="s">
        <v>2525</v>
      </c>
      <c r="B1982" t="s">
        <v>1167</v>
      </c>
      <c r="C1982" t="s">
        <v>100</v>
      </c>
      <c r="D1982">
        <v>1</v>
      </c>
      <c r="E1982" t="s">
        <v>111</v>
      </c>
      <c r="F1982" t="s">
        <v>2969</v>
      </c>
    </row>
    <row r="1983" spans="1:6" x14ac:dyDescent="0.25">
      <c r="A1983" t="s">
        <v>2525</v>
      </c>
      <c r="B1983" t="s">
        <v>1167</v>
      </c>
      <c r="C1983" t="s">
        <v>100</v>
      </c>
      <c r="D1983">
        <v>2</v>
      </c>
      <c r="E1983" t="s">
        <v>1645</v>
      </c>
      <c r="F1983" t="s">
        <v>2969</v>
      </c>
    </row>
    <row r="1984" spans="1:6" x14ac:dyDescent="0.25">
      <c r="A1984" t="s">
        <v>2525</v>
      </c>
      <c r="B1984" t="s">
        <v>1167</v>
      </c>
      <c r="C1984" t="s">
        <v>100</v>
      </c>
      <c r="D1984">
        <v>3</v>
      </c>
      <c r="E1984" t="s">
        <v>1953</v>
      </c>
      <c r="F1984" t="s">
        <v>2969</v>
      </c>
    </row>
    <row r="1985" spans="1:6" x14ac:dyDescent="0.25">
      <c r="A1985" t="s">
        <v>2526</v>
      </c>
      <c r="B1985" t="s">
        <v>1168</v>
      </c>
      <c r="C1985" t="s">
        <v>65</v>
      </c>
      <c r="D1985">
        <v>1</v>
      </c>
      <c r="E1985" t="s">
        <v>124</v>
      </c>
      <c r="F1985" t="s">
        <v>2969</v>
      </c>
    </row>
    <row r="1986" spans="1:6" x14ac:dyDescent="0.25">
      <c r="A1986" t="s">
        <v>2526</v>
      </c>
      <c r="B1986" t="s">
        <v>1168</v>
      </c>
      <c r="C1986" t="s">
        <v>65</v>
      </c>
      <c r="D1986">
        <v>2</v>
      </c>
      <c r="E1986" t="s">
        <v>75</v>
      </c>
      <c r="F1986" t="s">
        <v>2969</v>
      </c>
    </row>
    <row r="1987" spans="1:6" x14ac:dyDescent="0.25">
      <c r="A1987" t="s">
        <v>2526</v>
      </c>
      <c r="B1987" t="s">
        <v>1168</v>
      </c>
      <c r="C1987" t="s">
        <v>65</v>
      </c>
      <c r="D1987">
        <v>3</v>
      </c>
      <c r="E1987" t="s">
        <v>1728</v>
      </c>
      <c r="F1987" t="s">
        <v>2969</v>
      </c>
    </row>
    <row r="1988" spans="1:6" x14ac:dyDescent="0.25">
      <c r="A1988" t="s">
        <v>2526</v>
      </c>
      <c r="B1988" t="s">
        <v>1168</v>
      </c>
      <c r="C1988" t="s">
        <v>65</v>
      </c>
      <c r="D1988">
        <v>4</v>
      </c>
      <c r="E1988" t="s">
        <v>1726</v>
      </c>
      <c r="F1988" t="s">
        <v>2969</v>
      </c>
    </row>
    <row r="1989" spans="1:6" x14ac:dyDescent="0.25">
      <c r="A1989" t="s">
        <v>2527</v>
      </c>
      <c r="B1989" t="s">
        <v>1169</v>
      </c>
      <c r="C1989" t="s">
        <v>116</v>
      </c>
      <c r="D1989">
        <v>1</v>
      </c>
      <c r="E1989" t="s">
        <v>26</v>
      </c>
      <c r="F1989" t="s">
        <v>2969</v>
      </c>
    </row>
    <row r="1990" spans="1:6" x14ac:dyDescent="0.25">
      <c r="A1990" t="s">
        <v>2527</v>
      </c>
      <c r="B1990" t="s">
        <v>1169</v>
      </c>
      <c r="C1990" t="s">
        <v>116</v>
      </c>
      <c r="D1990">
        <v>2</v>
      </c>
      <c r="E1990" t="s">
        <v>1946</v>
      </c>
      <c r="F1990" t="s">
        <v>2969</v>
      </c>
    </row>
    <row r="1991" spans="1:6" x14ac:dyDescent="0.25">
      <c r="A1991" t="s">
        <v>2528</v>
      </c>
      <c r="B1991" t="s">
        <v>1170</v>
      </c>
      <c r="C1991" t="s">
        <v>92</v>
      </c>
      <c r="D1991">
        <v>1</v>
      </c>
      <c r="E1991" t="s">
        <v>1629</v>
      </c>
      <c r="F1991" t="s">
        <v>2969</v>
      </c>
    </row>
    <row r="1992" spans="1:6" x14ac:dyDescent="0.25">
      <c r="A1992" t="s">
        <v>2529</v>
      </c>
      <c r="B1992" t="s">
        <v>1171</v>
      </c>
      <c r="C1992" t="s">
        <v>112</v>
      </c>
      <c r="D1992">
        <v>1</v>
      </c>
      <c r="E1992" t="s">
        <v>1680</v>
      </c>
      <c r="F1992" t="s">
        <v>2969</v>
      </c>
    </row>
    <row r="1993" spans="1:6" x14ac:dyDescent="0.25">
      <c r="A1993" t="s">
        <v>2529</v>
      </c>
      <c r="B1993" t="s">
        <v>1171</v>
      </c>
      <c r="C1993" t="s">
        <v>112</v>
      </c>
      <c r="D1993">
        <v>2</v>
      </c>
      <c r="E1993" t="s">
        <v>1704</v>
      </c>
      <c r="F1993" t="s">
        <v>2969</v>
      </c>
    </row>
    <row r="1994" spans="1:6" x14ac:dyDescent="0.25">
      <c r="A1994" t="s">
        <v>2529</v>
      </c>
      <c r="B1994" t="s">
        <v>1171</v>
      </c>
      <c r="C1994" t="s">
        <v>112</v>
      </c>
      <c r="D1994">
        <v>3</v>
      </c>
      <c r="E1994" t="s">
        <v>1724</v>
      </c>
      <c r="F1994" t="s">
        <v>2969</v>
      </c>
    </row>
    <row r="1995" spans="1:6" x14ac:dyDescent="0.25">
      <c r="A1995" t="s">
        <v>2530</v>
      </c>
      <c r="B1995" t="s">
        <v>1172</v>
      </c>
      <c r="C1995" t="s">
        <v>92</v>
      </c>
      <c r="D1995">
        <v>1</v>
      </c>
      <c r="E1995" t="s">
        <v>1934</v>
      </c>
      <c r="F1995" t="s">
        <v>2969</v>
      </c>
    </row>
    <row r="1996" spans="1:6" x14ac:dyDescent="0.25">
      <c r="A1996" t="s">
        <v>2530</v>
      </c>
      <c r="B1996" t="s">
        <v>1172</v>
      </c>
      <c r="C1996" t="s">
        <v>92</v>
      </c>
      <c r="D1996">
        <v>2</v>
      </c>
      <c r="E1996" t="s">
        <v>1923</v>
      </c>
      <c r="F1996" t="s">
        <v>2969</v>
      </c>
    </row>
    <row r="1997" spans="1:6" x14ac:dyDescent="0.25">
      <c r="A1997" t="s">
        <v>2530</v>
      </c>
      <c r="B1997" t="s">
        <v>1172</v>
      </c>
      <c r="C1997" t="s">
        <v>92</v>
      </c>
      <c r="D1997">
        <v>3</v>
      </c>
      <c r="E1997" t="s">
        <v>1844</v>
      </c>
      <c r="F1997" t="s">
        <v>2969</v>
      </c>
    </row>
    <row r="1998" spans="1:6" x14ac:dyDescent="0.25">
      <c r="A1998" t="s">
        <v>2531</v>
      </c>
      <c r="B1998" t="s">
        <v>1173</v>
      </c>
      <c r="C1998" t="s">
        <v>56</v>
      </c>
      <c r="D1998">
        <v>1</v>
      </c>
      <c r="E1998" t="s">
        <v>45</v>
      </c>
      <c r="F1998" t="s">
        <v>2969</v>
      </c>
    </row>
    <row r="1999" spans="1:6" x14ac:dyDescent="0.25">
      <c r="A1999" t="s">
        <v>2531</v>
      </c>
      <c r="B1999" t="s">
        <v>1173</v>
      </c>
      <c r="C1999" t="s">
        <v>56</v>
      </c>
      <c r="D1999">
        <v>2</v>
      </c>
      <c r="E1999" t="s">
        <v>1663</v>
      </c>
      <c r="F1999" t="s">
        <v>2969</v>
      </c>
    </row>
    <row r="2000" spans="1:6" x14ac:dyDescent="0.25">
      <c r="A2000" t="s">
        <v>2531</v>
      </c>
      <c r="B2000" t="s">
        <v>1173</v>
      </c>
      <c r="C2000" t="s">
        <v>56</v>
      </c>
      <c r="D2000">
        <v>3</v>
      </c>
      <c r="E2000" t="s">
        <v>1833</v>
      </c>
      <c r="F2000" t="s">
        <v>2969</v>
      </c>
    </row>
    <row r="2001" spans="1:6" x14ac:dyDescent="0.25">
      <c r="A2001" t="s">
        <v>2531</v>
      </c>
      <c r="B2001" t="s">
        <v>1173</v>
      </c>
      <c r="C2001" t="s">
        <v>56</v>
      </c>
      <c r="D2001">
        <v>4</v>
      </c>
      <c r="E2001" t="s">
        <v>1951</v>
      </c>
      <c r="F2001" t="s">
        <v>2969</v>
      </c>
    </row>
    <row r="2002" spans="1:6" x14ac:dyDescent="0.25">
      <c r="A2002" t="s">
        <v>2531</v>
      </c>
      <c r="B2002" t="s">
        <v>1173</v>
      </c>
      <c r="C2002" t="s">
        <v>56</v>
      </c>
      <c r="D2002">
        <v>5</v>
      </c>
      <c r="E2002" t="s">
        <v>1707</v>
      </c>
      <c r="F2002" t="s">
        <v>2969</v>
      </c>
    </row>
    <row r="2003" spans="1:6" x14ac:dyDescent="0.25">
      <c r="A2003" t="s">
        <v>2531</v>
      </c>
      <c r="B2003" t="s">
        <v>1173</v>
      </c>
      <c r="C2003" t="s">
        <v>56</v>
      </c>
      <c r="D2003">
        <v>6</v>
      </c>
      <c r="E2003" t="s">
        <v>30</v>
      </c>
      <c r="F2003" t="s">
        <v>2969</v>
      </c>
    </row>
    <row r="2004" spans="1:6" x14ac:dyDescent="0.25">
      <c r="A2004" t="s">
        <v>2531</v>
      </c>
      <c r="B2004" t="s">
        <v>1173</v>
      </c>
      <c r="C2004" t="s">
        <v>56</v>
      </c>
      <c r="D2004">
        <v>7</v>
      </c>
      <c r="E2004" t="s">
        <v>109</v>
      </c>
      <c r="F2004" t="s">
        <v>1692</v>
      </c>
    </row>
    <row r="2005" spans="1:6" x14ac:dyDescent="0.25">
      <c r="A2005" t="s">
        <v>2532</v>
      </c>
      <c r="B2005" t="s">
        <v>1174</v>
      </c>
      <c r="C2005" t="s">
        <v>59</v>
      </c>
      <c r="D2005">
        <v>1</v>
      </c>
      <c r="E2005" t="s">
        <v>48</v>
      </c>
      <c r="F2005" t="s">
        <v>2969</v>
      </c>
    </row>
    <row r="2006" spans="1:6" x14ac:dyDescent="0.25">
      <c r="A2006" t="s">
        <v>2533</v>
      </c>
      <c r="B2006" t="s">
        <v>1175</v>
      </c>
      <c r="C2006" t="s">
        <v>92</v>
      </c>
      <c r="D2006">
        <v>1</v>
      </c>
      <c r="E2006" t="s">
        <v>68</v>
      </c>
      <c r="F2006" t="s">
        <v>2969</v>
      </c>
    </row>
    <row r="2007" spans="1:6" x14ac:dyDescent="0.25">
      <c r="A2007" t="s">
        <v>2534</v>
      </c>
      <c r="B2007" t="s">
        <v>1176</v>
      </c>
      <c r="C2007" t="s">
        <v>100</v>
      </c>
      <c r="D2007">
        <v>1</v>
      </c>
      <c r="E2007" t="s">
        <v>1923</v>
      </c>
      <c r="F2007" t="s">
        <v>2969</v>
      </c>
    </row>
    <row r="2008" spans="1:6" x14ac:dyDescent="0.25">
      <c r="A2008" t="s">
        <v>2535</v>
      </c>
      <c r="B2008" t="s">
        <v>1177</v>
      </c>
      <c r="C2008" t="s">
        <v>69</v>
      </c>
      <c r="D2008">
        <v>1</v>
      </c>
      <c r="E2008" t="s">
        <v>2230</v>
      </c>
      <c r="F2008" t="s">
        <v>2969</v>
      </c>
    </row>
    <row r="2009" spans="1:6" x14ac:dyDescent="0.25">
      <c r="A2009" t="s">
        <v>2535</v>
      </c>
      <c r="B2009" t="s">
        <v>1177</v>
      </c>
      <c r="C2009" t="s">
        <v>69</v>
      </c>
      <c r="D2009">
        <v>2</v>
      </c>
      <c r="E2009" t="s">
        <v>2021</v>
      </c>
      <c r="F2009" t="s">
        <v>2969</v>
      </c>
    </row>
    <row r="2010" spans="1:6" x14ac:dyDescent="0.25">
      <c r="A2010" t="s">
        <v>2535</v>
      </c>
      <c r="B2010" t="s">
        <v>1177</v>
      </c>
      <c r="C2010" t="s">
        <v>69</v>
      </c>
      <c r="D2010">
        <v>3</v>
      </c>
      <c r="E2010" t="s">
        <v>106</v>
      </c>
      <c r="F2010" t="s">
        <v>2969</v>
      </c>
    </row>
    <row r="2011" spans="1:6" x14ac:dyDescent="0.25">
      <c r="A2011" t="s">
        <v>2536</v>
      </c>
      <c r="B2011" t="s">
        <v>1178</v>
      </c>
      <c r="C2011" t="s">
        <v>118</v>
      </c>
      <c r="D2011">
        <v>1</v>
      </c>
      <c r="E2011" t="s">
        <v>1769</v>
      </c>
      <c r="F2011" t="s">
        <v>2969</v>
      </c>
    </row>
    <row r="2012" spans="1:6" x14ac:dyDescent="0.25">
      <c r="A2012" t="s">
        <v>2536</v>
      </c>
      <c r="B2012" t="s">
        <v>1178</v>
      </c>
      <c r="C2012" t="s">
        <v>118</v>
      </c>
      <c r="D2012">
        <v>2</v>
      </c>
      <c r="E2012" t="s">
        <v>36</v>
      </c>
      <c r="F2012" t="s">
        <v>2969</v>
      </c>
    </row>
    <row r="2013" spans="1:6" x14ac:dyDescent="0.25">
      <c r="A2013" t="s">
        <v>2537</v>
      </c>
      <c r="B2013" t="s">
        <v>1179</v>
      </c>
      <c r="C2013" t="s">
        <v>128</v>
      </c>
      <c r="D2013">
        <v>1</v>
      </c>
      <c r="E2013" t="s">
        <v>2538</v>
      </c>
      <c r="F2013" t="s">
        <v>2969</v>
      </c>
    </row>
    <row r="2014" spans="1:6" x14ac:dyDescent="0.25">
      <c r="A2014" t="s">
        <v>2537</v>
      </c>
      <c r="B2014" t="s">
        <v>1179</v>
      </c>
      <c r="C2014" t="s">
        <v>128</v>
      </c>
      <c r="D2014">
        <v>2</v>
      </c>
      <c r="E2014" t="s">
        <v>1835</v>
      </c>
      <c r="F2014" t="s">
        <v>2969</v>
      </c>
    </row>
    <row r="2015" spans="1:6" x14ac:dyDescent="0.25">
      <c r="A2015" t="s">
        <v>2539</v>
      </c>
      <c r="B2015" t="s">
        <v>1180</v>
      </c>
      <c r="C2015" t="s">
        <v>79</v>
      </c>
      <c r="D2015">
        <v>1</v>
      </c>
      <c r="E2015" t="s">
        <v>1657</v>
      </c>
      <c r="F2015" t="s">
        <v>2969</v>
      </c>
    </row>
    <row r="2016" spans="1:6" x14ac:dyDescent="0.25">
      <c r="A2016" t="s">
        <v>2539</v>
      </c>
      <c r="B2016" t="s">
        <v>1180</v>
      </c>
      <c r="C2016" t="s">
        <v>79</v>
      </c>
      <c r="D2016">
        <v>2</v>
      </c>
      <c r="E2016" t="s">
        <v>68</v>
      </c>
      <c r="F2016" t="s">
        <v>2969</v>
      </c>
    </row>
    <row r="2017" spans="1:6" x14ac:dyDescent="0.25">
      <c r="A2017" t="s">
        <v>2540</v>
      </c>
      <c r="B2017" t="s">
        <v>1181</v>
      </c>
      <c r="C2017" t="s">
        <v>83</v>
      </c>
      <c r="D2017">
        <v>1</v>
      </c>
      <c r="E2017" t="s">
        <v>1713</v>
      </c>
      <c r="F2017" t="s">
        <v>2969</v>
      </c>
    </row>
    <row r="2018" spans="1:6" x14ac:dyDescent="0.25">
      <c r="A2018" t="s">
        <v>2540</v>
      </c>
      <c r="B2018" t="s">
        <v>1181</v>
      </c>
      <c r="C2018" t="s">
        <v>83</v>
      </c>
      <c r="D2018">
        <v>2</v>
      </c>
      <c r="E2018" t="s">
        <v>1707</v>
      </c>
      <c r="F2018" t="s">
        <v>2969</v>
      </c>
    </row>
    <row r="2019" spans="1:6" x14ac:dyDescent="0.25">
      <c r="A2019" t="s">
        <v>2540</v>
      </c>
      <c r="B2019" t="s">
        <v>1181</v>
      </c>
      <c r="C2019" t="s">
        <v>83</v>
      </c>
      <c r="D2019">
        <v>3</v>
      </c>
      <c r="E2019" t="s">
        <v>109</v>
      </c>
      <c r="F2019" t="s">
        <v>2969</v>
      </c>
    </row>
    <row r="2020" spans="1:6" x14ac:dyDescent="0.25">
      <c r="A2020" t="s">
        <v>2541</v>
      </c>
      <c r="B2020" t="s">
        <v>1182</v>
      </c>
      <c r="C2020" t="s">
        <v>76</v>
      </c>
      <c r="D2020">
        <v>1</v>
      </c>
      <c r="E2020" t="s">
        <v>64</v>
      </c>
      <c r="F2020" t="s">
        <v>2969</v>
      </c>
    </row>
    <row r="2021" spans="1:6" x14ac:dyDescent="0.25">
      <c r="A2021" t="s">
        <v>2541</v>
      </c>
      <c r="B2021" t="s">
        <v>1182</v>
      </c>
      <c r="C2021" t="s">
        <v>76</v>
      </c>
      <c r="D2021">
        <v>2</v>
      </c>
      <c r="E2021" t="s">
        <v>2751</v>
      </c>
      <c r="F2021" t="s">
        <v>2969</v>
      </c>
    </row>
    <row r="2022" spans="1:6" x14ac:dyDescent="0.25">
      <c r="A2022" t="s">
        <v>2541</v>
      </c>
      <c r="B2022" t="s">
        <v>1182</v>
      </c>
      <c r="C2022" t="s">
        <v>76</v>
      </c>
      <c r="D2022">
        <v>3</v>
      </c>
      <c r="E2022" t="s">
        <v>1719</v>
      </c>
      <c r="F2022" t="s">
        <v>2969</v>
      </c>
    </row>
    <row r="2023" spans="1:6" x14ac:dyDescent="0.25">
      <c r="A2023" t="s">
        <v>2542</v>
      </c>
      <c r="B2023" t="s">
        <v>1183</v>
      </c>
      <c r="C2023" t="s">
        <v>118</v>
      </c>
      <c r="D2023">
        <v>1</v>
      </c>
      <c r="E2023" t="s">
        <v>2336</v>
      </c>
      <c r="F2023" t="s">
        <v>2969</v>
      </c>
    </row>
    <row r="2024" spans="1:6" x14ac:dyDescent="0.25">
      <c r="A2024" t="s">
        <v>2542</v>
      </c>
      <c r="B2024" t="s">
        <v>1183</v>
      </c>
      <c r="C2024" t="s">
        <v>118</v>
      </c>
      <c r="D2024">
        <v>2</v>
      </c>
      <c r="E2024" t="s">
        <v>1824</v>
      </c>
      <c r="F2024" t="s">
        <v>2969</v>
      </c>
    </row>
    <row r="2025" spans="1:6" x14ac:dyDescent="0.25">
      <c r="A2025" t="s">
        <v>2542</v>
      </c>
      <c r="B2025" t="s">
        <v>1183</v>
      </c>
      <c r="C2025" t="s">
        <v>118</v>
      </c>
      <c r="D2025">
        <v>3</v>
      </c>
      <c r="E2025" t="s">
        <v>1689</v>
      </c>
      <c r="F2025" t="s">
        <v>2969</v>
      </c>
    </row>
    <row r="2026" spans="1:6" x14ac:dyDescent="0.25">
      <c r="A2026" t="s">
        <v>2542</v>
      </c>
      <c r="B2026" t="s">
        <v>1183</v>
      </c>
      <c r="C2026" t="s">
        <v>118</v>
      </c>
      <c r="D2026">
        <v>4</v>
      </c>
      <c r="E2026" t="s">
        <v>131</v>
      </c>
      <c r="F2026" t="s">
        <v>2969</v>
      </c>
    </row>
    <row r="2027" spans="1:6" x14ac:dyDescent="0.25">
      <c r="A2027" t="s">
        <v>2542</v>
      </c>
      <c r="B2027" t="s">
        <v>1183</v>
      </c>
      <c r="C2027" t="s">
        <v>118</v>
      </c>
      <c r="D2027">
        <v>5</v>
      </c>
      <c r="E2027" t="s">
        <v>1680</v>
      </c>
      <c r="F2027" t="s">
        <v>2969</v>
      </c>
    </row>
    <row r="2028" spans="1:6" x14ac:dyDescent="0.25">
      <c r="A2028" t="s">
        <v>2542</v>
      </c>
      <c r="B2028" t="s">
        <v>1183</v>
      </c>
      <c r="C2028" t="s">
        <v>118</v>
      </c>
      <c r="D2028">
        <v>6</v>
      </c>
      <c r="E2028" t="s">
        <v>1785</v>
      </c>
      <c r="F2028" t="s">
        <v>2969</v>
      </c>
    </row>
    <row r="2029" spans="1:6" x14ac:dyDescent="0.25">
      <c r="A2029" t="s">
        <v>2542</v>
      </c>
      <c r="B2029" t="s">
        <v>1183</v>
      </c>
      <c r="C2029" t="s">
        <v>118</v>
      </c>
      <c r="D2029">
        <v>7</v>
      </c>
      <c r="E2029" t="s">
        <v>1704</v>
      </c>
      <c r="F2029" t="s">
        <v>1692</v>
      </c>
    </row>
    <row r="2030" spans="1:6" x14ac:dyDescent="0.25">
      <c r="A2030" t="s">
        <v>2543</v>
      </c>
      <c r="B2030" t="s">
        <v>1184</v>
      </c>
      <c r="C2030" t="s">
        <v>94</v>
      </c>
      <c r="D2030">
        <v>1</v>
      </c>
      <c r="E2030" t="s">
        <v>1820</v>
      </c>
      <c r="F2030" t="s">
        <v>2969</v>
      </c>
    </row>
    <row r="2031" spans="1:6" x14ac:dyDescent="0.25">
      <c r="A2031" t="s">
        <v>2543</v>
      </c>
      <c r="B2031" t="s">
        <v>1184</v>
      </c>
      <c r="C2031" t="s">
        <v>94</v>
      </c>
      <c r="D2031">
        <v>2</v>
      </c>
      <c r="E2031" t="s">
        <v>2456</v>
      </c>
      <c r="F2031" t="s">
        <v>2969</v>
      </c>
    </row>
    <row r="2032" spans="1:6" x14ac:dyDescent="0.25">
      <c r="A2032" t="s">
        <v>2543</v>
      </c>
      <c r="B2032" t="s">
        <v>1184</v>
      </c>
      <c r="C2032" t="s">
        <v>94</v>
      </c>
      <c r="D2032">
        <v>3</v>
      </c>
      <c r="E2032" t="s">
        <v>2064</v>
      </c>
      <c r="F2032" t="s">
        <v>2969</v>
      </c>
    </row>
    <row r="2033" spans="1:6" x14ac:dyDescent="0.25">
      <c r="A2033" t="s">
        <v>2544</v>
      </c>
      <c r="B2033" t="s">
        <v>1185</v>
      </c>
      <c r="C2033" t="s">
        <v>107</v>
      </c>
      <c r="D2033">
        <v>1</v>
      </c>
      <c r="E2033" t="s">
        <v>2046</v>
      </c>
      <c r="F2033" t="s">
        <v>2969</v>
      </c>
    </row>
    <row r="2034" spans="1:6" x14ac:dyDescent="0.25">
      <c r="A2034" t="s">
        <v>2544</v>
      </c>
      <c r="B2034" t="s">
        <v>1185</v>
      </c>
      <c r="C2034" t="s">
        <v>107</v>
      </c>
      <c r="D2034">
        <v>2</v>
      </c>
      <c r="E2034" t="s">
        <v>1691</v>
      </c>
      <c r="F2034" t="s">
        <v>2969</v>
      </c>
    </row>
    <row r="2035" spans="1:6" x14ac:dyDescent="0.25">
      <c r="A2035" t="s">
        <v>2544</v>
      </c>
      <c r="B2035" t="s">
        <v>1185</v>
      </c>
      <c r="C2035" t="s">
        <v>107</v>
      </c>
      <c r="D2035">
        <v>3</v>
      </c>
      <c r="E2035" t="s">
        <v>1779</v>
      </c>
      <c r="F2035" t="s">
        <v>2969</v>
      </c>
    </row>
    <row r="2036" spans="1:6" x14ac:dyDescent="0.25">
      <c r="A2036" t="s">
        <v>2544</v>
      </c>
      <c r="B2036" t="s">
        <v>1185</v>
      </c>
      <c r="C2036" t="s">
        <v>107</v>
      </c>
      <c r="D2036">
        <v>4</v>
      </c>
      <c r="E2036" t="s">
        <v>1637</v>
      </c>
      <c r="F2036" t="s">
        <v>2969</v>
      </c>
    </row>
    <row r="2037" spans="1:6" x14ac:dyDescent="0.25">
      <c r="A2037" t="s">
        <v>2544</v>
      </c>
      <c r="B2037" t="s">
        <v>1185</v>
      </c>
      <c r="C2037" t="s">
        <v>107</v>
      </c>
      <c r="D2037">
        <v>5</v>
      </c>
      <c r="E2037" t="s">
        <v>104</v>
      </c>
      <c r="F2037" t="s">
        <v>2969</v>
      </c>
    </row>
    <row r="2038" spans="1:6" x14ac:dyDescent="0.25">
      <c r="A2038" t="s">
        <v>2544</v>
      </c>
      <c r="B2038" t="s">
        <v>1185</v>
      </c>
      <c r="C2038" t="s">
        <v>107</v>
      </c>
      <c r="D2038">
        <v>6</v>
      </c>
      <c r="E2038" t="s">
        <v>1879</v>
      </c>
      <c r="F2038" t="s">
        <v>2969</v>
      </c>
    </row>
    <row r="2039" spans="1:6" x14ac:dyDescent="0.25">
      <c r="A2039" t="s">
        <v>2544</v>
      </c>
      <c r="B2039" t="s">
        <v>1185</v>
      </c>
      <c r="C2039" t="s">
        <v>107</v>
      </c>
      <c r="D2039">
        <v>7</v>
      </c>
      <c r="E2039" t="s">
        <v>1711</v>
      </c>
      <c r="F2039" t="s">
        <v>1692</v>
      </c>
    </row>
    <row r="2040" spans="1:6" x14ac:dyDescent="0.25">
      <c r="A2040" t="s">
        <v>2545</v>
      </c>
      <c r="B2040" t="s">
        <v>1186</v>
      </c>
      <c r="C2040" t="s">
        <v>8</v>
      </c>
      <c r="D2040">
        <v>1</v>
      </c>
      <c r="E2040" t="s">
        <v>2472</v>
      </c>
      <c r="F2040" t="s">
        <v>2969</v>
      </c>
    </row>
    <row r="2041" spans="1:6" x14ac:dyDescent="0.25">
      <c r="A2041" t="s">
        <v>2545</v>
      </c>
      <c r="B2041" t="s">
        <v>1186</v>
      </c>
      <c r="C2041" t="s">
        <v>8</v>
      </c>
      <c r="D2041">
        <v>2</v>
      </c>
      <c r="E2041" t="s">
        <v>1764</v>
      </c>
      <c r="F2041" t="s">
        <v>2969</v>
      </c>
    </row>
    <row r="2042" spans="1:6" x14ac:dyDescent="0.25">
      <c r="A2042" t="s">
        <v>2545</v>
      </c>
      <c r="B2042" t="s">
        <v>1186</v>
      </c>
      <c r="C2042" t="s">
        <v>8</v>
      </c>
      <c r="D2042">
        <v>3</v>
      </c>
      <c r="E2042" t="s">
        <v>1779</v>
      </c>
      <c r="F2042" t="s">
        <v>2969</v>
      </c>
    </row>
    <row r="2043" spans="1:6" x14ac:dyDescent="0.25">
      <c r="A2043" t="s">
        <v>2545</v>
      </c>
      <c r="B2043" t="s">
        <v>1186</v>
      </c>
      <c r="C2043" t="s">
        <v>8</v>
      </c>
      <c r="D2043">
        <v>4</v>
      </c>
      <c r="E2043" t="s">
        <v>2078</v>
      </c>
      <c r="F2043" t="s">
        <v>2969</v>
      </c>
    </row>
    <row r="2044" spans="1:6" x14ac:dyDescent="0.25">
      <c r="A2044" t="s">
        <v>2546</v>
      </c>
      <c r="B2044" t="s">
        <v>1187</v>
      </c>
      <c r="C2044" t="s">
        <v>134</v>
      </c>
      <c r="D2044">
        <v>1</v>
      </c>
      <c r="E2044" t="s">
        <v>1673</v>
      </c>
      <c r="F2044" t="s">
        <v>2969</v>
      </c>
    </row>
    <row r="2045" spans="1:6" x14ac:dyDescent="0.25">
      <c r="A2045" t="s">
        <v>2546</v>
      </c>
      <c r="B2045" t="s">
        <v>1187</v>
      </c>
      <c r="C2045" t="s">
        <v>134</v>
      </c>
      <c r="D2045">
        <v>2</v>
      </c>
      <c r="E2045" t="s">
        <v>1769</v>
      </c>
      <c r="F2045" t="s">
        <v>2969</v>
      </c>
    </row>
    <row r="2046" spans="1:6" x14ac:dyDescent="0.25">
      <c r="A2046" t="s">
        <v>2546</v>
      </c>
      <c r="B2046" t="s">
        <v>1187</v>
      </c>
      <c r="C2046" t="s">
        <v>134</v>
      </c>
      <c r="D2046">
        <v>3</v>
      </c>
      <c r="E2046" t="s">
        <v>36</v>
      </c>
      <c r="F2046" t="s">
        <v>2969</v>
      </c>
    </row>
    <row r="2047" spans="1:6" x14ac:dyDescent="0.25">
      <c r="A2047" t="s">
        <v>2546</v>
      </c>
      <c r="B2047" t="s">
        <v>1187</v>
      </c>
      <c r="C2047" t="s">
        <v>134</v>
      </c>
      <c r="D2047">
        <v>4</v>
      </c>
      <c r="E2047" t="s">
        <v>2122</v>
      </c>
      <c r="F2047" t="s">
        <v>2969</v>
      </c>
    </row>
    <row r="2048" spans="1:6" x14ac:dyDescent="0.25">
      <c r="A2048" t="s">
        <v>2547</v>
      </c>
      <c r="B2048" t="s">
        <v>1188</v>
      </c>
      <c r="C2048" t="s">
        <v>31</v>
      </c>
      <c r="D2048">
        <v>1</v>
      </c>
      <c r="E2048" t="s">
        <v>1915</v>
      </c>
      <c r="F2048" t="s">
        <v>2969</v>
      </c>
    </row>
    <row r="2049" spans="1:6" x14ac:dyDescent="0.25">
      <c r="A2049" t="s">
        <v>2547</v>
      </c>
      <c r="B2049" t="s">
        <v>1188</v>
      </c>
      <c r="C2049" t="s">
        <v>31</v>
      </c>
      <c r="D2049">
        <v>2</v>
      </c>
      <c r="E2049" t="s">
        <v>36</v>
      </c>
      <c r="F2049" t="s">
        <v>2969</v>
      </c>
    </row>
    <row r="2050" spans="1:6" x14ac:dyDescent="0.25">
      <c r="A2050" t="s">
        <v>2547</v>
      </c>
      <c r="B2050" t="s">
        <v>1188</v>
      </c>
      <c r="C2050" t="s">
        <v>31</v>
      </c>
      <c r="D2050">
        <v>3</v>
      </c>
      <c r="E2050" t="s">
        <v>1661</v>
      </c>
      <c r="F2050" t="s">
        <v>2969</v>
      </c>
    </row>
    <row r="2051" spans="1:6" x14ac:dyDescent="0.25">
      <c r="A2051" t="s">
        <v>2548</v>
      </c>
      <c r="B2051" t="s">
        <v>1189</v>
      </c>
      <c r="C2051" t="s">
        <v>98</v>
      </c>
      <c r="D2051">
        <v>1</v>
      </c>
      <c r="E2051" t="s">
        <v>2081</v>
      </c>
      <c r="F2051" t="s">
        <v>2969</v>
      </c>
    </row>
    <row r="2052" spans="1:6" x14ac:dyDescent="0.25">
      <c r="A2052" t="s">
        <v>2549</v>
      </c>
      <c r="B2052" t="s">
        <v>1190</v>
      </c>
      <c r="C2052" t="s">
        <v>43</v>
      </c>
      <c r="D2052">
        <v>1</v>
      </c>
      <c r="E2052" t="s">
        <v>131</v>
      </c>
      <c r="F2052" t="s">
        <v>2969</v>
      </c>
    </row>
    <row r="2053" spans="1:6" x14ac:dyDescent="0.25">
      <c r="A2053" t="s">
        <v>2549</v>
      </c>
      <c r="B2053" t="s">
        <v>1190</v>
      </c>
      <c r="C2053" t="s">
        <v>43</v>
      </c>
      <c r="D2053">
        <v>2</v>
      </c>
      <c r="E2053" t="s">
        <v>1680</v>
      </c>
      <c r="F2053" t="s">
        <v>2969</v>
      </c>
    </row>
    <row r="2054" spans="1:6" x14ac:dyDescent="0.25">
      <c r="A2054" t="s">
        <v>2550</v>
      </c>
      <c r="B2054" t="s">
        <v>1191</v>
      </c>
      <c r="C2054" t="s">
        <v>107</v>
      </c>
      <c r="D2054">
        <v>1</v>
      </c>
      <c r="E2054" t="s">
        <v>2046</v>
      </c>
      <c r="F2054" t="s">
        <v>2969</v>
      </c>
    </row>
    <row r="2055" spans="1:6" x14ac:dyDescent="0.25">
      <c r="A2055" t="s">
        <v>2550</v>
      </c>
      <c r="B2055" t="s">
        <v>1191</v>
      </c>
      <c r="C2055" t="s">
        <v>107</v>
      </c>
      <c r="D2055">
        <v>2</v>
      </c>
      <c r="E2055" t="s">
        <v>1691</v>
      </c>
      <c r="F2055" t="s">
        <v>2969</v>
      </c>
    </row>
    <row r="2056" spans="1:6" x14ac:dyDescent="0.25">
      <c r="A2056" t="s">
        <v>2550</v>
      </c>
      <c r="B2056" t="s">
        <v>1191</v>
      </c>
      <c r="C2056" t="s">
        <v>107</v>
      </c>
      <c r="D2056">
        <v>3</v>
      </c>
      <c r="E2056" t="s">
        <v>1779</v>
      </c>
      <c r="F2056" t="s">
        <v>2969</v>
      </c>
    </row>
    <row r="2057" spans="1:6" x14ac:dyDescent="0.25">
      <c r="A2057" t="s">
        <v>2551</v>
      </c>
      <c r="B2057" t="s">
        <v>1192</v>
      </c>
      <c r="C2057" t="s">
        <v>136</v>
      </c>
      <c r="D2057">
        <v>1</v>
      </c>
      <c r="E2057" t="s">
        <v>2078</v>
      </c>
      <c r="F2057" t="s">
        <v>2969</v>
      </c>
    </row>
    <row r="2058" spans="1:6" x14ac:dyDescent="0.25">
      <c r="A2058" t="s">
        <v>2551</v>
      </c>
      <c r="B2058" t="s">
        <v>1192</v>
      </c>
      <c r="C2058" t="s">
        <v>136</v>
      </c>
      <c r="D2058">
        <v>2</v>
      </c>
      <c r="E2058" t="s">
        <v>1904</v>
      </c>
      <c r="F2058" t="s">
        <v>2969</v>
      </c>
    </row>
    <row r="2059" spans="1:6" x14ac:dyDescent="0.25">
      <c r="A2059" t="s">
        <v>2551</v>
      </c>
      <c r="B2059" t="s">
        <v>1192</v>
      </c>
      <c r="C2059" t="s">
        <v>136</v>
      </c>
      <c r="D2059">
        <v>3</v>
      </c>
      <c r="E2059" t="s">
        <v>1711</v>
      </c>
      <c r="F2059" t="s">
        <v>2969</v>
      </c>
    </row>
    <row r="2060" spans="1:6" x14ac:dyDescent="0.25">
      <c r="A2060" t="s">
        <v>2552</v>
      </c>
      <c r="B2060" t="s">
        <v>1193</v>
      </c>
      <c r="C2060" t="s">
        <v>76</v>
      </c>
      <c r="D2060">
        <v>1</v>
      </c>
      <c r="E2060" t="s">
        <v>1621</v>
      </c>
      <c r="F2060" t="s">
        <v>2969</v>
      </c>
    </row>
    <row r="2061" spans="1:6" x14ac:dyDescent="0.25">
      <c r="A2061" t="s">
        <v>2552</v>
      </c>
      <c r="B2061" t="s">
        <v>1193</v>
      </c>
      <c r="C2061" t="s">
        <v>76</v>
      </c>
      <c r="D2061">
        <v>2</v>
      </c>
      <c r="E2061" t="s">
        <v>1781</v>
      </c>
      <c r="F2061" t="s">
        <v>2969</v>
      </c>
    </row>
    <row r="2062" spans="1:6" x14ac:dyDescent="0.25">
      <c r="A2062" t="s">
        <v>2553</v>
      </c>
      <c r="B2062" t="s">
        <v>1194</v>
      </c>
      <c r="C2062" t="s">
        <v>39</v>
      </c>
      <c r="D2062">
        <v>1</v>
      </c>
      <c r="E2062" t="s">
        <v>55</v>
      </c>
      <c r="F2062" t="s">
        <v>2969</v>
      </c>
    </row>
    <row r="2063" spans="1:6" x14ac:dyDescent="0.25">
      <c r="A2063" t="s">
        <v>2554</v>
      </c>
      <c r="B2063" t="s">
        <v>1195</v>
      </c>
      <c r="C2063" t="s">
        <v>123</v>
      </c>
      <c r="D2063">
        <v>1</v>
      </c>
      <c r="E2063" t="s">
        <v>1726</v>
      </c>
      <c r="F2063" t="s">
        <v>2969</v>
      </c>
    </row>
    <row r="2064" spans="1:6" x14ac:dyDescent="0.25">
      <c r="A2064" t="s">
        <v>2554</v>
      </c>
      <c r="B2064" t="s">
        <v>1195</v>
      </c>
      <c r="C2064" t="s">
        <v>123</v>
      </c>
      <c r="D2064">
        <v>2</v>
      </c>
      <c r="E2064" t="s">
        <v>64</v>
      </c>
      <c r="F2064" t="s">
        <v>2969</v>
      </c>
    </row>
    <row r="2065" spans="1:6" x14ac:dyDescent="0.25">
      <c r="A2065" t="s">
        <v>2555</v>
      </c>
      <c r="B2065" t="s">
        <v>1196</v>
      </c>
      <c r="C2065" t="s">
        <v>112</v>
      </c>
      <c r="D2065">
        <v>1</v>
      </c>
      <c r="E2065" t="s">
        <v>1785</v>
      </c>
      <c r="F2065" t="s">
        <v>2969</v>
      </c>
    </row>
    <row r="2066" spans="1:6" x14ac:dyDescent="0.25">
      <c r="A2066" t="s">
        <v>2555</v>
      </c>
      <c r="B2066" t="s">
        <v>1196</v>
      </c>
      <c r="C2066" t="s">
        <v>112</v>
      </c>
      <c r="D2066">
        <v>2</v>
      </c>
      <c r="E2066" t="s">
        <v>1704</v>
      </c>
      <c r="F2066" t="s">
        <v>2969</v>
      </c>
    </row>
    <row r="2067" spans="1:6" x14ac:dyDescent="0.25">
      <c r="A2067" t="s">
        <v>2556</v>
      </c>
      <c r="B2067" t="s">
        <v>1197</v>
      </c>
      <c r="C2067" t="s">
        <v>107</v>
      </c>
      <c r="D2067">
        <v>1</v>
      </c>
      <c r="E2067" t="s">
        <v>1809</v>
      </c>
      <c r="F2067" t="s">
        <v>2969</v>
      </c>
    </row>
    <row r="2068" spans="1:6" x14ac:dyDescent="0.25">
      <c r="A2068" t="s">
        <v>2556</v>
      </c>
      <c r="B2068" t="s">
        <v>1197</v>
      </c>
      <c r="C2068" t="s">
        <v>107</v>
      </c>
      <c r="D2068">
        <v>2</v>
      </c>
      <c r="E2068" t="s">
        <v>1704</v>
      </c>
      <c r="F2068" t="s">
        <v>2969</v>
      </c>
    </row>
    <row r="2069" spans="1:6" x14ac:dyDescent="0.25">
      <c r="A2069" t="s">
        <v>2556</v>
      </c>
      <c r="B2069" t="s">
        <v>1197</v>
      </c>
      <c r="C2069" t="s">
        <v>107</v>
      </c>
      <c r="D2069">
        <v>3</v>
      </c>
      <c r="E2069" t="s">
        <v>1724</v>
      </c>
      <c r="F2069" t="s">
        <v>2969</v>
      </c>
    </row>
    <row r="2070" spans="1:6" x14ac:dyDescent="0.25">
      <c r="A2070" t="s">
        <v>2557</v>
      </c>
      <c r="B2070" t="s">
        <v>1198</v>
      </c>
      <c r="C2070" t="s">
        <v>8</v>
      </c>
      <c r="D2070">
        <v>1</v>
      </c>
      <c r="E2070" t="s">
        <v>2038</v>
      </c>
      <c r="F2070" t="s">
        <v>2969</v>
      </c>
    </row>
    <row r="2071" spans="1:6" x14ac:dyDescent="0.25">
      <c r="A2071" t="s">
        <v>2557</v>
      </c>
      <c r="B2071" t="s">
        <v>1198</v>
      </c>
      <c r="C2071" t="s">
        <v>8</v>
      </c>
      <c r="D2071">
        <v>2</v>
      </c>
      <c r="E2071" t="s">
        <v>1789</v>
      </c>
      <c r="F2071" t="s">
        <v>2969</v>
      </c>
    </row>
    <row r="2072" spans="1:6" x14ac:dyDescent="0.25">
      <c r="A2072" t="s">
        <v>2558</v>
      </c>
      <c r="B2072" t="s">
        <v>1199</v>
      </c>
      <c r="C2072" t="s">
        <v>113</v>
      </c>
      <c r="D2072">
        <v>1</v>
      </c>
      <c r="E2072" t="s">
        <v>1787</v>
      </c>
      <c r="F2072" t="s">
        <v>2969</v>
      </c>
    </row>
    <row r="2073" spans="1:6" x14ac:dyDescent="0.25">
      <c r="A2073" t="s">
        <v>2558</v>
      </c>
      <c r="B2073" t="s">
        <v>1199</v>
      </c>
      <c r="C2073" t="s">
        <v>113</v>
      </c>
      <c r="D2073">
        <v>2</v>
      </c>
      <c r="E2073" t="s">
        <v>1697</v>
      </c>
      <c r="F2073" t="s">
        <v>2969</v>
      </c>
    </row>
    <row r="2074" spans="1:6" x14ac:dyDescent="0.25">
      <c r="A2074" t="s">
        <v>2559</v>
      </c>
      <c r="B2074" t="s">
        <v>1200</v>
      </c>
      <c r="C2074" t="s">
        <v>79</v>
      </c>
      <c r="D2074">
        <v>1</v>
      </c>
      <c r="E2074" t="s">
        <v>1653</v>
      </c>
      <c r="F2074" t="s">
        <v>2969</v>
      </c>
    </row>
    <row r="2075" spans="1:6" x14ac:dyDescent="0.25">
      <c r="A2075" t="s">
        <v>2560</v>
      </c>
      <c r="B2075" t="s">
        <v>1201</v>
      </c>
      <c r="C2075" t="s">
        <v>76</v>
      </c>
      <c r="D2075">
        <v>1</v>
      </c>
      <c r="E2075" t="s">
        <v>1726</v>
      </c>
      <c r="F2075" t="s">
        <v>2969</v>
      </c>
    </row>
    <row r="2076" spans="1:6" x14ac:dyDescent="0.25">
      <c r="A2076" t="s">
        <v>2561</v>
      </c>
      <c r="B2076" t="s">
        <v>1202</v>
      </c>
      <c r="C2076" t="s">
        <v>87</v>
      </c>
      <c r="D2076">
        <v>1</v>
      </c>
      <c r="E2076" t="s">
        <v>1772</v>
      </c>
      <c r="F2076" t="s">
        <v>2969</v>
      </c>
    </row>
    <row r="2077" spans="1:6" x14ac:dyDescent="0.25">
      <c r="A2077" t="s">
        <v>2562</v>
      </c>
      <c r="B2077" t="s">
        <v>1203</v>
      </c>
      <c r="C2077" t="s">
        <v>60</v>
      </c>
      <c r="D2077">
        <v>1</v>
      </c>
      <c r="E2077" t="s">
        <v>1923</v>
      </c>
      <c r="F2077" t="s">
        <v>2969</v>
      </c>
    </row>
    <row r="2078" spans="1:6" x14ac:dyDescent="0.25">
      <c r="A2078" t="s">
        <v>2562</v>
      </c>
      <c r="B2078" t="s">
        <v>1203</v>
      </c>
      <c r="C2078" t="s">
        <v>60</v>
      </c>
      <c r="D2078">
        <v>2</v>
      </c>
      <c r="E2078" t="s">
        <v>1828</v>
      </c>
      <c r="F2078" t="s">
        <v>2969</v>
      </c>
    </row>
    <row r="2079" spans="1:6" x14ac:dyDescent="0.25">
      <c r="A2079" t="s">
        <v>2562</v>
      </c>
      <c r="B2079" t="s">
        <v>1203</v>
      </c>
      <c r="C2079" t="s">
        <v>60</v>
      </c>
      <c r="D2079">
        <v>3</v>
      </c>
      <c r="E2079" t="s">
        <v>2516</v>
      </c>
      <c r="F2079" t="s">
        <v>2969</v>
      </c>
    </row>
    <row r="2080" spans="1:6" x14ac:dyDescent="0.25">
      <c r="A2080" t="s">
        <v>2562</v>
      </c>
      <c r="B2080" t="s">
        <v>1203</v>
      </c>
      <c r="C2080" t="s">
        <v>60</v>
      </c>
      <c r="D2080">
        <v>4</v>
      </c>
      <c r="E2080" t="s">
        <v>2380</v>
      </c>
      <c r="F2080" t="s">
        <v>2969</v>
      </c>
    </row>
    <row r="2081" spans="1:6" x14ac:dyDescent="0.25">
      <c r="A2081" t="s">
        <v>2562</v>
      </c>
      <c r="B2081" t="s">
        <v>1203</v>
      </c>
      <c r="C2081" t="s">
        <v>60</v>
      </c>
      <c r="D2081">
        <v>5</v>
      </c>
      <c r="E2081" t="s">
        <v>2029</v>
      </c>
      <c r="F2081" t="s">
        <v>2969</v>
      </c>
    </row>
    <row r="2082" spans="1:6" x14ac:dyDescent="0.25">
      <c r="A2082" t="s">
        <v>2562</v>
      </c>
      <c r="B2082" t="s">
        <v>1203</v>
      </c>
      <c r="C2082" t="s">
        <v>60</v>
      </c>
      <c r="D2082">
        <v>6</v>
      </c>
      <c r="E2082" t="s">
        <v>2786</v>
      </c>
      <c r="F2082" t="s">
        <v>2969</v>
      </c>
    </row>
    <row r="2083" spans="1:6" x14ac:dyDescent="0.25">
      <c r="A2083" t="s">
        <v>2563</v>
      </c>
      <c r="B2083" t="s">
        <v>1204</v>
      </c>
      <c r="C2083" t="s">
        <v>125</v>
      </c>
      <c r="D2083">
        <v>1</v>
      </c>
      <c r="E2083" t="s">
        <v>135</v>
      </c>
      <c r="F2083" t="s">
        <v>2969</v>
      </c>
    </row>
    <row r="2084" spans="1:6" x14ac:dyDescent="0.25">
      <c r="A2084" t="s">
        <v>2564</v>
      </c>
      <c r="B2084" t="s">
        <v>1205</v>
      </c>
      <c r="C2084" t="s">
        <v>60</v>
      </c>
      <c r="D2084">
        <v>1</v>
      </c>
      <c r="E2084" t="s">
        <v>1917</v>
      </c>
      <c r="F2084" t="s">
        <v>2969</v>
      </c>
    </row>
    <row r="2085" spans="1:6" x14ac:dyDescent="0.25">
      <c r="A2085" t="s">
        <v>2564</v>
      </c>
      <c r="B2085" t="s">
        <v>1205</v>
      </c>
      <c r="C2085" t="s">
        <v>60</v>
      </c>
      <c r="D2085">
        <v>2</v>
      </c>
      <c r="E2085" t="s">
        <v>2169</v>
      </c>
      <c r="F2085" t="s">
        <v>2969</v>
      </c>
    </row>
    <row r="2086" spans="1:6" x14ac:dyDescent="0.25">
      <c r="A2086" t="s">
        <v>2564</v>
      </c>
      <c r="B2086" t="s">
        <v>1205</v>
      </c>
      <c r="C2086" t="s">
        <v>60</v>
      </c>
      <c r="D2086">
        <v>3</v>
      </c>
      <c r="E2086" t="s">
        <v>1923</v>
      </c>
      <c r="F2086" t="s">
        <v>2969</v>
      </c>
    </row>
    <row r="2087" spans="1:6" x14ac:dyDescent="0.25">
      <c r="A2087" t="s">
        <v>2564</v>
      </c>
      <c r="B2087" t="s">
        <v>1205</v>
      </c>
      <c r="C2087" t="s">
        <v>60</v>
      </c>
      <c r="D2087">
        <v>4</v>
      </c>
      <c r="E2087" t="s">
        <v>2128</v>
      </c>
      <c r="F2087" t="s">
        <v>2969</v>
      </c>
    </row>
    <row r="2088" spans="1:6" x14ac:dyDescent="0.25">
      <c r="A2088" t="s">
        <v>2564</v>
      </c>
      <c r="B2088" t="s">
        <v>1205</v>
      </c>
      <c r="C2088" t="s">
        <v>60</v>
      </c>
      <c r="D2088">
        <v>5</v>
      </c>
      <c r="E2088" t="s">
        <v>2064</v>
      </c>
      <c r="F2088" t="s">
        <v>2969</v>
      </c>
    </row>
    <row r="2089" spans="1:6" x14ac:dyDescent="0.25">
      <c r="A2089" t="s">
        <v>2564</v>
      </c>
      <c r="B2089" t="s">
        <v>1205</v>
      </c>
      <c r="C2089" t="s">
        <v>60</v>
      </c>
      <c r="D2089">
        <v>6</v>
      </c>
      <c r="E2089" t="s">
        <v>2029</v>
      </c>
      <c r="F2089" t="s">
        <v>2969</v>
      </c>
    </row>
    <row r="2090" spans="1:6" x14ac:dyDescent="0.25">
      <c r="A2090" t="s">
        <v>2564</v>
      </c>
      <c r="B2090" t="s">
        <v>1205</v>
      </c>
      <c r="C2090" t="s">
        <v>60</v>
      </c>
      <c r="D2090">
        <v>7</v>
      </c>
      <c r="E2090" t="s">
        <v>2786</v>
      </c>
      <c r="F2090" t="s">
        <v>1692</v>
      </c>
    </row>
    <row r="2091" spans="1:6" x14ac:dyDescent="0.25">
      <c r="A2091" t="s">
        <v>2565</v>
      </c>
      <c r="B2091" t="s">
        <v>1206</v>
      </c>
      <c r="C2091" t="s">
        <v>46</v>
      </c>
      <c r="D2091">
        <v>1</v>
      </c>
      <c r="E2091" t="s">
        <v>1728</v>
      </c>
      <c r="F2091" t="s">
        <v>2969</v>
      </c>
    </row>
    <row r="2092" spans="1:6" x14ac:dyDescent="0.25">
      <c r="A2092" t="s">
        <v>2566</v>
      </c>
      <c r="B2092" t="s">
        <v>1207</v>
      </c>
      <c r="C2092" t="s">
        <v>105</v>
      </c>
      <c r="D2092">
        <v>1</v>
      </c>
      <c r="E2092" t="s">
        <v>1801</v>
      </c>
      <c r="F2092" t="s">
        <v>2969</v>
      </c>
    </row>
    <row r="2093" spans="1:6" x14ac:dyDescent="0.25">
      <c r="A2093" t="s">
        <v>2567</v>
      </c>
      <c r="B2093" t="s">
        <v>1208</v>
      </c>
      <c r="C2093" t="s">
        <v>56</v>
      </c>
      <c r="D2093">
        <v>1</v>
      </c>
      <c r="E2093" t="s">
        <v>1627</v>
      </c>
      <c r="F2093" t="s">
        <v>2969</v>
      </c>
    </row>
    <row r="2094" spans="1:6" x14ac:dyDescent="0.25">
      <c r="A2094" t="s">
        <v>2568</v>
      </c>
      <c r="B2094" t="s">
        <v>1209</v>
      </c>
      <c r="C2094" t="s">
        <v>27</v>
      </c>
      <c r="D2094">
        <v>1</v>
      </c>
      <c r="E2094" t="s">
        <v>1850</v>
      </c>
      <c r="F2094" t="s">
        <v>2969</v>
      </c>
    </row>
    <row r="2095" spans="1:6" x14ac:dyDescent="0.25">
      <c r="A2095" t="s">
        <v>2568</v>
      </c>
      <c r="B2095" t="s">
        <v>1209</v>
      </c>
      <c r="C2095" t="s">
        <v>27</v>
      </c>
      <c r="D2095">
        <v>2</v>
      </c>
      <c r="E2095" t="s">
        <v>1915</v>
      </c>
      <c r="F2095" t="s">
        <v>2969</v>
      </c>
    </row>
    <row r="2096" spans="1:6" x14ac:dyDescent="0.25">
      <c r="A2096" t="s">
        <v>2569</v>
      </c>
      <c r="B2096" t="s">
        <v>1210</v>
      </c>
      <c r="C2096" t="s">
        <v>8</v>
      </c>
      <c r="D2096">
        <v>1</v>
      </c>
      <c r="E2096" t="s">
        <v>1691</v>
      </c>
      <c r="F2096" t="s">
        <v>2969</v>
      </c>
    </row>
    <row r="2097" spans="1:6" x14ac:dyDescent="0.25">
      <c r="A2097" t="s">
        <v>2569</v>
      </c>
      <c r="B2097" t="s">
        <v>1210</v>
      </c>
      <c r="C2097" t="s">
        <v>8</v>
      </c>
      <c r="D2097">
        <v>2</v>
      </c>
      <c r="E2097" t="s">
        <v>2122</v>
      </c>
      <c r="F2097" t="s">
        <v>2969</v>
      </c>
    </row>
    <row r="2098" spans="1:6" x14ac:dyDescent="0.25">
      <c r="A2098" t="s">
        <v>2569</v>
      </c>
      <c r="B2098" t="s">
        <v>1210</v>
      </c>
      <c r="C2098" t="s">
        <v>8</v>
      </c>
      <c r="D2098">
        <v>3</v>
      </c>
      <c r="E2098" t="s">
        <v>2017</v>
      </c>
      <c r="F2098" t="s">
        <v>2969</v>
      </c>
    </row>
    <row r="2099" spans="1:6" x14ac:dyDescent="0.25">
      <c r="A2099" t="s">
        <v>2569</v>
      </c>
      <c r="B2099" t="s">
        <v>1210</v>
      </c>
      <c r="C2099" t="s">
        <v>8</v>
      </c>
      <c r="D2099">
        <v>4</v>
      </c>
      <c r="E2099" t="s">
        <v>2130</v>
      </c>
      <c r="F2099" t="s">
        <v>2969</v>
      </c>
    </row>
    <row r="2100" spans="1:6" x14ac:dyDescent="0.25">
      <c r="A2100" t="s">
        <v>2570</v>
      </c>
      <c r="B2100" t="s">
        <v>1211</v>
      </c>
      <c r="C2100" t="s">
        <v>71</v>
      </c>
      <c r="D2100">
        <v>1</v>
      </c>
      <c r="E2100" t="s">
        <v>2071</v>
      </c>
      <c r="F2100" t="s">
        <v>2969</v>
      </c>
    </row>
    <row r="2101" spans="1:6" x14ac:dyDescent="0.25">
      <c r="A2101" t="s">
        <v>2570</v>
      </c>
      <c r="B2101" t="s">
        <v>1211</v>
      </c>
      <c r="C2101" t="s">
        <v>71</v>
      </c>
      <c r="D2101">
        <v>2</v>
      </c>
      <c r="E2101" t="s">
        <v>2336</v>
      </c>
      <c r="F2101" t="s">
        <v>2969</v>
      </c>
    </row>
    <row r="2102" spans="1:6" x14ac:dyDescent="0.25">
      <c r="A2102" t="s">
        <v>2571</v>
      </c>
      <c r="B2102" t="s">
        <v>1212</v>
      </c>
      <c r="C2102" t="s">
        <v>69</v>
      </c>
      <c r="D2102">
        <v>1</v>
      </c>
      <c r="E2102" t="s">
        <v>1655</v>
      </c>
      <c r="F2102" t="s">
        <v>2969</v>
      </c>
    </row>
    <row r="2103" spans="1:6" x14ac:dyDescent="0.25">
      <c r="A2103" t="s">
        <v>2571</v>
      </c>
      <c r="B2103" t="s">
        <v>1212</v>
      </c>
      <c r="C2103" t="s">
        <v>69</v>
      </c>
      <c r="D2103">
        <v>2</v>
      </c>
      <c r="E2103" t="s">
        <v>82</v>
      </c>
      <c r="F2103" t="s">
        <v>2969</v>
      </c>
    </row>
    <row r="2104" spans="1:6" x14ac:dyDescent="0.25">
      <c r="A2104" t="s">
        <v>2571</v>
      </c>
      <c r="B2104" t="s">
        <v>1212</v>
      </c>
      <c r="C2104" t="s">
        <v>69</v>
      </c>
      <c r="D2104">
        <v>3</v>
      </c>
      <c r="E2104" t="s">
        <v>1653</v>
      </c>
      <c r="F2104" t="s">
        <v>2969</v>
      </c>
    </row>
    <row r="2105" spans="1:6" x14ac:dyDescent="0.25">
      <c r="A2105" t="s">
        <v>2571</v>
      </c>
      <c r="B2105" t="s">
        <v>1212</v>
      </c>
      <c r="C2105" t="s">
        <v>69</v>
      </c>
      <c r="D2105">
        <v>4</v>
      </c>
      <c r="E2105" t="s">
        <v>1728</v>
      </c>
      <c r="F2105" t="s">
        <v>2969</v>
      </c>
    </row>
    <row r="2106" spans="1:6" x14ac:dyDescent="0.25">
      <c r="A2106" t="s">
        <v>2572</v>
      </c>
      <c r="B2106" t="s">
        <v>1213</v>
      </c>
      <c r="C2106" t="s">
        <v>136</v>
      </c>
      <c r="D2106">
        <v>1</v>
      </c>
      <c r="E2106" t="s">
        <v>1653</v>
      </c>
      <c r="F2106" t="s">
        <v>2969</v>
      </c>
    </row>
    <row r="2107" spans="1:6" x14ac:dyDescent="0.25">
      <c r="A2107" t="s">
        <v>2572</v>
      </c>
      <c r="B2107" t="s">
        <v>1213</v>
      </c>
      <c r="C2107" t="s">
        <v>136</v>
      </c>
      <c r="D2107">
        <v>2</v>
      </c>
      <c r="E2107" t="s">
        <v>1758</v>
      </c>
      <c r="F2107" t="s">
        <v>2969</v>
      </c>
    </row>
    <row r="2108" spans="1:6" x14ac:dyDescent="0.25">
      <c r="A2108" t="s">
        <v>2573</v>
      </c>
      <c r="B2108" t="s">
        <v>1214</v>
      </c>
      <c r="C2108" t="s">
        <v>31</v>
      </c>
      <c r="D2108">
        <v>1</v>
      </c>
      <c r="E2108" t="s">
        <v>36</v>
      </c>
      <c r="F2108" t="s">
        <v>2969</v>
      </c>
    </row>
    <row r="2109" spans="1:6" x14ac:dyDescent="0.25">
      <c r="A2109" t="s">
        <v>2573</v>
      </c>
      <c r="B2109" t="s">
        <v>1214</v>
      </c>
      <c r="C2109" t="s">
        <v>31</v>
      </c>
      <c r="D2109">
        <v>2</v>
      </c>
      <c r="E2109" t="s">
        <v>2217</v>
      </c>
      <c r="F2109" t="s">
        <v>2969</v>
      </c>
    </row>
    <row r="2110" spans="1:6" x14ac:dyDescent="0.25">
      <c r="A2110" t="s">
        <v>2573</v>
      </c>
      <c r="B2110" t="s">
        <v>1214</v>
      </c>
      <c r="C2110" t="s">
        <v>31</v>
      </c>
      <c r="D2110">
        <v>3</v>
      </c>
      <c r="E2110" t="s">
        <v>2472</v>
      </c>
      <c r="F2110" t="s">
        <v>2969</v>
      </c>
    </row>
    <row r="2111" spans="1:6" x14ac:dyDescent="0.25">
      <c r="A2111" t="s">
        <v>2573</v>
      </c>
      <c r="B2111" t="s">
        <v>1214</v>
      </c>
      <c r="C2111" t="s">
        <v>31</v>
      </c>
      <c r="D2111">
        <v>4</v>
      </c>
      <c r="E2111" t="s">
        <v>1807</v>
      </c>
      <c r="F2111" t="s">
        <v>2969</v>
      </c>
    </row>
    <row r="2112" spans="1:6" x14ac:dyDescent="0.25">
      <c r="A2112" t="s">
        <v>2573</v>
      </c>
      <c r="B2112" t="s">
        <v>1214</v>
      </c>
      <c r="C2112" t="s">
        <v>31</v>
      </c>
      <c r="D2112">
        <v>5</v>
      </c>
      <c r="E2112" t="s">
        <v>1779</v>
      </c>
      <c r="F2112" t="s">
        <v>2969</v>
      </c>
    </row>
    <row r="2113" spans="1:6" x14ac:dyDescent="0.25">
      <c r="A2113" t="s">
        <v>2573</v>
      </c>
      <c r="B2113" t="s">
        <v>1214</v>
      </c>
      <c r="C2113" t="s">
        <v>31</v>
      </c>
      <c r="D2113">
        <v>6</v>
      </c>
      <c r="E2113" t="s">
        <v>137</v>
      </c>
      <c r="F2113" t="s">
        <v>2969</v>
      </c>
    </row>
    <row r="2114" spans="1:6" x14ac:dyDescent="0.25">
      <c r="A2114" t="s">
        <v>2573</v>
      </c>
      <c r="B2114" t="s">
        <v>1214</v>
      </c>
      <c r="C2114" t="s">
        <v>31</v>
      </c>
      <c r="D2114">
        <v>7</v>
      </c>
      <c r="E2114" t="s">
        <v>1789</v>
      </c>
      <c r="F2114" t="s">
        <v>1692</v>
      </c>
    </row>
    <row r="2115" spans="1:6" x14ac:dyDescent="0.25">
      <c r="A2115" t="s">
        <v>2574</v>
      </c>
      <c r="B2115" t="s">
        <v>1215</v>
      </c>
      <c r="C2115" t="s">
        <v>23</v>
      </c>
      <c r="D2115">
        <v>1</v>
      </c>
      <c r="E2115" t="s">
        <v>1896</v>
      </c>
      <c r="F2115" t="s">
        <v>2969</v>
      </c>
    </row>
    <row r="2116" spans="1:6" x14ac:dyDescent="0.25">
      <c r="A2116" t="s">
        <v>2574</v>
      </c>
      <c r="B2116" t="s">
        <v>1215</v>
      </c>
      <c r="C2116" t="s">
        <v>23</v>
      </c>
      <c r="D2116">
        <v>2</v>
      </c>
      <c r="E2116" t="s">
        <v>2042</v>
      </c>
      <c r="F2116" t="s">
        <v>2969</v>
      </c>
    </row>
    <row r="2117" spans="1:6" x14ac:dyDescent="0.25">
      <c r="A2117" t="s">
        <v>2574</v>
      </c>
      <c r="B2117" t="s">
        <v>1215</v>
      </c>
      <c r="C2117" t="s">
        <v>23</v>
      </c>
      <c r="D2117">
        <v>3</v>
      </c>
      <c r="E2117" t="s">
        <v>1647</v>
      </c>
      <c r="F2117" t="s">
        <v>2969</v>
      </c>
    </row>
    <row r="2118" spans="1:6" x14ac:dyDescent="0.25">
      <c r="A2118" t="s">
        <v>2575</v>
      </c>
      <c r="B2118" t="s">
        <v>1216</v>
      </c>
      <c r="C2118" t="s">
        <v>107</v>
      </c>
      <c r="D2118">
        <v>1</v>
      </c>
      <c r="E2118" t="s">
        <v>70</v>
      </c>
      <c r="F2118" t="s">
        <v>2969</v>
      </c>
    </row>
    <row r="2119" spans="1:6" x14ac:dyDescent="0.25">
      <c r="A2119" t="s">
        <v>2575</v>
      </c>
      <c r="B2119" t="s">
        <v>1216</v>
      </c>
      <c r="C2119" t="s">
        <v>107</v>
      </c>
      <c r="D2119">
        <v>2</v>
      </c>
      <c r="E2119" t="s">
        <v>1661</v>
      </c>
      <c r="F2119" t="s">
        <v>2969</v>
      </c>
    </row>
    <row r="2120" spans="1:6" x14ac:dyDescent="0.25">
      <c r="A2120" t="s">
        <v>2576</v>
      </c>
      <c r="B2120" t="s">
        <v>1217</v>
      </c>
      <c r="C2120" t="s">
        <v>107</v>
      </c>
      <c r="D2120">
        <v>1</v>
      </c>
      <c r="E2120" t="s">
        <v>1661</v>
      </c>
      <c r="F2120" t="s">
        <v>2969</v>
      </c>
    </row>
    <row r="2121" spans="1:6" x14ac:dyDescent="0.25">
      <c r="A2121" t="s">
        <v>2576</v>
      </c>
      <c r="B2121" t="s">
        <v>1217</v>
      </c>
      <c r="C2121" t="s">
        <v>107</v>
      </c>
      <c r="D2121">
        <v>2</v>
      </c>
      <c r="E2121" t="s">
        <v>2472</v>
      </c>
      <c r="F2121" t="s">
        <v>2969</v>
      </c>
    </row>
    <row r="2122" spans="1:6" x14ac:dyDescent="0.25">
      <c r="A2122" t="s">
        <v>2576</v>
      </c>
      <c r="B2122" t="s">
        <v>1217</v>
      </c>
      <c r="C2122" t="s">
        <v>107</v>
      </c>
      <c r="D2122">
        <v>3</v>
      </c>
      <c r="E2122" t="s">
        <v>2122</v>
      </c>
      <c r="F2122" t="s">
        <v>2969</v>
      </c>
    </row>
    <row r="2123" spans="1:6" x14ac:dyDescent="0.25">
      <c r="A2123" t="s">
        <v>2577</v>
      </c>
      <c r="B2123" t="s">
        <v>1218</v>
      </c>
      <c r="C2123" t="s">
        <v>121</v>
      </c>
      <c r="D2123">
        <v>1</v>
      </c>
      <c r="E2123" t="s">
        <v>1709</v>
      </c>
      <c r="F2123" t="s">
        <v>2969</v>
      </c>
    </row>
    <row r="2124" spans="1:6" x14ac:dyDescent="0.25">
      <c r="A2124" t="s">
        <v>2577</v>
      </c>
      <c r="B2124" t="s">
        <v>1218</v>
      </c>
      <c r="C2124" t="s">
        <v>121</v>
      </c>
      <c r="D2124">
        <v>2</v>
      </c>
      <c r="E2124" t="s">
        <v>1676</v>
      </c>
      <c r="F2124" t="s">
        <v>2969</v>
      </c>
    </row>
    <row r="2125" spans="1:6" x14ac:dyDescent="0.25">
      <c r="A2125" t="s">
        <v>2578</v>
      </c>
      <c r="B2125" t="s">
        <v>1219</v>
      </c>
      <c r="C2125" t="s">
        <v>90</v>
      </c>
      <c r="D2125">
        <v>1</v>
      </c>
      <c r="E2125" t="s">
        <v>1960</v>
      </c>
      <c r="F2125" t="s">
        <v>2969</v>
      </c>
    </row>
    <row r="2126" spans="1:6" x14ac:dyDescent="0.25">
      <c r="A2126" t="s">
        <v>2578</v>
      </c>
      <c r="B2126" t="s">
        <v>1219</v>
      </c>
      <c r="C2126" t="s">
        <v>90</v>
      </c>
      <c r="D2126">
        <v>2</v>
      </c>
      <c r="E2126" t="s">
        <v>1621</v>
      </c>
      <c r="F2126" t="s">
        <v>2969</v>
      </c>
    </row>
    <row r="2127" spans="1:6" x14ac:dyDescent="0.25">
      <c r="A2127" t="s">
        <v>2579</v>
      </c>
      <c r="B2127" t="s">
        <v>1220</v>
      </c>
      <c r="C2127" t="s">
        <v>87</v>
      </c>
      <c r="D2127">
        <v>1</v>
      </c>
      <c r="E2127" t="s">
        <v>1624</v>
      </c>
      <c r="F2127" t="s">
        <v>2969</v>
      </c>
    </row>
    <row r="2128" spans="1:6" x14ac:dyDescent="0.25">
      <c r="A2128" t="s">
        <v>2579</v>
      </c>
      <c r="B2128" t="s">
        <v>1220</v>
      </c>
      <c r="C2128" t="s">
        <v>87</v>
      </c>
      <c r="D2128">
        <v>2</v>
      </c>
      <c r="E2128" t="s">
        <v>1917</v>
      </c>
      <c r="F2128" t="s">
        <v>2969</v>
      </c>
    </row>
    <row r="2129" spans="1:6" x14ac:dyDescent="0.25">
      <c r="A2129" t="s">
        <v>2579</v>
      </c>
      <c r="B2129" t="s">
        <v>1220</v>
      </c>
      <c r="C2129" t="s">
        <v>87</v>
      </c>
      <c r="D2129">
        <v>3</v>
      </c>
      <c r="E2129" t="s">
        <v>2003</v>
      </c>
      <c r="F2129" t="s">
        <v>2969</v>
      </c>
    </row>
    <row r="2130" spans="1:6" x14ac:dyDescent="0.25">
      <c r="A2130" t="s">
        <v>2579</v>
      </c>
      <c r="B2130" t="s">
        <v>1220</v>
      </c>
      <c r="C2130" t="s">
        <v>87</v>
      </c>
      <c r="D2130">
        <v>4</v>
      </c>
      <c r="E2130" t="s">
        <v>1820</v>
      </c>
      <c r="F2130" t="s">
        <v>2969</v>
      </c>
    </row>
    <row r="2131" spans="1:6" x14ac:dyDescent="0.25">
      <c r="A2131" t="s">
        <v>2580</v>
      </c>
      <c r="B2131" t="s">
        <v>1221</v>
      </c>
      <c r="C2131" t="s">
        <v>60</v>
      </c>
      <c r="D2131">
        <v>1</v>
      </c>
      <c r="E2131" t="s">
        <v>68</v>
      </c>
      <c r="F2131" t="s">
        <v>2969</v>
      </c>
    </row>
    <row r="2132" spans="1:6" x14ac:dyDescent="0.25">
      <c r="A2132" t="s">
        <v>2580</v>
      </c>
      <c r="B2132" t="s">
        <v>1221</v>
      </c>
      <c r="C2132" t="s">
        <v>60</v>
      </c>
      <c r="D2132">
        <v>2</v>
      </c>
      <c r="E2132" t="s">
        <v>96</v>
      </c>
      <c r="F2132" t="s">
        <v>2969</v>
      </c>
    </row>
    <row r="2133" spans="1:6" x14ac:dyDescent="0.25">
      <c r="A2133" t="s">
        <v>2580</v>
      </c>
      <c r="B2133" t="s">
        <v>1221</v>
      </c>
      <c r="C2133" t="s">
        <v>60</v>
      </c>
      <c r="D2133">
        <v>3</v>
      </c>
      <c r="E2133" t="s">
        <v>1719</v>
      </c>
      <c r="F2133" t="s">
        <v>2969</v>
      </c>
    </row>
    <row r="2134" spans="1:6" x14ac:dyDescent="0.25">
      <c r="A2134" t="s">
        <v>2580</v>
      </c>
      <c r="B2134" t="s">
        <v>1221</v>
      </c>
      <c r="C2134" t="s">
        <v>60</v>
      </c>
      <c r="D2134">
        <v>4</v>
      </c>
      <c r="E2134" t="s">
        <v>2003</v>
      </c>
      <c r="F2134" t="s">
        <v>2969</v>
      </c>
    </row>
    <row r="2135" spans="1:6" x14ac:dyDescent="0.25">
      <c r="A2135" t="s">
        <v>2581</v>
      </c>
      <c r="B2135" t="s">
        <v>1222</v>
      </c>
      <c r="C2135" t="s">
        <v>8</v>
      </c>
      <c r="D2135">
        <v>1</v>
      </c>
      <c r="E2135" t="s">
        <v>70</v>
      </c>
      <c r="F2135" t="s">
        <v>2969</v>
      </c>
    </row>
    <row r="2136" spans="1:6" x14ac:dyDescent="0.25">
      <c r="A2136" t="s">
        <v>2581</v>
      </c>
      <c r="B2136" t="s">
        <v>1222</v>
      </c>
      <c r="C2136" t="s">
        <v>8</v>
      </c>
      <c r="D2136">
        <v>2</v>
      </c>
      <c r="E2136" t="s">
        <v>1891</v>
      </c>
      <c r="F2136" t="s">
        <v>2969</v>
      </c>
    </row>
    <row r="2137" spans="1:6" x14ac:dyDescent="0.25">
      <c r="A2137" t="s">
        <v>2582</v>
      </c>
      <c r="B2137" t="s">
        <v>1223</v>
      </c>
      <c r="C2137" t="s">
        <v>8</v>
      </c>
      <c r="D2137">
        <v>1</v>
      </c>
      <c r="E2137" t="s">
        <v>2122</v>
      </c>
      <c r="F2137" t="s">
        <v>2969</v>
      </c>
    </row>
    <row r="2138" spans="1:6" x14ac:dyDescent="0.25">
      <c r="A2138" t="s">
        <v>2582</v>
      </c>
      <c r="B2138" t="s">
        <v>1223</v>
      </c>
      <c r="C2138" t="s">
        <v>8</v>
      </c>
      <c r="D2138">
        <v>2</v>
      </c>
      <c r="E2138" t="s">
        <v>1760</v>
      </c>
      <c r="F2138" t="s">
        <v>2969</v>
      </c>
    </row>
    <row r="2139" spans="1:6" x14ac:dyDescent="0.25">
      <c r="A2139" t="s">
        <v>2583</v>
      </c>
      <c r="B2139" t="s">
        <v>1224</v>
      </c>
      <c r="C2139" t="s">
        <v>8</v>
      </c>
      <c r="D2139">
        <v>1</v>
      </c>
      <c r="E2139" t="s">
        <v>2017</v>
      </c>
      <c r="F2139" t="s">
        <v>2969</v>
      </c>
    </row>
    <row r="2140" spans="1:6" x14ac:dyDescent="0.25">
      <c r="A2140" t="s">
        <v>2583</v>
      </c>
      <c r="B2140" t="s">
        <v>1224</v>
      </c>
      <c r="C2140" t="s">
        <v>8</v>
      </c>
      <c r="D2140">
        <v>2</v>
      </c>
      <c r="E2140" t="s">
        <v>2038</v>
      </c>
      <c r="F2140" t="s">
        <v>2969</v>
      </c>
    </row>
    <row r="2141" spans="1:6" x14ac:dyDescent="0.25">
      <c r="A2141" t="s">
        <v>2583</v>
      </c>
      <c r="B2141" t="s">
        <v>1224</v>
      </c>
      <c r="C2141" t="s">
        <v>8</v>
      </c>
      <c r="D2141">
        <v>3</v>
      </c>
      <c r="E2141" t="s">
        <v>1822</v>
      </c>
      <c r="F2141" t="s">
        <v>2969</v>
      </c>
    </row>
    <row r="2142" spans="1:6" x14ac:dyDescent="0.25">
      <c r="A2142" t="s">
        <v>2583</v>
      </c>
      <c r="B2142" t="s">
        <v>1224</v>
      </c>
      <c r="C2142" t="s">
        <v>8</v>
      </c>
      <c r="D2142">
        <v>4</v>
      </c>
      <c r="E2142" t="s">
        <v>1709</v>
      </c>
      <c r="F2142" t="s">
        <v>2969</v>
      </c>
    </row>
    <row r="2143" spans="1:6" x14ac:dyDescent="0.25">
      <c r="A2143" t="s">
        <v>2583</v>
      </c>
      <c r="B2143" t="s">
        <v>1224</v>
      </c>
      <c r="C2143" t="s">
        <v>8</v>
      </c>
      <c r="D2143">
        <v>5</v>
      </c>
      <c r="E2143" t="s">
        <v>48</v>
      </c>
      <c r="F2143" t="s">
        <v>2969</v>
      </c>
    </row>
    <row r="2144" spans="1:6" x14ac:dyDescent="0.25">
      <c r="A2144" t="s">
        <v>2583</v>
      </c>
      <c r="B2144" t="s">
        <v>1224</v>
      </c>
      <c r="C2144" t="s">
        <v>8</v>
      </c>
      <c r="D2144">
        <v>6</v>
      </c>
      <c r="E2144" t="s">
        <v>1741</v>
      </c>
      <c r="F2144" t="s">
        <v>2969</v>
      </c>
    </row>
    <row r="2145" spans="1:6" x14ac:dyDescent="0.25">
      <c r="A2145" t="s">
        <v>2583</v>
      </c>
      <c r="B2145" t="s">
        <v>1224</v>
      </c>
      <c r="C2145" t="s">
        <v>8</v>
      </c>
      <c r="D2145">
        <v>7</v>
      </c>
      <c r="E2145" t="s">
        <v>75</v>
      </c>
      <c r="F2145" t="s">
        <v>1692</v>
      </c>
    </row>
    <row r="2146" spans="1:6" x14ac:dyDescent="0.25">
      <c r="A2146" t="s">
        <v>2584</v>
      </c>
      <c r="B2146" t="s">
        <v>1225</v>
      </c>
      <c r="C2146" t="s">
        <v>110</v>
      </c>
      <c r="D2146">
        <v>1</v>
      </c>
      <c r="E2146" t="s">
        <v>1678</v>
      </c>
      <c r="F2146" t="s">
        <v>2969</v>
      </c>
    </row>
    <row r="2147" spans="1:6" x14ac:dyDescent="0.25">
      <c r="A2147" t="s">
        <v>2584</v>
      </c>
      <c r="B2147" t="s">
        <v>1225</v>
      </c>
      <c r="C2147" t="s">
        <v>110</v>
      </c>
      <c r="D2147">
        <v>2</v>
      </c>
      <c r="E2147" t="s">
        <v>2088</v>
      </c>
      <c r="F2147" t="s">
        <v>2969</v>
      </c>
    </row>
    <row r="2148" spans="1:6" x14ac:dyDescent="0.25">
      <c r="A2148" t="s">
        <v>2585</v>
      </c>
      <c r="B2148" t="s">
        <v>1226</v>
      </c>
      <c r="C2148" t="s">
        <v>69</v>
      </c>
      <c r="D2148">
        <v>1</v>
      </c>
      <c r="E2148" t="s">
        <v>1661</v>
      </c>
      <c r="F2148" t="s">
        <v>2969</v>
      </c>
    </row>
    <row r="2149" spans="1:6" x14ac:dyDescent="0.25">
      <c r="A2149" t="s">
        <v>2585</v>
      </c>
      <c r="B2149" t="s">
        <v>1226</v>
      </c>
      <c r="C2149" t="s">
        <v>69</v>
      </c>
      <c r="D2149">
        <v>2</v>
      </c>
      <c r="E2149" t="s">
        <v>2046</v>
      </c>
      <c r="F2149" t="s">
        <v>2969</v>
      </c>
    </row>
    <row r="2150" spans="1:6" x14ac:dyDescent="0.25">
      <c r="A2150" t="s">
        <v>2585</v>
      </c>
      <c r="B2150" t="s">
        <v>1226</v>
      </c>
      <c r="C2150" t="s">
        <v>69</v>
      </c>
      <c r="D2150">
        <v>3</v>
      </c>
      <c r="E2150" t="s">
        <v>1691</v>
      </c>
      <c r="F2150" t="s">
        <v>2969</v>
      </c>
    </row>
    <row r="2151" spans="1:6" x14ac:dyDescent="0.25">
      <c r="A2151" t="s">
        <v>2586</v>
      </c>
      <c r="B2151" t="s">
        <v>1227</v>
      </c>
      <c r="C2151" t="s">
        <v>101</v>
      </c>
      <c r="D2151">
        <v>1</v>
      </c>
      <c r="E2151" t="s">
        <v>1946</v>
      </c>
      <c r="F2151" t="s">
        <v>2969</v>
      </c>
    </row>
    <row r="2152" spans="1:6" x14ac:dyDescent="0.25">
      <c r="A2152" t="s">
        <v>2586</v>
      </c>
      <c r="B2152" t="s">
        <v>1227</v>
      </c>
      <c r="C2152" t="s">
        <v>101</v>
      </c>
      <c r="D2152">
        <v>2</v>
      </c>
      <c r="E2152" t="s">
        <v>115</v>
      </c>
      <c r="F2152" t="s">
        <v>2969</v>
      </c>
    </row>
    <row r="2153" spans="1:6" x14ac:dyDescent="0.25">
      <c r="A2153" t="s">
        <v>2587</v>
      </c>
      <c r="B2153" t="s">
        <v>1228</v>
      </c>
      <c r="C2153" t="s">
        <v>73</v>
      </c>
      <c r="D2153">
        <v>1</v>
      </c>
      <c r="E2153" t="s">
        <v>68</v>
      </c>
      <c r="F2153" t="s">
        <v>2969</v>
      </c>
    </row>
    <row r="2154" spans="1:6" x14ac:dyDescent="0.25">
      <c r="A2154" t="s">
        <v>2587</v>
      </c>
      <c r="B2154" t="s">
        <v>1228</v>
      </c>
      <c r="C2154" t="s">
        <v>73</v>
      </c>
      <c r="D2154">
        <v>2</v>
      </c>
      <c r="E2154" t="s">
        <v>1645</v>
      </c>
      <c r="F2154" t="s">
        <v>2969</v>
      </c>
    </row>
    <row r="2155" spans="1:6" x14ac:dyDescent="0.25">
      <c r="A2155" t="s">
        <v>2587</v>
      </c>
      <c r="B2155" t="s">
        <v>1228</v>
      </c>
      <c r="C2155" t="s">
        <v>73</v>
      </c>
      <c r="D2155">
        <v>3</v>
      </c>
      <c r="E2155" t="s">
        <v>1953</v>
      </c>
      <c r="F2155" t="s">
        <v>2969</v>
      </c>
    </row>
    <row r="2156" spans="1:6" x14ac:dyDescent="0.25">
      <c r="A2156" t="s">
        <v>2588</v>
      </c>
      <c r="B2156" t="s">
        <v>1229</v>
      </c>
      <c r="C2156" t="s">
        <v>60</v>
      </c>
      <c r="D2156">
        <v>1</v>
      </c>
      <c r="E2156" t="s">
        <v>1820</v>
      </c>
      <c r="F2156" t="s">
        <v>2969</v>
      </c>
    </row>
    <row r="2157" spans="1:6" x14ac:dyDescent="0.25">
      <c r="A2157" t="s">
        <v>2588</v>
      </c>
      <c r="B2157" t="s">
        <v>1229</v>
      </c>
      <c r="C2157" t="s">
        <v>60</v>
      </c>
      <c r="D2157">
        <v>2</v>
      </c>
      <c r="E2157" t="s">
        <v>2516</v>
      </c>
      <c r="F2157" t="s">
        <v>2969</v>
      </c>
    </row>
    <row r="2158" spans="1:6" x14ac:dyDescent="0.25">
      <c r="A2158" t="s">
        <v>2588</v>
      </c>
      <c r="B2158" t="s">
        <v>1229</v>
      </c>
      <c r="C2158" t="s">
        <v>60</v>
      </c>
      <c r="D2158">
        <v>3</v>
      </c>
      <c r="E2158" t="s">
        <v>2128</v>
      </c>
      <c r="F2158" t="s">
        <v>2969</v>
      </c>
    </row>
    <row r="2159" spans="1:6" x14ac:dyDescent="0.25">
      <c r="A2159" t="s">
        <v>2588</v>
      </c>
      <c r="B2159" t="s">
        <v>1229</v>
      </c>
      <c r="C2159" t="s">
        <v>60</v>
      </c>
      <c r="D2159">
        <v>4</v>
      </c>
      <c r="E2159" t="s">
        <v>2970</v>
      </c>
      <c r="F2159" t="s">
        <v>2969</v>
      </c>
    </row>
    <row r="2160" spans="1:6" x14ac:dyDescent="0.25">
      <c r="A2160" t="s">
        <v>2589</v>
      </c>
      <c r="B2160" t="s">
        <v>1230</v>
      </c>
      <c r="C2160" t="s">
        <v>60</v>
      </c>
      <c r="D2160">
        <v>1</v>
      </c>
      <c r="E2160" t="s">
        <v>1683</v>
      </c>
      <c r="F2160" t="s">
        <v>2969</v>
      </c>
    </row>
    <row r="2161" spans="1:6" x14ac:dyDescent="0.25">
      <c r="A2161" t="s">
        <v>2589</v>
      </c>
      <c r="B2161" t="s">
        <v>1230</v>
      </c>
      <c r="C2161" t="s">
        <v>60</v>
      </c>
      <c r="D2161">
        <v>2</v>
      </c>
      <c r="E2161" t="s">
        <v>2128</v>
      </c>
      <c r="F2161" t="s">
        <v>2969</v>
      </c>
    </row>
    <row r="2162" spans="1:6" x14ac:dyDescent="0.25">
      <c r="A2162" t="s">
        <v>2590</v>
      </c>
      <c r="B2162" t="s">
        <v>1231</v>
      </c>
      <c r="C2162" t="s">
        <v>85</v>
      </c>
      <c r="D2162">
        <v>1</v>
      </c>
      <c r="E2162" t="s">
        <v>1726</v>
      </c>
      <c r="F2162" t="s">
        <v>2969</v>
      </c>
    </row>
    <row r="2163" spans="1:6" x14ac:dyDescent="0.25">
      <c r="A2163" t="s">
        <v>2590</v>
      </c>
      <c r="B2163" t="s">
        <v>1231</v>
      </c>
      <c r="C2163" t="s">
        <v>85</v>
      </c>
      <c r="D2163">
        <v>2</v>
      </c>
      <c r="E2163" t="s">
        <v>1657</v>
      </c>
      <c r="F2163" t="s">
        <v>2969</v>
      </c>
    </row>
    <row r="2164" spans="1:6" x14ac:dyDescent="0.25">
      <c r="A2164" t="s">
        <v>2590</v>
      </c>
      <c r="B2164" t="s">
        <v>1231</v>
      </c>
      <c r="C2164" t="s">
        <v>85</v>
      </c>
      <c r="D2164">
        <v>3</v>
      </c>
      <c r="E2164" t="s">
        <v>96</v>
      </c>
      <c r="F2164" t="s">
        <v>2969</v>
      </c>
    </row>
    <row r="2165" spans="1:6" x14ac:dyDescent="0.25">
      <c r="A2165" t="s">
        <v>2590</v>
      </c>
      <c r="B2165" t="s">
        <v>1231</v>
      </c>
      <c r="C2165" t="s">
        <v>85</v>
      </c>
      <c r="D2165">
        <v>4</v>
      </c>
      <c r="E2165" t="s">
        <v>1917</v>
      </c>
      <c r="F2165" t="s">
        <v>2969</v>
      </c>
    </row>
    <row r="2166" spans="1:6" x14ac:dyDescent="0.25">
      <c r="A2166" t="s">
        <v>2591</v>
      </c>
      <c r="B2166" t="s">
        <v>1232</v>
      </c>
      <c r="C2166" t="s">
        <v>127</v>
      </c>
      <c r="D2166">
        <v>1</v>
      </c>
      <c r="E2166" t="s">
        <v>64</v>
      </c>
      <c r="F2166" t="s">
        <v>2969</v>
      </c>
    </row>
    <row r="2167" spans="1:6" x14ac:dyDescent="0.25">
      <c r="A2167" t="s">
        <v>2591</v>
      </c>
      <c r="B2167" t="s">
        <v>1232</v>
      </c>
      <c r="C2167" t="s">
        <v>127</v>
      </c>
      <c r="D2167">
        <v>2</v>
      </c>
      <c r="E2167" t="s">
        <v>111</v>
      </c>
      <c r="F2167" t="s">
        <v>2969</v>
      </c>
    </row>
    <row r="2168" spans="1:6" x14ac:dyDescent="0.25">
      <c r="A2168" t="s">
        <v>2591</v>
      </c>
      <c r="B2168" t="s">
        <v>1232</v>
      </c>
      <c r="C2168" t="s">
        <v>127</v>
      </c>
      <c r="D2168">
        <v>3</v>
      </c>
      <c r="E2168" t="s">
        <v>1639</v>
      </c>
      <c r="F2168" t="s">
        <v>2969</v>
      </c>
    </row>
    <row r="2169" spans="1:6" x14ac:dyDescent="0.25">
      <c r="A2169" t="s">
        <v>2591</v>
      </c>
      <c r="B2169" t="s">
        <v>1232</v>
      </c>
      <c r="C2169" t="s">
        <v>127</v>
      </c>
      <c r="D2169">
        <v>4</v>
      </c>
      <c r="E2169" t="s">
        <v>1960</v>
      </c>
      <c r="F2169" t="s">
        <v>2969</v>
      </c>
    </row>
    <row r="2170" spans="1:6" x14ac:dyDescent="0.25">
      <c r="A2170" t="s">
        <v>2591</v>
      </c>
      <c r="B2170" t="s">
        <v>1232</v>
      </c>
      <c r="C2170" t="s">
        <v>127</v>
      </c>
      <c r="D2170">
        <v>5</v>
      </c>
      <c r="E2170" t="s">
        <v>1751</v>
      </c>
      <c r="F2170" t="s">
        <v>2969</v>
      </c>
    </row>
    <row r="2171" spans="1:6" x14ac:dyDescent="0.25">
      <c r="A2171" t="s">
        <v>2591</v>
      </c>
      <c r="B2171" t="s">
        <v>1232</v>
      </c>
      <c r="C2171" t="s">
        <v>127</v>
      </c>
      <c r="D2171">
        <v>6</v>
      </c>
      <c r="E2171" t="s">
        <v>1781</v>
      </c>
      <c r="F2171" t="s">
        <v>2969</v>
      </c>
    </row>
    <row r="2172" spans="1:6" x14ac:dyDescent="0.25">
      <c r="A2172" t="s">
        <v>2592</v>
      </c>
      <c r="B2172" t="s">
        <v>1233</v>
      </c>
      <c r="C2172" t="s">
        <v>128</v>
      </c>
      <c r="D2172">
        <v>1</v>
      </c>
      <c r="E2172" t="s">
        <v>1908</v>
      </c>
      <c r="F2172" t="s">
        <v>2969</v>
      </c>
    </row>
    <row r="2173" spans="1:6" x14ac:dyDescent="0.25">
      <c r="A2173" t="s">
        <v>2592</v>
      </c>
      <c r="B2173" t="s">
        <v>1233</v>
      </c>
      <c r="C2173" t="s">
        <v>128</v>
      </c>
      <c r="D2173">
        <v>2</v>
      </c>
      <c r="E2173" t="s">
        <v>2344</v>
      </c>
      <c r="F2173" t="s">
        <v>2969</v>
      </c>
    </row>
    <row r="2174" spans="1:6" x14ac:dyDescent="0.25">
      <c r="A2174" t="s">
        <v>2592</v>
      </c>
      <c r="B2174" t="s">
        <v>1233</v>
      </c>
      <c r="C2174" t="s">
        <v>128</v>
      </c>
      <c r="D2174">
        <v>3</v>
      </c>
      <c r="E2174" t="s">
        <v>1731</v>
      </c>
      <c r="F2174" t="s">
        <v>2969</v>
      </c>
    </row>
    <row r="2175" spans="1:6" x14ac:dyDescent="0.25">
      <c r="A2175" t="s">
        <v>2593</v>
      </c>
      <c r="B2175" t="s">
        <v>1234</v>
      </c>
      <c r="C2175" t="s">
        <v>128</v>
      </c>
      <c r="D2175">
        <v>1</v>
      </c>
      <c r="E2175" t="s">
        <v>26</v>
      </c>
      <c r="F2175" t="s">
        <v>2969</v>
      </c>
    </row>
    <row r="2176" spans="1:6" x14ac:dyDescent="0.25">
      <c r="A2176" t="s">
        <v>2593</v>
      </c>
      <c r="B2176" t="s">
        <v>1234</v>
      </c>
      <c r="C2176" t="s">
        <v>128</v>
      </c>
      <c r="D2176">
        <v>2</v>
      </c>
      <c r="E2176" t="s">
        <v>1803</v>
      </c>
      <c r="F2176" t="s">
        <v>2969</v>
      </c>
    </row>
    <row r="2177" spans="1:6" x14ac:dyDescent="0.25">
      <c r="A2177" t="s">
        <v>2594</v>
      </c>
      <c r="B2177" t="s">
        <v>1235</v>
      </c>
      <c r="C2177" t="s">
        <v>107</v>
      </c>
      <c r="D2177">
        <v>1</v>
      </c>
      <c r="E2177" t="s">
        <v>1809</v>
      </c>
      <c r="F2177" t="s">
        <v>2969</v>
      </c>
    </row>
    <row r="2178" spans="1:6" x14ac:dyDescent="0.25">
      <c r="A2178" t="s">
        <v>2595</v>
      </c>
      <c r="B2178" t="s">
        <v>1236</v>
      </c>
      <c r="C2178" t="s">
        <v>65</v>
      </c>
      <c r="D2178">
        <v>1</v>
      </c>
      <c r="E2178" t="s">
        <v>1781</v>
      </c>
      <c r="F2178" t="s">
        <v>2969</v>
      </c>
    </row>
    <row r="2179" spans="1:6" x14ac:dyDescent="0.25">
      <c r="A2179" t="s">
        <v>2595</v>
      </c>
      <c r="B2179" t="s">
        <v>1236</v>
      </c>
      <c r="C2179" t="s">
        <v>65</v>
      </c>
      <c r="D2179">
        <v>2</v>
      </c>
      <c r="E2179" t="s">
        <v>1923</v>
      </c>
      <c r="F2179" t="s">
        <v>2969</v>
      </c>
    </row>
    <row r="2180" spans="1:6" x14ac:dyDescent="0.25">
      <c r="A2180" t="s">
        <v>2596</v>
      </c>
      <c r="B2180" t="s">
        <v>1237</v>
      </c>
      <c r="C2180" t="s">
        <v>73</v>
      </c>
      <c r="D2180">
        <v>1</v>
      </c>
      <c r="E2180" t="s">
        <v>2032</v>
      </c>
      <c r="F2180" t="s">
        <v>2969</v>
      </c>
    </row>
    <row r="2181" spans="1:6" x14ac:dyDescent="0.25">
      <c r="A2181" t="s">
        <v>2596</v>
      </c>
      <c r="B2181" t="s">
        <v>1237</v>
      </c>
      <c r="C2181" t="s">
        <v>73</v>
      </c>
      <c r="D2181">
        <v>2</v>
      </c>
      <c r="E2181" t="s">
        <v>1828</v>
      </c>
      <c r="F2181" t="s">
        <v>2969</v>
      </c>
    </row>
    <row r="2182" spans="1:6" x14ac:dyDescent="0.25">
      <c r="A2182" t="s">
        <v>2597</v>
      </c>
      <c r="B2182" t="s">
        <v>1238</v>
      </c>
      <c r="C2182" t="s">
        <v>34</v>
      </c>
      <c r="D2182">
        <v>1</v>
      </c>
      <c r="E2182" t="s">
        <v>1764</v>
      </c>
      <c r="F2182" t="s">
        <v>2969</v>
      </c>
    </row>
    <row r="2183" spans="1:6" x14ac:dyDescent="0.25">
      <c r="A2183" t="s">
        <v>2597</v>
      </c>
      <c r="B2183" t="s">
        <v>1238</v>
      </c>
      <c r="C2183" t="s">
        <v>34</v>
      </c>
      <c r="D2183">
        <v>2</v>
      </c>
      <c r="E2183" t="s">
        <v>1760</v>
      </c>
      <c r="F2183" t="s">
        <v>2969</v>
      </c>
    </row>
    <row r="2184" spans="1:6" x14ac:dyDescent="0.25">
      <c r="A2184" t="s">
        <v>2598</v>
      </c>
      <c r="B2184" t="s">
        <v>1239</v>
      </c>
      <c r="C2184" t="s">
        <v>73</v>
      </c>
      <c r="D2184">
        <v>1</v>
      </c>
      <c r="E2184" t="s">
        <v>2169</v>
      </c>
      <c r="F2184" t="s">
        <v>2969</v>
      </c>
    </row>
    <row r="2185" spans="1:6" x14ac:dyDescent="0.25">
      <c r="A2185" t="s">
        <v>2598</v>
      </c>
      <c r="B2185" t="s">
        <v>1239</v>
      </c>
      <c r="C2185" t="s">
        <v>73</v>
      </c>
      <c r="D2185">
        <v>2</v>
      </c>
      <c r="E2185" t="s">
        <v>1751</v>
      </c>
      <c r="F2185" t="s">
        <v>2969</v>
      </c>
    </row>
    <row r="2186" spans="1:6" x14ac:dyDescent="0.25">
      <c r="A2186" t="s">
        <v>2599</v>
      </c>
      <c r="B2186" t="s">
        <v>1240</v>
      </c>
      <c r="C2186" t="s">
        <v>112</v>
      </c>
      <c r="D2186">
        <v>1</v>
      </c>
      <c r="E2186" t="s">
        <v>109</v>
      </c>
      <c r="F2186" t="s">
        <v>2969</v>
      </c>
    </row>
    <row r="2187" spans="1:6" x14ac:dyDescent="0.25">
      <c r="A2187" t="s">
        <v>2599</v>
      </c>
      <c r="B2187" t="s">
        <v>1240</v>
      </c>
      <c r="C2187" t="s">
        <v>112</v>
      </c>
      <c r="D2187">
        <v>2</v>
      </c>
      <c r="E2187" t="s">
        <v>1704</v>
      </c>
      <c r="F2187" t="s">
        <v>2969</v>
      </c>
    </row>
    <row r="2188" spans="1:6" x14ac:dyDescent="0.25">
      <c r="A2188" t="s">
        <v>2600</v>
      </c>
      <c r="B2188" t="s">
        <v>1241</v>
      </c>
      <c r="C2188" t="s">
        <v>130</v>
      </c>
      <c r="D2188">
        <v>1</v>
      </c>
      <c r="E2188" t="s">
        <v>133</v>
      </c>
      <c r="F2188" t="s">
        <v>2969</v>
      </c>
    </row>
    <row r="2189" spans="1:6" x14ac:dyDescent="0.25">
      <c r="A2189" t="s">
        <v>2601</v>
      </c>
      <c r="B2189" t="s">
        <v>1242</v>
      </c>
      <c r="C2189" t="s">
        <v>37</v>
      </c>
      <c r="D2189">
        <v>1</v>
      </c>
      <c r="E2189" t="s">
        <v>1689</v>
      </c>
      <c r="F2189" t="s">
        <v>2969</v>
      </c>
    </row>
    <row r="2190" spans="1:6" x14ac:dyDescent="0.25">
      <c r="A2190" t="s">
        <v>2601</v>
      </c>
      <c r="B2190" t="s">
        <v>1242</v>
      </c>
      <c r="C2190" t="s">
        <v>37</v>
      </c>
      <c r="D2190">
        <v>2</v>
      </c>
      <c r="E2190" t="s">
        <v>1649</v>
      </c>
      <c r="F2190" t="s">
        <v>2969</v>
      </c>
    </row>
    <row r="2191" spans="1:6" x14ac:dyDescent="0.25">
      <c r="A2191" t="s">
        <v>2602</v>
      </c>
      <c r="B2191" t="s">
        <v>1243</v>
      </c>
      <c r="C2191" t="s">
        <v>98</v>
      </c>
      <c r="D2191">
        <v>1</v>
      </c>
      <c r="E2191" t="s">
        <v>1663</v>
      </c>
      <c r="F2191" t="s">
        <v>2969</v>
      </c>
    </row>
    <row r="2192" spans="1:6" x14ac:dyDescent="0.25">
      <c r="A2192" t="s">
        <v>2603</v>
      </c>
      <c r="B2192" t="s">
        <v>1244</v>
      </c>
      <c r="C2192" t="s">
        <v>128</v>
      </c>
      <c r="D2192">
        <v>1</v>
      </c>
      <c r="E2192" t="s">
        <v>1795</v>
      </c>
      <c r="F2192" t="s">
        <v>2969</v>
      </c>
    </row>
    <row r="2193" spans="1:6" x14ac:dyDescent="0.25">
      <c r="A2193" t="s">
        <v>2603</v>
      </c>
      <c r="B2193" t="s">
        <v>1244</v>
      </c>
      <c r="C2193" t="s">
        <v>128</v>
      </c>
      <c r="D2193">
        <v>2</v>
      </c>
      <c r="E2193" t="s">
        <v>55</v>
      </c>
      <c r="F2193" t="s">
        <v>2969</v>
      </c>
    </row>
    <row r="2194" spans="1:6" x14ac:dyDescent="0.25">
      <c r="A2194" t="s">
        <v>2603</v>
      </c>
      <c r="B2194" t="s">
        <v>1244</v>
      </c>
      <c r="C2194" t="s">
        <v>128</v>
      </c>
      <c r="D2194">
        <v>3</v>
      </c>
      <c r="E2194" t="s">
        <v>84</v>
      </c>
      <c r="F2194" t="s">
        <v>2969</v>
      </c>
    </row>
    <row r="2195" spans="1:6" x14ac:dyDescent="0.25">
      <c r="A2195" t="s">
        <v>2604</v>
      </c>
      <c r="B2195" t="s">
        <v>1245</v>
      </c>
      <c r="C2195" t="s">
        <v>125</v>
      </c>
      <c r="D2195">
        <v>1</v>
      </c>
      <c r="E2195" t="s">
        <v>1663</v>
      </c>
      <c r="F2195" t="s">
        <v>2969</v>
      </c>
    </row>
    <row r="2196" spans="1:6" x14ac:dyDescent="0.25">
      <c r="A2196" t="s">
        <v>2605</v>
      </c>
      <c r="B2196" t="s">
        <v>1246</v>
      </c>
      <c r="C2196" t="s">
        <v>92</v>
      </c>
      <c r="D2196">
        <v>1</v>
      </c>
      <c r="E2196" t="s">
        <v>1815</v>
      </c>
      <c r="F2196" t="s">
        <v>2969</v>
      </c>
    </row>
    <row r="2197" spans="1:6" x14ac:dyDescent="0.25">
      <c r="A2197" t="s">
        <v>2605</v>
      </c>
      <c r="B2197" t="s">
        <v>1246</v>
      </c>
      <c r="C2197" t="s">
        <v>92</v>
      </c>
      <c r="D2197">
        <v>2</v>
      </c>
      <c r="E2197" t="s">
        <v>1678</v>
      </c>
      <c r="F2197" t="s">
        <v>2969</v>
      </c>
    </row>
    <row r="2198" spans="1:6" x14ac:dyDescent="0.25">
      <c r="A2198" t="s">
        <v>2606</v>
      </c>
      <c r="B2198" t="s">
        <v>1248</v>
      </c>
      <c r="C2198" t="s">
        <v>8</v>
      </c>
      <c r="D2198">
        <v>1</v>
      </c>
      <c r="E2198" t="s">
        <v>2122</v>
      </c>
      <c r="F2198" t="s">
        <v>2969</v>
      </c>
    </row>
    <row r="2199" spans="1:6" x14ac:dyDescent="0.25">
      <c r="A2199" t="s">
        <v>2606</v>
      </c>
      <c r="B2199" t="s">
        <v>1248</v>
      </c>
      <c r="C2199" t="s">
        <v>8</v>
      </c>
      <c r="D2199">
        <v>2</v>
      </c>
      <c r="E2199" t="s">
        <v>1807</v>
      </c>
      <c r="F2199" t="s">
        <v>2969</v>
      </c>
    </row>
    <row r="2200" spans="1:6" x14ac:dyDescent="0.25">
      <c r="A2200" t="s">
        <v>2607</v>
      </c>
      <c r="B2200" t="s">
        <v>1249</v>
      </c>
      <c r="C2200" t="s">
        <v>31</v>
      </c>
      <c r="D2200">
        <v>1</v>
      </c>
      <c r="E2200" t="s">
        <v>1651</v>
      </c>
      <c r="F2200" t="s">
        <v>2969</v>
      </c>
    </row>
    <row r="2201" spans="1:6" x14ac:dyDescent="0.25">
      <c r="A2201" t="s">
        <v>2608</v>
      </c>
      <c r="B2201" t="s">
        <v>1250</v>
      </c>
      <c r="C2201" t="s">
        <v>97</v>
      </c>
      <c r="D2201">
        <v>1</v>
      </c>
      <c r="E2201" t="s">
        <v>1653</v>
      </c>
      <c r="F2201" t="s">
        <v>2969</v>
      </c>
    </row>
    <row r="2202" spans="1:6" x14ac:dyDescent="0.25">
      <c r="A2202" t="s">
        <v>2608</v>
      </c>
      <c r="B2202" t="s">
        <v>1250</v>
      </c>
      <c r="C2202" t="s">
        <v>97</v>
      </c>
      <c r="D2202">
        <v>2</v>
      </c>
      <c r="E2202" t="s">
        <v>1758</v>
      </c>
      <c r="F2202" t="s">
        <v>2969</v>
      </c>
    </row>
    <row r="2203" spans="1:6" x14ac:dyDescent="0.25">
      <c r="A2203" t="s">
        <v>2608</v>
      </c>
      <c r="B2203" t="s">
        <v>1250</v>
      </c>
      <c r="C2203" t="s">
        <v>97</v>
      </c>
      <c r="D2203">
        <v>3</v>
      </c>
      <c r="E2203" t="s">
        <v>1772</v>
      </c>
      <c r="F2203" t="s">
        <v>2969</v>
      </c>
    </row>
    <row r="2204" spans="1:6" x14ac:dyDescent="0.25">
      <c r="A2204" t="s">
        <v>2608</v>
      </c>
      <c r="B2204" t="s">
        <v>1250</v>
      </c>
      <c r="C2204" t="s">
        <v>97</v>
      </c>
      <c r="D2204">
        <v>4</v>
      </c>
      <c r="E2204" t="s">
        <v>68</v>
      </c>
      <c r="F2204" t="s">
        <v>2969</v>
      </c>
    </row>
    <row r="2205" spans="1:6" x14ac:dyDescent="0.25">
      <c r="A2205" t="s">
        <v>2608</v>
      </c>
      <c r="B2205" t="s">
        <v>1250</v>
      </c>
      <c r="C2205" t="s">
        <v>97</v>
      </c>
      <c r="D2205">
        <v>5</v>
      </c>
      <c r="E2205" t="s">
        <v>1645</v>
      </c>
      <c r="F2205" t="s">
        <v>2969</v>
      </c>
    </row>
    <row r="2206" spans="1:6" x14ac:dyDescent="0.25">
      <c r="A2206" t="s">
        <v>2609</v>
      </c>
      <c r="B2206" t="s">
        <v>1252</v>
      </c>
      <c r="C2206" t="s">
        <v>34</v>
      </c>
      <c r="D2206">
        <v>1</v>
      </c>
      <c r="E2206" t="s">
        <v>1685</v>
      </c>
      <c r="F2206" t="s">
        <v>2969</v>
      </c>
    </row>
    <row r="2207" spans="1:6" x14ac:dyDescent="0.25">
      <c r="A2207" t="s">
        <v>2609</v>
      </c>
      <c r="B2207" t="s">
        <v>1252</v>
      </c>
      <c r="C2207" t="s">
        <v>34</v>
      </c>
      <c r="D2207">
        <v>2</v>
      </c>
      <c r="E2207" t="s">
        <v>1691</v>
      </c>
      <c r="F2207" t="s">
        <v>2969</v>
      </c>
    </row>
    <row r="2208" spans="1:6" x14ac:dyDescent="0.25">
      <c r="A2208" t="s">
        <v>2609</v>
      </c>
      <c r="B2208" t="s">
        <v>1252</v>
      </c>
      <c r="C2208" t="s">
        <v>34</v>
      </c>
      <c r="D2208">
        <v>3</v>
      </c>
      <c r="E2208" t="s">
        <v>1779</v>
      </c>
      <c r="F2208" t="s">
        <v>2969</v>
      </c>
    </row>
    <row r="2209" spans="1:6" x14ac:dyDescent="0.25">
      <c r="A2209" t="s">
        <v>2609</v>
      </c>
      <c r="B2209" t="s">
        <v>1252</v>
      </c>
      <c r="C2209" t="s">
        <v>34</v>
      </c>
      <c r="D2209">
        <v>4</v>
      </c>
      <c r="E2209" t="s">
        <v>2078</v>
      </c>
      <c r="F2209" t="s">
        <v>2969</v>
      </c>
    </row>
    <row r="2210" spans="1:6" x14ac:dyDescent="0.25">
      <c r="A2210" t="s">
        <v>2610</v>
      </c>
      <c r="B2210" t="s">
        <v>1253</v>
      </c>
      <c r="C2210" t="s">
        <v>116</v>
      </c>
      <c r="D2210">
        <v>1</v>
      </c>
      <c r="E2210" t="s">
        <v>2611</v>
      </c>
      <c r="F2210" t="s">
        <v>2969</v>
      </c>
    </row>
    <row r="2211" spans="1:6" x14ac:dyDescent="0.25">
      <c r="A2211" t="s">
        <v>2610</v>
      </c>
      <c r="B2211" t="s">
        <v>1253</v>
      </c>
      <c r="C2211" t="s">
        <v>116</v>
      </c>
      <c r="D2211">
        <v>2</v>
      </c>
      <c r="E2211" t="s">
        <v>1896</v>
      </c>
      <c r="F2211" t="s">
        <v>2969</v>
      </c>
    </row>
    <row r="2212" spans="1:6" x14ac:dyDescent="0.25">
      <c r="A2212" t="s">
        <v>2610</v>
      </c>
      <c r="B2212" t="s">
        <v>1253</v>
      </c>
      <c r="C2212" t="s">
        <v>116</v>
      </c>
      <c r="D2212">
        <v>3</v>
      </c>
      <c r="E2212" t="s">
        <v>1931</v>
      </c>
      <c r="F2212" t="s">
        <v>2969</v>
      </c>
    </row>
    <row r="2213" spans="1:6" x14ac:dyDescent="0.25">
      <c r="A2213" t="s">
        <v>2610</v>
      </c>
      <c r="B2213" t="s">
        <v>1253</v>
      </c>
      <c r="C2213" t="s">
        <v>116</v>
      </c>
      <c r="D2213">
        <v>4</v>
      </c>
      <c r="E2213" t="s">
        <v>1869</v>
      </c>
      <c r="F2213" t="s">
        <v>2969</v>
      </c>
    </row>
    <row r="2214" spans="1:6" x14ac:dyDescent="0.25">
      <c r="A2214" t="s">
        <v>2612</v>
      </c>
      <c r="B2214" t="s">
        <v>1254</v>
      </c>
      <c r="C2214" t="s">
        <v>23</v>
      </c>
      <c r="D2214">
        <v>1</v>
      </c>
      <c r="E2214" t="s">
        <v>1731</v>
      </c>
      <c r="F2214" t="s">
        <v>2969</v>
      </c>
    </row>
    <row r="2215" spans="1:6" x14ac:dyDescent="0.25">
      <c r="A2215" t="s">
        <v>2612</v>
      </c>
      <c r="B2215" t="s">
        <v>1254</v>
      </c>
      <c r="C2215" t="s">
        <v>23</v>
      </c>
      <c r="D2215">
        <v>2</v>
      </c>
      <c r="E2215" t="s">
        <v>72</v>
      </c>
      <c r="F2215" t="s">
        <v>2969</v>
      </c>
    </row>
    <row r="2216" spans="1:6" x14ac:dyDescent="0.25">
      <c r="A2216" t="s">
        <v>2613</v>
      </c>
      <c r="B2216" t="s">
        <v>1255</v>
      </c>
      <c r="C2216" t="s">
        <v>125</v>
      </c>
      <c r="D2216">
        <v>1</v>
      </c>
      <c r="E2216" t="s">
        <v>1809</v>
      </c>
      <c r="F2216" t="s">
        <v>2969</v>
      </c>
    </row>
    <row r="2217" spans="1:6" x14ac:dyDescent="0.25">
      <c r="A2217" t="s">
        <v>2613</v>
      </c>
      <c r="B2217" t="s">
        <v>1255</v>
      </c>
      <c r="C2217" t="s">
        <v>125</v>
      </c>
      <c r="D2217">
        <v>2</v>
      </c>
      <c r="E2217" t="s">
        <v>13</v>
      </c>
      <c r="F2217" t="s">
        <v>2969</v>
      </c>
    </row>
    <row r="2218" spans="1:6" x14ac:dyDescent="0.25">
      <c r="A2218" t="s">
        <v>2613</v>
      </c>
      <c r="B2218" t="s">
        <v>1255</v>
      </c>
      <c r="C2218" t="s">
        <v>125</v>
      </c>
      <c r="D2218">
        <v>3</v>
      </c>
      <c r="E2218" t="s">
        <v>1859</v>
      </c>
      <c r="F2218" t="s">
        <v>2969</v>
      </c>
    </row>
    <row r="2219" spans="1:6" x14ac:dyDescent="0.25">
      <c r="A2219" t="s">
        <v>2613</v>
      </c>
      <c r="B2219" t="s">
        <v>1255</v>
      </c>
      <c r="C2219" t="s">
        <v>125</v>
      </c>
      <c r="D2219">
        <v>4</v>
      </c>
      <c r="E2219" t="s">
        <v>1695</v>
      </c>
      <c r="F2219" t="s">
        <v>2969</v>
      </c>
    </row>
    <row r="2220" spans="1:6" x14ac:dyDescent="0.25">
      <c r="A2220" t="s">
        <v>2613</v>
      </c>
      <c r="B2220" t="s">
        <v>1255</v>
      </c>
      <c r="C2220" t="s">
        <v>125</v>
      </c>
      <c r="D2220">
        <v>5</v>
      </c>
      <c r="E2220" t="s">
        <v>1661</v>
      </c>
      <c r="F2220" t="s">
        <v>2969</v>
      </c>
    </row>
    <row r="2221" spans="1:6" x14ac:dyDescent="0.25">
      <c r="A2221" t="s">
        <v>2613</v>
      </c>
      <c r="B2221" t="s">
        <v>1255</v>
      </c>
      <c r="C2221" t="s">
        <v>125</v>
      </c>
      <c r="D2221">
        <v>6</v>
      </c>
      <c r="E2221" t="s">
        <v>2046</v>
      </c>
      <c r="F2221" t="s">
        <v>2969</v>
      </c>
    </row>
    <row r="2222" spans="1:6" x14ac:dyDescent="0.25">
      <c r="A2222" t="s">
        <v>2613</v>
      </c>
      <c r="B2222" t="s">
        <v>1255</v>
      </c>
      <c r="C2222" t="s">
        <v>125</v>
      </c>
      <c r="D2222">
        <v>7</v>
      </c>
      <c r="E2222" t="s">
        <v>1691</v>
      </c>
      <c r="F2222" t="s">
        <v>1692</v>
      </c>
    </row>
    <row r="2223" spans="1:6" x14ac:dyDescent="0.25">
      <c r="A2223" t="s">
        <v>2614</v>
      </c>
      <c r="B2223" t="s">
        <v>1256</v>
      </c>
      <c r="C2223" t="s">
        <v>85</v>
      </c>
      <c r="D2223">
        <v>1</v>
      </c>
      <c r="E2223" t="s">
        <v>51</v>
      </c>
      <c r="F2223" t="s">
        <v>2969</v>
      </c>
    </row>
    <row r="2224" spans="1:6" x14ac:dyDescent="0.25">
      <c r="A2224" t="s">
        <v>2614</v>
      </c>
      <c r="B2224" t="s">
        <v>1256</v>
      </c>
      <c r="C2224" t="s">
        <v>85</v>
      </c>
      <c r="D2224">
        <v>2</v>
      </c>
      <c r="E2224" t="s">
        <v>78</v>
      </c>
      <c r="F2224" t="s">
        <v>2969</v>
      </c>
    </row>
    <row r="2225" spans="1:6" x14ac:dyDescent="0.25">
      <c r="A2225" t="s">
        <v>2615</v>
      </c>
      <c r="B2225" t="s">
        <v>1257</v>
      </c>
      <c r="C2225" t="s">
        <v>69</v>
      </c>
      <c r="D2225">
        <v>1</v>
      </c>
      <c r="E2225" t="s">
        <v>2094</v>
      </c>
      <c r="F2225" t="s">
        <v>2969</v>
      </c>
    </row>
    <row r="2226" spans="1:6" x14ac:dyDescent="0.25">
      <c r="A2226" t="s">
        <v>2616</v>
      </c>
      <c r="B2226" t="s">
        <v>1258</v>
      </c>
      <c r="C2226" t="s">
        <v>60</v>
      </c>
      <c r="D2226">
        <v>1</v>
      </c>
      <c r="E2226" t="s">
        <v>1917</v>
      </c>
      <c r="F2226" t="s">
        <v>2969</v>
      </c>
    </row>
    <row r="2227" spans="1:6" x14ac:dyDescent="0.25">
      <c r="A2227" t="s">
        <v>2616</v>
      </c>
      <c r="B2227" t="s">
        <v>1258</v>
      </c>
      <c r="C2227" t="s">
        <v>60</v>
      </c>
      <c r="D2227">
        <v>2</v>
      </c>
      <c r="E2227" t="s">
        <v>1960</v>
      </c>
      <c r="F2227" t="s">
        <v>2969</v>
      </c>
    </row>
    <row r="2228" spans="1:6" x14ac:dyDescent="0.25">
      <c r="A2228" t="s">
        <v>2617</v>
      </c>
      <c r="B2228" t="s">
        <v>1259</v>
      </c>
      <c r="C2228" t="s">
        <v>105</v>
      </c>
      <c r="D2228">
        <v>1</v>
      </c>
      <c r="E2228" t="s">
        <v>1711</v>
      </c>
      <c r="F2228" t="s">
        <v>2969</v>
      </c>
    </row>
    <row r="2229" spans="1:6" x14ac:dyDescent="0.25">
      <c r="A2229" t="s">
        <v>2617</v>
      </c>
      <c r="B2229" t="s">
        <v>1259</v>
      </c>
      <c r="C2229" t="s">
        <v>105</v>
      </c>
      <c r="D2229">
        <v>2</v>
      </c>
      <c r="E2229" t="s">
        <v>48</v>
      </c>
      <c r="F2229" t="s">
        <v>2969</v>
      </c>
    </row>
    <row r="2230" spans="1:6" x14ac:dyDescent="0.25">
      <c r="A2230" t="s">
        <v>2617</v>
      </c>
      <c r="B2230" t="s">
        <v>1259</v>
      </c>
      <c r="C2230" t="s">
        <v>105</v>
      </c>
      <c r="D2230">
        <v>3</v>
      </c>
      <c r="E2230" t="s">
        <v>1667</v>
      </c>
      <c r="F2230" t="s">
        <v>2969</v>
      </c>
    </row>
    <row r="2231" spans="1:6" x14ac:dyDescent="0.25">
      <c r="A2231" t="s">
        <v>2617</v>
      </c>
      <c r="B2231" t="s">
        <v>1259</v>
      </c>
      <c r="C2231" t="s">
        <v>105</v>
      </c>
      <c r="D2231">
        <v>4</v>
      </c>
      <c r="E2231" t="s">
        <v>1657</v>
      </c>
      <c r="F2231" t="s">
        <v>2969</v>
      </c>
    </row>
    <row r="2232" spans="1:6" x14ac:dyDescent="0.25">
      <c r="A2232" t="s">
        <v>2617</v>
      </c>
      <c r="B2232" t="s">
        <v>1259</v>
      </c>
      <c r="C2232" t="s">
        <v>105</v>
      </c>
      <c r="D2232">
        <v>5</v>
      </c>
      <c r="E2232" t="s">
        <v>64</v>
      </c>
      <c r="F2232" t="s">
        <v>2969</v>
      </c>
    </row>
    <row r="2233" spans="1:6" x14ac:dyDescent="0.25">
      <c r="A2233" t="s">
        <v>2617</v>
      </c>
      <c r="B2233" t="s">
        <v>1259</v>
      </c>
      <c r="C2233" t="s">
        <v>105</v>
      </c>
      <c r="D2233">
        <v>6</v>
      </c>
      <c r="E2233" t="s">
        <v>111</v>
      </c>
      <c r="F2233" t="s">
        <v>2969</v>
      </c>
    </row>
    <row r="2234" spans="1:6" x14ac:dyDescent="0.25">
      <c r="A2234" t="s">
        <v>2617</v>
      </c>
      <c r="B2234" t="s">
        <v>1259</v>
      </c>
      <c r="C2234" t="s">
        <v>105</v>
      </c>
      <c r="D2234">
        <v>7</v>
      </c>
      <c r="E2234" t="s">
        <v>96</v>
      </c>
      <c r="F2234" t="s">
        <v>1692</v>
      </c>
    </row>
    <row r="2235" spans="1:6" x14ac:dyDescent="0.25">
      <c r="A2235" t="s">
        <v>2618</v>
      </c>
      <c r="B2235" t="s">
        <v>1260</v>
      </c>
      <c r="C2235" t="s">
        <v>101</v>
      </c>
      <c r="D2235">
        <v>1</v>
      </c>
      <c r="E2235" t="s">
        <v>1731</v>
      </c>
      <c r="F2235" t="s">
        <v>2969</v>
      </c>
    </row>
    <row r="2236" spans="1:6" x14ac:dyDescent="0.25">
      <c r="A2236" t="s">
        <v>2619</v>
      </c>
      <c r="B2236" t="s">
        <v>1261</v>
      </c>
      <c r="C2236" t="s">
        <v>127</v>
      </c>
      <c r="D2236">
        <v>1</v>
      </c>
      <c r="E2236" t="s">
        <v>1772</v>
      </c>
      <c r="F2236" t="s">
        <v>2969</v>
      </c>
    </row>
    <row r="2237" spans="1:6" x14ac:dyDescent="0.25">
      <c r="A2237" t="s">
        <v>2619</v>
      </c>
      <c r="B2237" t="s">
        <v>1261</v>
      </c>
      <c r="C2237" t="s">
        <v>127</v>
      </c>
      <c r="D2237">
        <v>2</v>
      </c>
      <c r="E2237" t="s">
        <v>78</v>
      </c>
      <c r="F2237" t="s">
        <v>2969</v>
      </c>
    </row>
    <row r="2238" spans="1:6" x14ac:dyDescent="0.25">
      <c r="A2238" t="s">
        <v>2620</v>
      </c>
      <c r="B2238" t="s">
        <v>1262</v>
      </c>
      <c r="C2238" t="s">
        <v>39</v>
      </c>
      <c r="D2238">
        <v>1</v>
      </c>
      <c r="E2238" t="s">
        <v>1647</v>
      </c>
      <c r="F2238" t="s">
        <v>2969</v>
      </c>
    </row>
    <row r="2239" spans="1:6" x14ac:dyDescent="0.25">
      <c r="A2239" t="s">
        <v>2620</v>
      </c>
      <c r="B2239" t="s">
        <v>1262</v>
      </c>
      <c r="C2239" t="s">
        <v>39</v>
      </c>
      <c r="D2239">
        <v>2</v>
      </c>
      <c r="E2239" t="s">
        <v>1795</v>
      </c>
      <c r="F2239" t="s">
        <v>2969</v>
      </c>
    </row>
    <row r="2240" spans="1:6" x14ac:dyDescent="0.25">
      <c r="A2240" t="s">
        <v>2620</v>
      </c>
      <c r="B2240" t="s">
        <v>1262</v>
      </c>
      <c r="C2240" t="s">
        <v>39</v>
      </c>
      <c r="D2240">
        <v>3</v>
      </c>
      <c r="E2240" t="s">
        <v>2344</v>
      </c>
      <c r="F2240" t="s">
        <v>2969</v>
      </c>
    </row>
    <row r="2241" spans="1:6" x14ac:dyDescent="0.25">
      <c r="A2241" t="s">
        <v>2621</v>
      </c>
      <c r="B2241" t="s">
        <v>1263</v>
      </c>
      <c r="C2241" t="s">
        <v>76</v>
      </c>
      <c r="D2241">
        <v>1</v>
      </c>
      <c r="E2241" t="s">
        <v>1923</v>
      </c>
      <c r="F2241" t="s">
        <v>2969</v>
      </c>
    </row>
    <row r="2242" spans="1:6" x14ac:dyDescent="0.25">
      <c r="A2242" t="s">
        <v>2622</v>
      </c>
      <c r="B2242" t="s">
        <v>1264</v>
      </c>
      <c r="C2242" t="s">
        <v>76</v>
      </c>
      <c r="D2242">
        <v>1</v>
      </c>
      <c r="E2242" t="s">
        <v>2460</v>
      </c>
      <c r="F2242" t="s">
        <v>2969</v>
      </c>
    </row>
    <row r="2243" spans="1:6" x14ac:dyDescent="0.25">
      <c r="A2243" t="s">
        <v>2623</v>
      </c>
      <c r="B2243" t="s">
        <v>1265</v>
      </c>
      <c r="C2243" t="s">
        <v>8</v>
      </c>
      <c r="D2243">
        <v>1</v>
      </c>
      <c r="E2243" t="s">
        <v>2470</v>
      </c>
      <c r="F2243" t="s">
        <v>2969</v>
      </c>
    </row>
    <row r="2244" spans="1:6" x14ac:dyDescent="0.25">
      <c r="A2244" t="s">
        <v>2623</v>
      </c>
      <c r="B2244" t="s">
        <v>1265</v>
      </c>
      <c r="C2244" t="s">
        <v>8</v>
      </c>
      <c r="D2244">
        <v>2</v>
      </c>
      <c r="E2244" t="s">
        <v>1687</v>
      </c>
      <c r="F2244" t="s">
        <v>2969</v>
      </c>
    </row>
    <row r="2245" spans="1:6" x14ac:dyDescent="0.25">
      <c r="A2245" t="s">
        <v>2624</v>
      </c>
      <c r="B2245" t="s">
        <v>1266</v>
      </c>
      <c r="C2245" t="s">
        <v>73</v>
      </c>
      <c r="D2245">
        <v>1</v>
      </c>
      <c r="E2245" t="s">
        <v>89</v>
      </c>
      <c r="F2245" t="s">
        <v>2969</v>
      </c>
    </row>
    <row r="2246" spans="1:6" x14ac:dyDescent="0.25">
      <c r="A2246" t="s">
        <v>2625</v>
      </c>
      <c r="B2246" t="s">
        <v>1267</v>
      </c>
      <c r="C2246" t="s">
        <v>98</v>
      </c>
      <c r="D2246">
        <v>1</v>
      </c>
      <c r="E2246" t="s">
        <v>1824</v>
      </c>
      <c r="F2246" t="s">
        <v>2969</v>
      </c>
    </row>
    <row r="2247" spans="1:6" x14ac:dyDescent="0.25">
      <c r="A2247" t="s">
        <v>2625</v>
      </c>
      <c r="B2247" t="s">
        <v>1267</v>
      </c>
      <c r="C2247" t="s">
        <v>98</v>
      </c>
      <c r="D2247">
        <v>2</v>
      </c>
      <c r="E2247" t="s">
        <v>1948</v>
      </c>
      <c r="F2247" t="s">
        <v>2969</v>
      </c>
    </row>
    <row r="2248" spans="1:6" x14ac:dyDescent="0.25">
      <c r="A2248" t="s">
        <v>2625</v>
      </c>
      <c r="B2248" t="s">
        <v>1267</v>
      </c>
      <c r="C2248" t="s">
        <v>98</v>
      </c>
      <c r="D2248">
        <v>3</v>
      </c>
      <c r="E2248" t="s">
        <v>1951</v>
      </c>
      <c r="F2248" t="s">
        <v>2969</v>
      </c>
    </row>
    <row r="2249" spans="1:6" x14ac:dyDescent="0.25">
      <c r="A2249" t="s">
        <v>2626</v>
      </c>
      <c r="B2249" t="s">
        <v>1268</v>
      </c>
      <c r="C2249" t="s">
        <v>14</v>
      </c>
      <c r="D2249">
        <v>1</v>
      </c>
      <c r="E2249" t="s">
        <v>1741</v>
      </c>
      <c r="F2249" t="s">
        <v>2969</v>
      </c>
    </row>
    <row r="2250" spans="1:6" x14ac:dyDescent="0.25">
      <c r="A2250" t="s">
        <v>2626</v>
      </c>
      <c r="B2250" t="s">
        <v>1268</v>
      </c>
      <c r="C2250" t="s">
        <v>14</v>
      </c>
      <c r="D2250">
        <v>2</v>
      </c>
      <c r="E2250" t="s">
        <v>1758</v>
      </c>
      <c r="F2250" t="s">
        <v>2969</v>
      </c>
    </row>
    <row r="2251" spans="1:6" x14ac:dyDescent="0.25">
      <c r="A2251" t="s">
        <v>2627</v>
      </c>
      <c r="B2251" t="s">
        <v>1269</v>
      </c>
      <c r="C2251" t="s">
        <v>101</v>
      </c>
      <c r="D2251">
        <v>1</v>
      </c>
      <c r="E2251" t="s">
        <v>1826</v>
      </c>
      <c r="F2251" t="s">
        <v>2969</v>
      </c>
    </row>
    <row r="2252" spans="1:6" x14ac:dyDescent="0.25">
      <c r="A2252" t="s">
        <v>2627</v>
      </c>
      <c r="B2252" t="s">
        <v>1269</v>
      </c>
      <c r="C2252" t="s">
        <v>101</v>
      </c>
      <c r="D2252">
        <v>2</v>
      </c>
      <c r="E2252" t="s">
        <v>2042</v>
      </c>
      <c r="F2252" t="s">
        <v>2969</v>
      </c>
    </row>
    <row r="2253" spans="1:6" x14ac:dyDescent="0.25">
      <c r="A2253" t="s">
        <v>2627</v>
      </c>
      <c r="B2253" t="s">
        <v>1269</v>
      </c>
      <c r="C2253" t="s">
        <v>101</v>
      </c>
      <c r="D2253">
        <v>3</v>
      </c>
      <c r="E2253" t="s">
        <v>1931</v>
      </c>
      <c r="F2253" t="s">
        <v>2969</v>
      </c>
    </row>
    <row r="2254" spans="1:6" x14ac:dyDescent="0.25">
      <c r="A2254" t="s">
        <v>2627</v>
      </c>
      <c r="B2254" t="s">
        <v>1269</v>
      </c>
      <c r="C2254" t="s">
        <v>101</v>
      </c>
      <c r="D2254">
        <v>4</v>
      </c>
      <c r="E2254" t="s">
        <v>1869</v>
      </c>
      <c r="F2254" t="s">
        <v>2969</v>
      </c>
    </row>
    <row r="2255" spans="1:6" x14ac:dyDescent="0.25">
      <c r="A2255" t="s">
        <v>2627</v>
      </c>
      <c r="B2255" t="s">
        <v>1269</v>
      </c>
      <c r="C2255" t="s">
        <v>101</v>
      </c>
      <c r="D2255">
        <v>5</v>
      </c>
      <c r="E2255" t="s">
        <v>84</v>
      </c>
      <c r="F2255" t="s">
        <v>2969</v>
      </c>
    </row>
    <row r="2256" spans="1:6" x14ac:dyDescent="0.25">
      <c r="A2256" t="s">
        <v>2627</v>
      </c>
      <c r="B2256" t="s">
        <v>1269</v>
      </c>
      <c r="C2256" t="s">
        <v>101</v>
      </c>
      <c r="D2256">
        <v>6</v>
      </c>
      <c r="E2256" t="s">
        <v>1731</v>
      </c>
      <c r="F2256" t="s">
        <v>2969</v>
      </c>
    </row>
    <row r="2257" spans="1:6" x14ac:dyDescent="0.25">
      <c r="A2257" t="s">
        <v>2627</v>
      </c>
      <c r="B2257" t="s">
        <v>1269</v>
      </c>
      <c r="C2257" t="s">
        <v>101</v>
      </c>
      <c r="D2257">
        <v>7</v>
      </c>
      <c r="E2257" t="s">
        <v>72</v>
      </c>
      <c r="F2257" t="s">
        <v>1692</v>
      </c>
    </row>
    <row r="2258" spans="1:6" x14ac:dyDescent="0.25">
      <c r="A2258" t="s">
        <v>2628</v>
      </c>
      <c r="B2258" t="s">
        <v>1270</v>
      </c>
      <c r="C2258" t="s">
        <v>59</v>
      </c>
      <c r="D2258">
        <v>1</v>
      </c>
      <c r="E2258" t="s">
        <v>2130</v>
      </c>
      <c r="F2258" t="s">
        <v>2969</v>
      </c>
    </row>
    <row r="2259" spans="1:6" x14ac:dyDescent="0.25">
      <c r="A2259" t="s">
        <v>2628</v>
      </c>
      <c r="B2259" t="s">
        <v>1270</v>
      </c>
      <c r="C2259" t="s">
        <v>59</v>
      </c>
      <c r="D2259">
        <v>2</v>
      </c>
      <c r="E2259" t="s">
        <v>2094</v>
      </c>
      <c r="F2259" t="s">
        <v>2969</v>
      </c>
    </row>
    <row r="2260" spans="1:6" x14ac:dyDescent="0.25">
      <c r="A2260" t="s">
        <v>2628</v>
      </c>
      <c r="B2260" t="s">
        <v>1270</v>
      </c>
      <c r="C2260" t="s">
        <v>59</v>
      </c>
      <c r="D2260">
        <v>3</v>
      </c>
      <c r="E2260" t="s">
        <v>1721</v>
      </c>
      <c r="F2260" t="s">
        <v>2969</v>
      </c>
    </row>
    <row r="2261" spans="1:6" x14ac:dyDescent="0.25">
      <c r="A2261" t="s">
        <v>2628</v>
      </c>
      <c r="B2261" t="s">
        <v>1270</v>
      </c>
      <c r="C2261" t="s">
        <v>59</v>
      </c>
      <c r="D2261">
        <v>4</v>
      </c>
      <c r="E2261" t="s">
        <v>1676</v>
      </c>
      <c r="F2261" t="s">
        <v>2969</v>
      </c>
    </row>
    <row r="2262" spans="1:6" x14ac:dyDescent="0.25">
      <c r="A2262" t="s">
        <v>2628</v>
      </c>
      <c r="B2262" t="s">
        <v>1270</v>
      </c>
      <c r="C2262" t="s">
        <v>59</v>
      </c>
      <c r="D2262">
        <v>5</v>
      </c>
      <c r="E2262" t="s">
        <v>1741</v>
      </c>
      <c r="F2262" t="s">
        <v>2969</v>
      </c>
    </row>
    <row r="2263" spans="1:6" x14ac:dyDescent="0.25">
      <c r="A2263" t="s">
        <v>2628</v>
      </c>
      <c r="B2263" t="s">
        <v>1270</v>
      </c>
      <c r="C2263" t="s">
        <v>59</v>
      </c>
      <c r="D2263">
        <v>6</v>
      </c>
      <c r="E2263" t="s">
        <v>75</v>
      </c>
      <c r="F2263" t="s">
        <v>2969</v>
      </c>
    </row>
    <row r="2264" spans="1:6" x14ac:dyDescent="0.25">
      <c r="A2264" t="s">
        <v>2628</v>
      </c>
      <c r="B2264" t="s">
        <v>1270</v>
      </c>
      <c r="C2264" t="s">
        <v>59</v>
      </c>
      <c r="D2264">
        <v>7</v>
      </c>
      <c r="E2264" t="s">
        <v>89</v>
      </c>
      <c r="F2264" t="s">
        <v>1692</v>
      </c>
    </row>
    <row r="2265" spans="1:6" x14ac:dyDescent="0.25">
      <c r="A2265" t="s">
        <v>2629</v>
      </c>
      <c r="B2265" t="s">
        <v>1271</v>
      </c>
      <c r="C2265" t="s">
        <v>65</v>
      </c>
      <c r="D2265">
        <v>1</v>
      </c>
      <c r="E2265" t="s">
        <v>64</v>
      </c>
      <c r="F2265" t="s">
        <v>2969</v>
      </c>
    </row>
    <row r="2266" spans="1:6" x14ac:dyDescent="0.25">
      <c r="A2266" t="s">
        <v>2630</v>
      </c>
      <c r="B2266" t="s">
        <v>1272</v>
      </c>
      <c r="C2266" t="s">
        <v>31</v>
      </c>
      <c r="D2266">
        <v>1</v>
      </c>
      <c r="E2266" t="s">
        <v>1764</v>
      </c>
      <c r="F2266" t="s">
        <v>2969</v>
      </c>
    </row>
    <row r="2267" spans="1:6" x14ac:dyDescent="0.25">
      <c r="A2267" t="s">
        <v>2630</v>
      </c>
      <c r="B2267" t="s">
        <v>1272</v>
      </c>
      <c r="C2267" t="s">
        <v>31</v>
      </c>
      <c r="D2267">
        <v>2</v>
      </c>
      <c r="E2267" t="s">
        <v>1760</v>
      </c>
      <c r="F2267" t="s">
        <v>2969</v>
      </c>
    </row>
    <row r="2268" spans="1:6" x14ac:dyDescent="0.25">
      <c r="A2268" t="s">
        <v>2630</v>
      </c>
      <c r="B2268" t="s">
        <v>1272</v>
      </c>
      <c r="C2268" t="s">
        <v>31</v>
      </c>
      <c r="D2268">
        <v>3</v>
      </c>
      <c r="E2268" t="s">
        <v>137</v>
      </c>
      <c r="F2268" t="s">
        <v>2969</v>
      </c>
    </row>
    <row r="2269" spans="1:6" x14ac:dyDescent="0.25">
      <c r="A2269" t="s">
        <v>2631</v>
      </c>
      <c r="B2269" t="s">
        <v>1273</v>
      </c>
      <c r="C2269" t="s">
        <v>39</v>
      </c>
      <c r="D2269">
        <v>1</v>
      </c>
      <c r="E2269" t="s">
        <v>1803</v>
      </c>
      <c r="F2269" t="s">
        <v>2969</v>
      </c>
    </row>
    <row r="2270" spans="1:6" x14ac:dyDescent="0.25">
      <c r="A2270" t="s">
        <v>2631</v>
      </c>
      <c r="B2270" t="s">
        <v>1273</v>
      </c>
      <c r="C2270" t="s">
        <v>39</v>
      </c>
      <c r="D2270">
        <v>2</v>
      </c>
      <c r="E2270" t="s">
        <v>1826</v>
      </c>
      <c r="F2270" t="s">
        <v>2969</v>
      </c>
    </row>
    <row r="2271" spans="1:6" x14ac:dyDescent="0.25">
      <c r="A2271" t="s">
        <v>2632</v>
      </c>
      <c r="B2271" t="s">
        <v>1274</v>
      </c>
      <c r="C2271" t="s">
        <v>97</v>
      </c>
      <c r="D2271">
        <v>1</v>
      </c>
      <c r="E2271" t="s">
        <v>2094</v>
      </c>
      <c r="F2271" t="s">
        <v>2969</v>
      </c>
    </row>
    <row r="2272" spans="1:6" x14ac:dyDescent="0.25">
      <c r="A2272" t="s">
        <v>2633</v>
      </c>
      <c r="B2272" t="s">
        <v>1275</v>
      </c>
      <c r="C2272" t="s">
        <v>92</v>
      </c>
      <c r="D2272">
        <v>1</v>
      </c>
      <c r="E2272" t="s">
        <v>1726</v>
      </c>
      <c r="F2272" t="s">
        <v>2969</v>
      </c>
    </row>
    <row r="2273" spans="1:6" x14ac:dyDescent="0.25">
      <c r="A2273" t="s">
        <v>2633</v>
      </c>
      <c r="B2273" t="s">
        <v>1275</v>
      </c>
      <c r="C2273" t="s">
        <v>92</v>
      </c>
      <c r="D2273">
        <v>2</v>
      </c>
      <c r="E2273" t="s">
        <v>1862</v>
      </c>
      <c r="F2273" t="s">
        <v>2969</v>
      </c>
    </row>
    <row r="2274" spans="1:6" x14ac:dyDescent="0.25">
      <c r="A2274" t="s">
        <v>2633</v>
      </c>
      <c r="B2274" t="s">
        <v>1275</v>
      </c>
      <c r="C2274" t="s">
        <v>92</v>
      </c>
      <c r="D2274">
        <v>3</v>
      </c>
      <c r="E2274" t="s">
        <v>1645</v>
      </c>
      <c r="F2274" t="s">
        <v>2969</v>
      </c>
    </row>
    <row r="2275" spans="1:6" x14ac:dyDescent="0.25">
      <c r="A2275" t="s">
        <v>2633</v>
      </c>
      <c r="B2275" t="s">
        <v>1275</v>
      </c>
      <c r="C2275" t="s">
        <v>92</v>
      </c>
      <c r="D2275">
        <v>4</v>
      </c>
      <c r="E2275" t="s">
        <v>1643</v>
      </c>
      <c r="F2275" t="s">
        <v>2969</v>
      </c>
    </row>
    <row r="2276" spans="1:6" x14ac:dyDescent="0.25">
      <c r="A2276" t="s">
        <v>2633</v>
      </c>
      <c r="B2276" t="s">
        <v>1275</v>
      </c>
      <c r="C2276" t="s">
        <v>92</v>
      </c>
      <c r="D2276">
        <v>5</v>
      </c>
      <c r="E2276" t="s">
        <v>2003</v>
      </c>
      <c r="F2276" t="s">
        <v>2969</v>
      </c>
    </row>
    <row r="2277" spans="1:6" x14ac:dyDescent="0.25">
      <c r="A2277" t="s">
        <v>2633</v>
      </c>
      <c r="B2277" t="s">
        <v>1275</v>
      </c>
      <c r="C2277" t="s">
        <v>92</v>
      </c>
      <c r="D2277">
        <v>6</v>
      </c>
      <c r="E2277" t="s">
        <v>1751</v>
      </c>
      <c r="F2277" t="s">
        <v>2969</v>
      </c>
    </row>
    <row r="2278" spans="1:6" x14ac:dyDescent="0.25">
      <c r="A2278" t="s">
        <v>2633</v>
      </c>
      <c r="B2278" t="s">
        <v>1275</v>
      </c>
      <c r="C2278" t="s">
        <v>92</v>
      </c>
      <c r="D2278">
        <v>7</v>
      </c>
      <c r="E2278" t="s">
        <v>1815</v>
      </c>
      <c r="F2278" t="s">
        <v>1692</v>
      </c>
    </row>
    <row r="2279" spans="1:6" x14ac:dyDescent="0.25">
      <c r="A2279" t="s">
        <v>2634</v>
      </c>
      <c r="B2279" t="s">
        <v>1276</v>
      </c>
      <c r="C2279" t="s">
        <v>23</v>
      </c>
      <c r="D2279">
        <v>1</v>
      </c>
      <c r="E2279" t="s">
        <v>1946</v>
      </c>
      <c r="F2279" t="s">
        <v>2969</v>
      </c>
    </row>
    <row r="2280" spans="1:6" x14ac:dyDescent="0.25">
      <c r="A2280" t="s">
        <v>2634</v>
      </c>
      <c r="B2280" t="s">
        <v>1276</v>
      </c>
      <c r="C2280" t="s">
        <v>23</v>
      </c>
      <c r="D2280">
        <v>2</v>
      </c>
      <c r="E2280" t="s">
        <v>1835</v>
      </c>
      <c r="F2280" t="s">
        <v>2969</v>
      </c>
    </row>
    <row r="2281" spans="1:6" x14ac:dyDescent="0.25">
      <c r="A2281" t="s">
        <v>2635</v>
      </c>
      <c r="B2281" t="s">
        <v>1277</v>
      </c>
      <c r="C2281" t="s">
        <v>97</v>
      </c>
      <c r="D2281">
        <v>1</v>
      </c>
      <c r="E2281" t="s">
        <v>48</v>
      </c>
      <c r="F2281" t="s">
        <v>2969</v>
      </c>
    </row>
    <row r="2282" spans="1:6" x14ac:dyDescent="0.25">
      <c r="A2282" t="s">
        <v>2636</v>
      </c>
      <c r="B2282" t="s">
        <v>1278</v>
      </c>
      <c r="C2282" t="s">
        <v>130</v>
      </c>
      <c r="D2282">
        <v>1</v>
      </c>
      <c r="E2282" t="s">
        <v>1807</v>
      </c>
      <c r="F2282" t="s">
        <v>2969</v>
      </c>
    </row>
    <row r="2283" spans="1:6" x14ac:dyDescent="0.25">
      <c r="A2283" t="s">
        <v>2636</v>
      </c>
      <c r="B2283" t="s">
        <v>1278</v>
      </c>
      <c r="C2283" t="s">
        <v>130</v>
      </c>
      <c r="D2283">
        <v>2</v>
      </c>
      <c r="E2283" t="s">
        <v>1760</v>
      </c>
      <c r="F2283" t="s">
        <v>2969</v>
      </c>
    </row>
    <row r="2284" spans="1:6" x14ac:dyDescent="0.25">
      <c r="A2284" t="s">
        <v>2636</v>
      </c>
      <c r="B2284" t="s">
        <v>1278</v>
      </c>
      <c r="C2284" t="s">
        <v>130</v>
      </c>
      <c r="D2284">
        <v>3</v>
      </c>
      <c r="E2284" t="s">
        <v>137</v>
      </c>
      <c r="F2284" t="s">
        <v>2969</v>
      </c>
    </row>
    <row r="2285" spans="1:6" x14ac:dyDescent="0.25">
      <c r="A2285" t="s">
        <v>2637</v>
      </c>
      <c r="B2285" t="s">
        <v>1279</v>
      </c>
      <c r="C2285" t="s">
        <v>116</v>
      </c>
      <c r="D2285">
        <v>1</v>
      </c>
      <c r="E2285" t="s">
        <v>1946</v>
      </c>
      <c r="F2285" t="s">
        <v>2969</v>
      </c>
    </row>
    <row r="2286" spans="1:6" x14ac:dyDescent="0.25">
      <c r="A2286" t="s">
        <v>2637</v>
      </c>
      <c r="B2286" t="s">
        <v>1279</v>
      </c>
      <c r="C2286" t="s">
        <v>116</v>
      </c>
      <c r="D2286">
        <v>2</v>
      </c>
      <c r="E2286" t="s">
        <v>1835</v>
      </c>
      <c r="F2286" t="s">
        <v>2969</v>
      </c>
    </row>
    <row r="2287" spans="1:6" x14ac:dyDescent="0.25">
      <c r="A2287" t="s">
        <v>2638</v>
      </c>
      <c r="B2287" t="s">
        <v>1280</v>
      </c>
      <c r="C2287" t="s">
        <v>65</v>
      </c>
      <c r="D2287">
        <v>1</v>
      </c>
      <c r="E2287" t="s">
        <v>1645</v>
      </c>
      <c r="F2287" t="s">
        <v>2969</v>
      </c>
    </row>
    <row r="2288" spans="1:6" x14ac:dyDescent="0.25">
      <c r="A2288" t="s">
        <v>2638</v>
      </c>
      <c r="B2288" t="s">
        <v>1280</v>
      </c>
      <c r="C2288" t="s">
        <v>65</v>
      </c>
      <c r="D2288">
        <v>2</v>
      </c>
      <c r="E2288" t="s">
        <v>1634</v>
      </c>
      <c r="F2288" t="s">
        <v>2969</v>
      </c>
    </row>
    <row r="2289" spans="1:6" x14ac:dyDescent="0.25">
      <c r="A2289" t="s">
        <v>2638</v>
      </c>
      <c r="B2289" t="s">
        <v>1280</v>
      </c>
      <c r="C2289" t="s">
        <v>65</v>
      </c>
      <c r="D2289">
        <v>3</v>
      </c>
      <c r="E2289" t="s">
        <v>1643</v>
      </c>
      <c r="F2289" t="s">
        <v>2969</v>
      </c>
    </row>
    <row r="2290" spans="1:6" x14ac:dyDescent="0.25">
      <c r="A2290" t="s">
        <v>2638</v>
      </c>
      <c r="B2290" t="s">
        <v>1280</v>
      </c>
      <c r="C2290" t="s">
        <v>65</v>
      </c>
      <c r="D2290">
        <v>4</v>
      </c>
      <c r="E2290" t="s">
        <v>1751</v>
      </c>
      <c r="F2290" t="s">
        <v>2969</v>
      </c>
    </row>
    <row r="2291" spans="1:6" x14ac:dyDescent="0.25">
      <c r="A2291" t="s">
        <v>2638</v>
      </c>
      <c r="B2291" t="s">
        <v>1280</v>
      </c>
      <c r="C2291" t="s">
        <v>65</v>
      </c>
      <c r="D2291">
        <v>5</v>
      </c>
      <c r="E2291" t="s">
        <v>1815</v>
      </c>
      <c r="F2291" t="s">
        <v>2969</v>
      </c>
    </row>
    <row r="2292" spans="1:6" x14ac:dyDescent="0.25">
      <c r="A2292" t="s">
        <v>2639</v>
      </c>
      <c r="B2292" t="s">
        <v>1281</v>
      </c>
      <c r="C2292" t="s">
        <v>94</v>
      </c>
      <c r="D2292">
        <v>1</v>
      </c>
      <c r="E2292" t="s">
        <v>2516</v>
      </c>
      <c r="F2292" t="s">
        <v>2969</v>
      </c>
    </row>
    <row r="2293" spans="1:6" x14ac:dyDescent="0.25">
      <c r="A2293" t="s">
        <v>2639</v>
      </c>
      <c r="B2293" t="s">
        <v>1281</v>
      </c>
      <c r="C2293" t="s">
        <v>94</v>
      </c>
      <c r="D2293">
        <v>2</v>
      </c>
      <c r="E2293" t="s">
        <v>2128</v>
      </c>
      <c r="F2293" t="s">
        <v>2969</v>
      </c>
    </row>
    <row r="2294" spans="1:6" x14ac:dyDescent="0.25">
      <c r="A2294" t="s">
        <v>2640</v>
      </c>
      <c r="B2294" t="s">
        <v>1282</v>
      </c>
      <c r="C2294" t="s">
        <v>127</v>
      </c>
      <c r="D2294">
        <v>1</v>
      </c>
      <c r="E2294" t="s">
        <v>1772</v>
      </c>
      <c r="F2294" t="s">
        <v>2969</v>
      </c>
    </row>
    <row r="2295" spans="1:6" x14ac:dyDescent="0.25">
      <c r="A2295" t="s">
        <v>2640</v>
      </c>
      <c r="B2295" t="s">
        <v>1282</v>
      </c>
      <c r="C2295" t="s">
        <v>127</v>
      </c>
      <c r="D2295">
        <v>2</v>
      </c>
      <c r="E2295" t="s">
        <v>1857</v>
      </c>
      <c r="F2295" t="s">
        <v>2969</v>
      </c>
    </row>
    <row r="2296" spans="1:6" x14ac:dyDescent="0.25">
      <c r="A2296" t="s">
        <v>2640</v>
      </c>
      <c r="B2296" t="s">
        <v>1282</v>
      </c>
      <c r="C2296" t="s">
        <v>127</v>
      </c>
      <c r="D2296">
        <v>3</v>
      </c>
      <c r="E2296" t="s">
        <v>64</v>
      </c>
      <c r="F2296" t="s">
        <v>2969</v>
      </c>
    </row>
    <row r="2297" spans="1:6" x14ac:dyDescent="0.25">
      <c r="A2297" t="s">
        <v>2641</v>
      </c>
      <c r="B2297" t="s">
        <v>1283</v>
      </c>
      <c r="C2297" t="s">
        <v>100</v>
      </c>
      <c r="D2297">
        <v>1</v>
      </c>
      <c r="E2297" t="s">
        <v>1678</v>
      </c>
      <c r="F2297" t="s">
        <v>2969</v>
      </c>
    </row>
    <row r="2298" spans="1:6" x14ac:dyDescent="0.25">
      <c r="A2298" t="s">
        <v>2642</v>
      </c>
      <c r="B2298" t="s">
        <v>1284</v>
      </c>
      <c r="C2298" t="s">
        <v>125</v>
      </c>
      <c r="D2298">
        <v>1</v>
      </c>
      <c r="E2298" t="s">
        <v>22</v>
      </c>
      <c r="F2298" t="s">
        <v>2969</v>
      </c>
    </row>
    <row r="2299" spans="1:6" x14ac:dyDescent="0.25">
      <c r="A2299" t="s">
        <v>2642</v>
      </c>
      <c r="B2299" t="s">
        <v>1284</v>
      </c>
      <c r="C2299" t="s">
        <v>125</v>
      </c>
      <c r="D2299">
        <v>2</v>
      </c>
      <c r="E2299" t="s">
        <v>99</v>
      </c>
      <c r="F2299" t="s">
        <v>2969</v>
      </c>
    </row>
    <row r="2300" spans="1:6" x14ac:dyDescent="0.25">
      <c r="A2300" t="s">
        <v>2642</v>
      </c>
      <c r="B2300" t="s">
        <v>1284</v>
      </c>
      <c r="C2300" t="s">
        <v>125</v>
      </c>
      <c r="D2300">
        <v>3</v>
      </c>
      <c r="E2300" t="s">
        <v>1833</v>
      </c>
      <c r="F2300" t="s">
        <v>2969</v>
      </c>
    </row>
    <row r="2301" spans="1:6" x14ac:dyDescent="0.25">
      <c r="A2301" t="s">
        <v>2643</v>
      </c>
      <c r="B2301" t="s">
        <v>1285</v>
      </c>
      <c r="C2301" t="s">
        <v>87</v>
      </c>
      <c r="D2301">
        <v>1</v>
      </c>
      <c r="E2301" t="s">
        <v>1726</v>
      </c>
      <c r="F2301" t="s">
        <v>2969</v>
      </c>
    </row>
    <row r="2302" spans="1:6" x14ac:dyDescent="0.25">
      <c r="A2302" t="s">
        <v>2643</v>
      </c>
      <c r="B2302" t="s">
        <v>1285</v>
      </c>
      <c r="C2302" t="s">
        <v>87</v>
      </c>
      <c r="D2302">
        <v>2</v>
      </c>
      <c r="E2302" t="s">
        <v>64</v>
      </c>
      <c r="F2302" t="s">
        <v>2969</v>
      </c>
    </row>
    <row r="2303" spans="1:6" x14ac:dyDescent="0.25">
      <c r="A2303" t="s">
        <v>2644</v>
      </c>
      <c r="B2303" t="s">
        <v>1286</v>
      </c>
      <c r="C2303" t="s">
        <v>87</v>
      </c>
      <c r="D2303">
        <v>1</v>
      </c>
      <c r="E2303" t="s">
        <v>1801</v>
      </c>
      <c r="F2303" t="s">
        <v>2969</v>
      </c>
    </row>
    <row r="2304" spans="1:6" x14ac:dyDescent="0.25">
      <c r="A2304" t="s">
        <v>2644</v>
      </c>
      <c r="B2304" t="s">
        <v>1286</v>
      </c>
      <c r="C2304" t="s">
        <v>87</v>
      </c>
      <c r="D2304">
        <v>2</v>
      </c>
      <c r="E2304" t="s">
        <v>1862</v>
      </c>
      <c r="F2304" t="s">
        <v>2969</v>
      </c>
    </row>
    <row r="2305" spans="1:6" x14ac:dyDescent="0.25">
      <c r="A2305" t="s">
        <v>2644</v>
      </c>
      <c r="B2305" t="s">
        <v>1286</v>
      </c>
      <c r="C2305" t="s">
        <v>87</v>
      </c>
      <c r="D2305">
        <v>3</v>
      </c>
      <c r="E2305" t="s">
        <v>96</v>
      </c>
      <c r="F2305" t="s">
        <v>2969</v>
      </c>
    </row>
    <row r="2306" spans="1:6" x14ac:dyDescent="0.25">
      <c r="A2306" t="s">
        <v>2645</v>
      </c>
      <c r="B2306" t="s">
        <v>1287</v>
      </c>
      <c r="C2306" t="s">
        <v>134</v>
      </c>
      <c r="D2306">
        <v>1</v>
      </c>
      <c r="E2306" t="s">
        <v>2217</v>
      </c>
      <c r="F2306" t="s">
        <v>2969</v>
      </c>
    </row>
    <row r="2307" spans="1:6" x14ac:dyDescent="0.25">
      <c r="A2307" t="s">
        <v>2645</v>
      </c>
      <c r="B2307" t="s">
        <v>1287</v>
      </c>
      <c r="C2307" t="s">
        <v>134</v>
      </c>
      <c r="D2307">
        <v>2</v>
      </c>
      <c r="E2307" t="s">
        <v>1685</v>
      </c>
      <c r="F2307" t="s">
        <v>2969</v>
      </c>
    </row>
    <row r="2308" spans="1:6" x14ac:dyDescent="0.25">
      <c r="A2308" t="s">
        <v>2645</v>
      </c>
      <c r="B2308" t="s">
        <v>1287</v>
      </c>
      <c r="C2308" t="s">
        <v>134</v>
      </c>
      <c r="D2308">
        <v>3</v>
      </c>
      <c r="E2308" t="s">
        <v>2122</v>
      </c>
      <c r="F2308" t="s">
        <v>2969</v>
      </c>
    </row>
    <row r="2309" spans="1:6" x14ac:dyDescent="0.25">
      <c r="A2309" t="s">
        <v>2646</v>
      </c>
      <c r="B2309" t="s">
        <v>1288</v>
      </c>
      <c r="C2309" t="s">
        <v>66</v>
      </c>
      <c r="D2309">
        <v>1</v>
      </c>
      <c r="E2309" t="s">
        <v>1781</v>
      </c>
      <c r="F2309" t="s">
        <v>2969</v>
      </c>
    </row>
    <row r="2310" spans="1:6" x14ac:dyDescent="0.25">
      <c r="A2310" t="s">
        <v>2646</v>
      </c>
      <c r="B2310" t="s">
        <v>1288</v>
      </c>
      <c r="C2310" t="s">
        <v>66</v>
      </c>
      <c r="D2310">
        <v>2</v>
      </c>
      <c r="E2310" t="s">
        <v>1923</v>
      </c>
      <c r="F2310" t="s">
        <v>2969</v>
      </c>
    </row>
    <row r="2311" spans="1:6" x14ac:dyDescent="0.25">
      <c r="A2311" t="s">
        <v>2647</v>
      </c>
      <c r="B2311" t="s">
        <v>1289</v>
      </c>
      <c r="C2311" t="s">
        <v>92</v>
      </c>
      <c r="D2311">
        <v>1</v>
      </c>
      <c r="E2311" t="s">
        <v>1621</v>
      </c>
      <c r="F2311" t="s">
        <v>2969</v>
      </c>
    </row>
    <row r="2312" spans="1:6" x14ac:dyDescent="0.25">
      <c r="A2312" t="s">
        <v>2647</v>
      </c>
      <c r="B2312" t="s">
        <v>1289</v>
      </c>
      <c r="C2312" t="s">
        <v>92</v>
      </c>
      <c r="D2312">
        <v>2</v>
      </c>
      <c r="E2312" t="s">
        <v>2169</v>
      </c>
      <c r="F2312" t="s">
        <v>2969</v>
      </c>
    </row>
    <row r="2313" spans="1:6" x14ac:dyDescent="0.25">
      <c r="A2313" t="s">
        <v>2648</v>
      </c>
      <c r="B2313" t="s">
        <v>1290</v>
      </c>
      <c r="C2313" t="s">
        <v>43</v>
      </c>
      <c r="D2313">
        <v>1</v>
      </c>
      <c r="E2313" t="s">
        <v>1651</v>
      </c>
      <c r="F2313" t="s">
        <v>2969</v>
      </c>
    </row>
    <row r="2314" spans="1:6" x14ac:dyDescent="0.25">
      <c r="A2314" t="s">
        <v>2648</v>
      </c>
      <c r="B2314" t="s">
        <v>1290</v>
      </c>
      <c r="C2314" t="s">
        <v>43</v>
      </c>
      <c r="D2314">
        <v>2</v>
      </c>
      <c r="E2314" t="s">
        <v>2470</v>
      </c>
      <c r="F2314" t="s">
        <v>2969</v>
      </c>
    </row>
    <row r="2315" spans="1:6" x14ac:dyDescent="0.25">
      <c r="A2315" t="s">
        <v>2648</v>
      </c>
      <c r="B2315" t="s">
        <v>1290</v>
      </c>
      <c r="C2315" t="s">
        <v>43</v>
      </c>
      <c r="D2315">
        <v>3</v>
      </c>
      <c r="E2315" t="s">
        <v>1915</v>
      </c>
      <c r="F2315" t="s">
        <v>2969</v>
      </c>
    </row>
    <row r="2316" spans="1:6" x14ac:dyDescent="0.25">
      <c r="A2316" t="s">
        <v>2649</v>
      </c>
      <c r="B2316" t="s">
        <v>1291</v>
      </c>
      <c r="C2316" t="s">
        <v>71</v>
      </c>
      <c r="D2316">
        <v>1</v>
      </c>
      <c r="E2316" t="s">
        <v>1697</v>
      </c>
      <c r="F2316" t="s">
        <v>2969</v>
      </c>
    </row>
    <row r="2317" spans="1:6" x14ac:dyDescent="0.25">
      <c r="A2317" t="s">
        <v>2649</v>
      </c>
      <c r="B2317" t="s">
        <v>1291</v>
      </c>
      <c r="C2317" t="s">
        <v>71</v>
      </c>
      <c r="D2317">
        <v>2</v>
      </c>
      <c r="E2317" t="s">
        <v>135</v>
      </c>
      <c r="F2317" t="s">
        <v>2969</v>
      </c>
    </row>
    <row r="2318" spans="1:6" x14ac:dyDescent="0.25">
      <c r="A2318" t="s">
        <v>2649</v>
      </c>
      <c r="B2318" t="s">
        <v>1291</v>
      </c>
      <c r="C2318" t="s">
        <v>71</v>
      </c>
      <c r="D2318">
        <v>3</v>
      </c>
      <c r="E2318" t="s">
        <v>109</v>
      </c>
      <c r="F2318" t="s">
        <v>2969</v>
      </c>
    </row>
    <row r="2319" spans="1:6" x14ac:dyDescent="0.25">
      <c r="A2319" t="s">
        <v>2649</v>
      </c>
      <c r="B2319" t="s">
        <v>1291</v>
      </c>
      <c r="C2319" t="s">
        <v>71</v>
      </c>
      <c r="D2319">
        <v>4</v>
      </c>
      <c r="E2319" t="s">
        <v>1724</v>
      </c>
      <c r="F2319" t="s">
        <v>2969</v>
      </c>
    </row>
    <row r="2320" spans="1:6" x14ac:dyDescent="0.25">
      <c r="A2320" t="s">
        <v>2649</v>
      </c>
      <c r="B2320" t="s">
        <v>1291</v>
      </c>
      <c r="C2320" t="s">
        <v>71</v>
      </c>
      <c r="D2320">
        <v>5</v>
      </c>
      <c r="E2320" t="s">
        <v>2470</v>
      </c>
      <c r="F2320" t="s">
        <v>2969</v>
      </c>
    </row>
    <row r="2321" spans="1:6" x14ac:dyDescent="0.25">
      <c r="A2321" t="s">
        <v>2649</v>
      </c>
      <c r="B2321" t="s">
        <v>1291</v>
      </c>
      <c r="C2321" t="s">
        <v>71</v>
      </c>
      <c r="D2321">
        <v>6</v>
      </c>
      <c r="E2321" t="s">
        <v>1769</v>
      </c>
      <c r="F2321" t="s">
        <v>2969</v>
      </c>
    </row>
    <row r="2322" spans="1:6" x14ac:dyDescent="0.25">
      <c r="A2322" t="s">
        <v>2649</v>
      </c>
      <c r="B2322" t="s">
        <v>1291</v>
      </c>
      <c r="C2322" t="s">
        <v>71</v>
      </c>
      <c r="D2322">
        <v>7</v>
      </c>
      <c r="E2322" t="s">
        <v>1850</v>
      </c>
      <c r="F2322" t="s">
        <v>1692</v>
      </c>
    </row>
    <row r="2323" spans="1:6" x14ac:dyDescent="0.25">
      <c r="A2323" t="s">
        <v>2650</v>
      </c>
      <c r="B2323" t="s">
        <v>1292</v>
      </c>
      <c r="C2323" t="s">
        <v>66</v>
      </c>
      <c r="D2323">
        <v>1</v>
      </c>
      <c r="E2323" t="s">
        <v>2128</v>
      </c>
      <c r="F2323" t="s">
        <v>2969</v>
      </c>
    </row>
    <row r="2324" spans="1:6" x14ac:dyDescent="0.25">
      <c r="A2324" t="s">
        <v>2651</v>
      </c>
      <c r="B2324" t="s">
        <v>1293</v>
      </c>
      <c r="C2324" t="s">
        <v>83</v>
      </c>
      <c r="D2324">
        <v>1</v>
      </c>
      <c r="E2324" t="s">
        <v>1833</v>
      </c>
      <c r="F2324" t="s">
        <v>2969</v>
      </c>
    </row>
    <row r="2325" spans="1:6" x14ac:dyDescent="0.25">
      <c r="A2325" t="s">
        <v>2652</v>
      </c>
      <c r="B2325" t="s">
        <v>1294</v>
      </c>
      <c r="C2325" t="s">
        <v>97</v>
      </c>
      <c r="D2325">
        <v>1</v>
      </c>
      <c r="E2325" t="s">
        <v>82</v>
      </c>
      <c r="F2325" t="s">
        <v>2969</v>
      </c>
    </row>
    <row r="2326" spans="1:6" x14ac:dyDescent="0.25">
      <c r="A2326" t="s">
        <v>2653</v>
      </c>
      <c r="B2326" t="s">
        <v>1295</v>
      </c>
      <c r="C2326" t="s">
        <v>92</v>
      </c>
      <c r="D2326">
        <v>1</v>
      </c>
      <c r="E2326" t="s">
        <v>1728</v>
      </c>
      <c r="F2326" t="s">
        <v>2969</v>
      </c>
    </row>
    <row r="2327" spans="1:6" x14ac:dyDescent="0.25">
      <c r="A2327" t="s">
        <v>2653</v>
      </c>
      <c r="B2327" t="s">
        <v>1295</v>
      </c>
      <c r="C2327" t="s">
        <v>92</v>
      </c>
      <c r="D2327">
        <v>2</v>
      </c>
      <c r="E2327" t="s">
        <v>1772</v>
      </c>
      <c r="F2327" t="s">
        <v>2969</v>
      </c>
    </row>
    <row r="2328" spans="1:6" x14ac:dyDescent="0.25">
      <c r="A2328" t="s">
        <v>2653</v>
      </c>
      <c r="B2328" t="s">
        <v>1295</v>
      </c>
      <c r="C2328" t="s">
        <v>92</v>
      </c>
      <c r="D2328">
        <v>3</v>
      </c>
      <c r="E2328" t="s">
        <v>78</v>
      </c>
      <c r="F2328" t="s">
        <v>2969</v>
      </c>
    </row>
    <row r="2329" spans="1:6" x14ac:dyDescent="0.25">
      <c r="A2329" t="s">
        <v>2654</v>
      </c>
      <c r="B2329" t="s">
        <v>1296</v>
      </c>
      <c r="C2329" t="s">
        <v>66</v>
      </c>
      <c r="D2329">
        <v>1</v>
      </c>
      <c r="E2329" t="s">
        <v>2029</v>
      </c>
      <c r="F2329" t="s">
        <v>2969</v>
      </c>
    </row>
    <row r="2330" spans="1:6" x14ac:dyDescent="0.25">
      <c r="A2330" t="s">
        <v>2654</v>
      </c>
      <c r="B2330" t="s">
        <v>1296</v>
      </c>
      <c r="C2330" t="s">
        <v>66</v>
      </c>
      <c r="D2330">
        <v>2</v>
      </c>
      <c r="E2330" t="s">
        <v>2786</v>
      </c>
      <c r="F2330" t="s">
        <v>2969</v>
      </c>
    </row>
    <row r="2331" spans="1:6" x14ac:dyDescent="0.25">
      <c r="A2331" t="s">
        <v>2654</v>
      </c>
      <c r="B2331" t="s">
        <v>1296</v>
      </c>
      <c r="C2331" t="s">
        <v>66</v>
      </c>
      <c r="D2331">
        <v>3</v>
      </c>
      <c r="E2331" t="s">
        <v>2970</v>
      </c>
      <c r="F2331" t="s">
        <v>2969</v>
      </c>
    </row>
    <row r="2332" spans="1:6" x14ac:dyDescent="0.25">
      <c r="A2332" t="s">
        <v>2654</v>
      </c>
      <c r="B2332" t="s">
        <v>1296</v>
      </c>
      <c r="C2332" t="s">
        <v>66</v>
      </c>
      <c r="D2332">
        <v>4</v>
      </c>
      <c r="E2332" t="s">
        <v>2976</v>
      </c>
      <c r="F2332" t="s">
        <v>2969</v>
      </c>
    </row>
    <row r="2333" spans="1:6" x14ac:dyDescent="0.25">
      <c r="A2333" t="s">
        <v>2654</v>
      </c>
      <c r="B2333" t="s">
        <v>1296</v>
      </c>
      <c r="C2333" t="s">
        <v>66</v>
      </c>
      <c r="D2333">
        <v>5</v>
      </c>
      <c r="E2333" t="s">
        <v>2982</v>
      </c>
      <c r="F2333" t="s">
        <v>2969</v>
      </c>
    </row>
    <row r="2334" spans="1:6" x14ac:dyDescent="0.25">
      <c r="A2334" t="s">
        <v>2654</v>
      </c>
      <c r="B2334" t="s">
        <v>1296</v>
      </c>
      <c r="C2334" t="s">
        <v>66</v>
      </c>
      <c r="D2334">
        <v>6</v>
      </c>
      <c r="E2334" t="s">
        <v>2983</v>
      </c>
      <c r="F2334" t="s">
        <v>2969</v>
      </c>
    </row>
    <row r="2335" spans="1:6" x14ac:dyDescent="0.25">
      <c r="A2335" t="s">
        <v>2655</v>
      </c>
      <c r="B2335" t="s">
        <v>1297</v>
      </c>
      <c r="C2335" t="s">
        <v>112</v>
      </c>
      <c r="D2335">
        <v>1</v>
      </c>
      <c r="E2335" t="s">
        <v>1824</v>
      </c>
      <c r="F2335" t="s">
        <v>2969</v>
      </c>
    </row>
    <row r="2336" spans="1:6" x14ac:dyDescent="0.25">
      <c r="A2336" t="s">
        <v>2655</v>
      </c>
      <c r="B2336" t="s">
        <v>1297</v>
      </c>
      <c r="C2336" t="s">
        <v>112</v>
      </c>
      <c r="D2336">
        <v>2</v>
      </c>
      <c r="E2336" t="s">
        <v>1948</v>
      </c>
      <c r="F2336" t="s">
        <v>2969</v>
      </c>
    </row>
    <row r="2337" spans="1:6" x14ac:dyDescent="0.25">
      <c r="A2337" t="s">
        <v>2655</v>
      </c>
      <c r="B2337" t="s">
        <v>1297</v>
      </c>
      <c r="C2337" t="s">
        <v>112</v>
      </c>
      <c r="D2337">
        <v>3</v>
      </c>
      <c r="E2337" t="s">
        <v>1951</v>
      </c>
      <c r="F2337" t="s">
        <v>2969</v>
      </c>
    </row>
    <row r="2338" spans="1:6" x14ac:dyDescent="0.25">
      <c r="A2338" t="s">
        <v>2656</v>
      </c>
      <c r="B2338" t="s">
        <v>1298</v>
      </c>
      <c r="C2338" t="s">
        <v>71</v>
      </c>
      <c r="D2338">
        <v>1</v>
      </c>
      <c r="E2338" t="s">
        <v>1915</v>
      </c>
      <c r="F2338" t="s">
        <v>2969</v>
      </c>
    </row>
    <row r="2339" spans="1:6" x14ac:dyDescent="0.25">
      <c r="A2339" t="s">
        <v>2657</v>
      </c>
      <c r="B2339" t="s">
        <v>1299</v>
      </c>
      <c r="C2339" t="s">
        <v>132</v>
      </c>
      <c r="D2339">
        <v>1</v>
      </c>
      <c r="E2339" t="s">
        <v>2046</v>
      </c>
      <c r="F2339" t="s">
        <v>2969</v>
      </c>
    </row>
    <row r="2340" spans="1:6" x14ac:dyDescent="0.25">
      <c r="A2340" t="s">
        <v>2657</v>
      </c>
      <c r="B2340" t="s">
        <v>1299</v>
      </c>
      <c r="C2340" t="s">
        <v>132</v>
      </c>
      <c r="D2340">
        <v>2</v>
      </c>
      <c r="E2340" t="s">
        <v>1754</v>
      </c>
      <c r="F2340" t="s">
        <v>2969</v>
      </c>
    </row>
    <row r="2341" spans="1:6" x14ac:dyDescent="0.25">
      <c r="A2341" t="s">
        <v>2658</v>
      </c>
      <c r="B2341" t="s">
        <v>1300</v>
      </c>
      <c r="C2341" t="s">
        <v>130</v>
      </c>
      <c r="D2341">
        <v>1</v>
      </c>
      <c r="E2341" t="s">
        <v>1704</v>
      </c>
      <c r="F2341" t="s">
        <v>2969</v>
      </c>
    </row>
    <row r="2342" spans="1:6" x14ac:dyDescent="0.25">
      <c r="A2342" t="s">
        <v>2658</v>
      </c>
      <c r="B2342" t="s">
        <v>1300</v>
      </c>
      <c r="C2342" t="s">
        <v>130</v>
      </c>
      <c r="D2342">
        <v>2</v>
      </c>
      <c r="E2342" t="s">
        <v>13</v>
      </c>
      <c r="F2342" t="s">
        <v>2969</v>
      </c>
    </row>
    <row r="2343" spans="1:6" x14ac:dyDescent="0.25">
      <c r="A2343" t="s">
        <v>2659</v>
      </c>
      <c r="B2343" t="s">
        <v>1301</v>
      </c>
      <c r="C2343" t="s">
        <v>43</v>
      </c>
      <c r="D2343">
        <v>1</v>
      </c>
      <c r="E2343" t="s">
        <v>1787</v>
      </c>
      <c r="F2343" t="s">
        <v>2969</v>
      </c>
    </row>
    <row r="2344" spans="1:6" x14ac:dyDescent="0.25">
      <c r="A2344" t="s">
        <v>2660</v>
      </c>
      <c r="B2344" t="s">
        <v>1302</v>
      </c>
      <c r="C2344" t="s">
        <v>130</v>
      </c>
      <c r="D2344">
        <v>1</v>
      </c>
      <c r="E2344" t="s">
        <v>2017</v>
      </c>
      <c r="F2344" t="s">
        <v>2969</v>
      </c>
    </row>
    <row r="2345" spans="1:6" x14ac:dyDescent="0.25">
      <c r="A2345" t="s">
        <v>2660</v>
      </c>
      <c r="B2345" t="s">
        <v>1302</v>
      </c>
      <c r="C2345" t="s">
        <v>130</v>
      </c>
      <c r="D2345">
        <v>2</v>
      </c>
      <c r="E2345" t="s">
        <v>2038</v>
      </c>
      <c r="F2345" t="s">
        <v>2969</v>
      </c>
    </row>
    <row r="2346" spans="1:6" x14ac:dyDescent="0.25">
      <c r="A2346" t="s">
        <v>2661</v>
      </c>
      <c r="B2346" t="s">
        <v>1304</v>
      </c>
      <c r="C2346" t="s">
        <v>113</v>
      </c>
      <c r="D2346">
        <v>1</v>
      </c>
      <c r="E2346" t="s">
        <v>45</v>
      </c>
      <c r="F2346" t="s">
        <v>2969</v>
      </c>
    </row>
    <row r="2347" spans="1:6" x14ac:dyDescent="0.25">
      <c r="A2347" t="s">
        <v>2661</v>
      </c>
      <c r="B2347" t="s">
        <v>1304</v>
      </c>
      <c r="C2347" t="s">
        <v>113</v>
      </c>
      <c r="D2347">
        <v>2</v>
      </c>
      <c r="E2347" t="s">
        <v>1663</v>
      </c>
      <c r="F2347" t="s">
        <v>2969</v>
      </c>
    </row>
    <row r="2348" spans="1:6" x14ac:dyDescent="0.25">
      <c r="A2348" t="s">
        <v>2662</v>
      </c>
      <c r="B2348" t="s">
        <v>1305</v>
      </c>
      <c r="C2348" t="s">
        <v>52</v>
      </c>
      <c r="D2348">
        <v>1</v>
      </c>
      <c r="E2348" t="s">
        <v>2071</v>
      </c>
      <c r="F2348" t="s">
        <v>2969</v>
      </c>
    </row>
    <row r="2349" spans="1:6" x14ac:dyDescent="0.25">
      <c r="A2349" t="s">
        <v>2663</v>
      </c>
      <c r="B2349" t="s">
        <v>1306</v>
      </c>
      <c r="C2349" t="s">
        <v>79</v>
      </c>
      <c r="D2349">
        <v>1</v>
      </c>
      <c r="E2349" t="s">
        <v>75</v>
      </c>
      <c r="F2349" t="s">
        <v>2969</v>
      </c>
    </row>
    <row r="2350" spans="1:6" x14ac:dyDescent="0.25">
      <c r="A2350" t="s">
        <v>2664</v>
      </c>
      <c r="B2350" t="s">
        <v>1307</v>
      </c>
      <c r="C2350" t="s">
        <v>121</v>
      </c>
      <c r="D2350">
        <v>1</v>
      </c>
      <c r="E2350" t="s">
        <v>1624</v>
      </c>
      <c r="F2350" t="s">
        <v>2969</v>
      </c>
    </row>
    <row r="2351" spans="1:6" x14ac:dyDescent="0.25">
      <c r="A2351" t="s">
        <v>2665</v>
      </c>
      <c r="B2351" t="s">
        <v>1308</v>
      </c>
      <c r="C2351" t="s">
        <v>60</v>
      </c>
      <c r="D2351">
        <v>1</v>
      </c>
      <c r="E2351" t="s">
        <v>1645</v>
      </c>
      <c r="F2351" t="s">
        <v>2969</v>
      </c>
    </row>
    <row r="2352" spans="1:6" x14ac:dyDescent="0.25">
      <c r="A2352" t="s">
        <v>2665</v>
      </c>
      <c r="B2352" t="s">
        <v>1308</v>
      </c>
      <c r="C2352" t="s">
        <v>60</v>
      </c>
      <c r="D2352">
        <v>2</v>
      </c>
      <c r="E2352" t="s">
        <v>1634</v>
      </c>
      <c r="F2352" t="s">
        <v>2969</v>
      </c>
    </row>
    <row r="2353" spans="1:6" x14ac:dyDescent="0.25">
      <c r="A2353" t="s">
        <v>2665</v>
      </c>
      <c r="B2353" t="s">
        <v>1308</v>
      </c>
      <c r="C2353" t="s">
        <v>60</v>
      </c>
      <c r="D2353">
        <v>3</v>
      </c>
      <c r="E2353" t="s">
        <v>1917</v>
      </c>
      <c r="F2353" t="s">
        <v>2969</v>
      </c>
    </row>
    <row r="2354" spans="1:6" x14ac:dyDescent="0.25">
      <c r="A2354" t="s">
        <v>2666</v>
      </c>
      <c r="B2354" t="s">
        <v>1309</v>
      </c>
      <c r="C2354" t="s">
        <v>118</v>
      </c>
      <c r="D2354">
        <v>1</v>
      </c>
      <c r="E2354" t="s">
        <v>36</v>
      </c>
      <c r="F2354" t="s">
        <v>2969</v>
      </c>
    </row>
    <row r="2355" spans="1:6" x14ac:dyDescent="0.25">
      <c r="A2355" t="s">
        <v>2666</v>
      </c>
      <c r="B2355" t="s">
        <v>1309</v>
      </c>
      <c r="C2355" t="s">
        <v>118</v>
      </c>
      <c r="D2355">
        <v>2</v>
      </c>
      <c r="E2355" t="s">
        <v>1695</v>
      </c>
      <c r="F2355" t="s">
        <v>2969</v>
      </c>
    </row>
    <row r="2356" spans="1:6" x14ac:dyDescent="0.25">
      <c r="A2356" t="s">
        <v>2667</v>
      </c>
      <c r="B2356" t="s">
        <v>1310</v>
      </c>
      <c r="C2356" t="s">
        <v>76</v>
      </c>
      <c r="D2356">
        <v>1</v>
      </c>
      <c r="E2356" t="s">
        <v>1960</v>
      </c>
      <c r="F2356" t="s">
        <v>2969</v>
      </c>
    </row>
    <row r="2357" spans="1:6" x14ac:dyDescent="0.25">
      <c r="A2357" t="s">
        <v>2668</v>
      </c>
      <c r="B2357" t="s">
        <v>1311</v>
      </c>
      <c r="C2357" t="s">
        <v>125</v>
      </c>
      <c r="D2357">
        <v>1</v>
      </c>
      <c r="E2357" t="s">
        <v>1707</v>
      </c>
      <c r="F2357" t="s">
        <v>2969</v>
      </c>
    </row>
    <row r="2358" spans="1:6" x14ac:dyDescent="0.25">
      <c r="A2358" t="s">
        <v>2668</v>
      </c>
      <c r="B2358" t="s">
        <v>1311</v>
      </c>
      <c r="C2358" t="s">
        <v>125</v>
      </c>
      <c r="D2358">
        <v>2</v>
      </c>
      <c r="E2358" t="s">
        <v>131</v>
      </c>
      <c r="F2358" t="s">
        <v>2969</v>
      </c>
    </row>
    <row r="2359" spans="1:6" x14ac:dyDescent="0.25">
      <c r="A2359" t="s">
        <v>2669</v>
      </c>
      <c r="B2359" t="s">
        <v>1312</v>
      </c>
      <c r="C2359" t="s">
        <v>73</v>
      </c>
      <c r="D2359">
        <v>1</v>
      </c>
      <c r="E2359" t="s">
        <v>1643</v>
      </c>
      <c r="F2359" t="s">
        <v>2969</v>
      </c>
    </row>
    <row r="2360" spans="1:6" x14ac:dyDescent="0.25">
      <c r="A2360" t="s">
        <v>2669</v>
      </c>
      <c r="B2360" t="s">
        <v>1312</v>
      </c>
      <c r="C2360" t="s">
        <v>73</v>
      </c>
      <c r="D2360">
        <v>2</v>
      </c>
      <c r="E2360" t="s">
        <v>1621</v>
      </c>
      <c r="F2360" t="s">
        <v>2969</v>
      </c>
    </row>
    <row r="2361" spans="1:6" x14ac:dyDescent="0.25">
      <c r="A2361" t="s">
        <v>2669</v>
      </c>
      <c r="B2361" t="s">
        <v>1312</v>
      </c>
      <c r="C2361" t="s">
        <v>73</v>
      </c>
      <c r="D2361">
        <v>3</v>
      </c>
      <c r="E2361" t="s">
        <v>1934</v>
      </c>
      <c r="F2361" t="s">
        <v>2969</v>
      </c>
    </row>
    <row r="2362" spans="1:6" x14ac:dyDescent="0.25">
      <c r="A2362" t="s">
        <v>2669</v>
      </c>
      <c r="B2362" t="s">
        <v>1312</v>
      </c>
      <c r="C2362" t="s">
        <v>73</v>
      </c>
      <c r="D2362">
        <v>4</v>
      </c>
      <c r="E2362" t="s">
        <v>2456</v>
      </c>
      <c r="F2362" t="s">
        <v>2969</v>
      </c>
    </row>
    <row r="2363" spans="1:6" x14ac:dyDescent="0.25">
      <c r="A2363" t="s">
        <v>2670</v>
      </c>
      <c r="B2363" t="s">
        <v>1313</v>
      </c>
      <c r="C2363" t="s">
        <v>123</v>
      </c>
      <c r="D2363">
        <v>1</v>
      </c>
      <c r="E2363" t="s">
        <v>75</v>
      </c>
      <c r="F2363" t="s">
        <v>2969</v>
      </c>
    </row>
    <row r="2364" spans="1:6" x14ac:dyDescent="0.25">
      <c r="A2364" t="s">
        <v>2671</v>
      </c>
      <c r="B2364" t="s">
        <v>1314</v>
      </c>
      <c r="C2364" t="s">
        <v>136</v>
      </c>
      <c r="D2364">
        <v>1</v>
      </c>
      <c r="E2364" t="s">
        <v>2094</v>
      </c>
      <c r="F2364" t="s">
        <v>2969</v>
      </c>
    </row>
    <row r="2365" spans="1:6" x14ac:dyDescent="0.25">
      <c r="A2365" t="s">
        <v>2672</v>
      </c>
      <c r="B2365" t="s">
        <v>1315</v>
      </c>
      <c r="C2365" t="s">
        <v>125</v>
      </c>
      <c r="D2365">
        <v>1</v>
      </c>
      <c r="E2365" t="s">
        <v>84</v>
      </c>
      <c r="F2365" t="s">
        <v>2969</v>
      </c>
    </row>
    <row r="2366" spans="1:6" x14ac:dyDescent="0.25">
      <c r="A2366" t="s">
        <v>2672</v>
      </c>
      <c r="B2366" t="s">
        <v>1315</v>
      </c>
      <c r="C2366" t="s">
        <v>125</v>
      </c>
      <c r="D2366">
        <v>2</v>
      </c>
      <c r="E2366" t="s">
        <v>99</v>
      </c>
      <c r="F2366" t="s">
        <v>2969</v>
      </c>
    </row>
    <row r="2367" spans="1:6" x14ac:dyDescent="0.25">
      <c r="A2367" t="s">
        <v>2673</v>
      </c>
      <c r="B2367" t="s">
        <v>1316</v>
      </c>
      <c r="C2367" t="s">
        <v>128</v>
      </c>
      <c r="D2367">
        <v>1</v>
      </c>
      <c r="E2367" t="s">
        <v>2344</v>
      </c>
      <c r="F2367" t="s">
        <v>2969</v>
      </c>
    </row>
    <row r="2368" spans="1:6" x14ac:dyDescent="0.25">
      <c r="A2368" t="s">
        <v>2673</v>
      </c>
      <c r="B2368" t="s">
        <v>1316</v>
      </c>
      <c r="C2368" t="s">
        <v>128</v>
      </c>
      <c r="D2368">
        <v>2</v>
      </c>
      <c r="E2368" t="s">
        <v>22</v>
      </c>
      <c r="F2368" t="s">
        <v>2969</v>
      </c>
    </row>
    <row r="2369" spans="1:6" x14ac:dyDescent="0.25">
      <c r="A2369" t="s">
        <v>2674</v>
      </c>
      <c r="B2369" t="s">
        <v>1317</v>
      </c>
      <c r="C2369" t="s">
        <v>107</v>
      </c>
      <c r="D2369">
        <v>1</v>
      </c>
      <c r="E2369" t="s">
        <v>70</v>
      </c>
      <c r="F2369" t="s">
        <v>2969</v>
      </c>
    </row>
    <row r="2370" spans="1:6" x14ac:dyDescent="0.25">
      <c r="A2370" t="s">
        <v>2675</v>
      </c>
      <c r="B2370" t="s">
        <v>1318</v>
      </c>
      <c r="C2370" t="s">
        <v>98</v>
      </c>
      <c r="D2370">
        <v>1</v>
      </c>
      <c r="E2370" t="s">
        <v>72</v>
      </c>
      <c r="F2370" t="s">
        <v>2969</v>
      </c>
    </row>
    <row r="2371" spans="1:6" x14ac:dyDescent="0.25">
      <c r="A2371" t="s">
        <v>2675</v>
      </c>
      <c r="B2371" t="s">
        <v>1318</v>
      </c>
      <c r="C2371" t="s">
        <v>98</v>
      </c>
      <c r="D2371">
        <v>2</v>
      </c>
      <c r="E2371" t="s">
        <v>2071</v>
      </c>
      <c r="F2371" t="s">
        <v>2969</v>
      </c>
    </row>
    <row r="2372" spans="1:6" x14ac:dyDescent="0.25">
      <c r="A2372" t="s">
        <v>2676</v>
      </c>
      <c r="B2372" t="s">
        <v>1319</v>
      </c>
      <c r="C2372" t="s">
        <v>97</v>
      </c>
      <c r="D2372">
        <v>1</v>
      </c>
      <c r="E2372" t="s">
        <v>1812</v>
      </c>
      <c r="F2372" t="s">
        <v>2969</v>
      </c>
    </row>
    <row r="2373" spans="1:6" x14ac:dyDescent="0.25">
      <c r="A2373" t="s">
        <v>2677</v>
      </c>
      <c r="B2373" t="s">
        <v>1320</v>
      </c>
      <c r="C2373" t="s">
        <v>100</v>
      </c>
      <c r="D2373">
        <v>1</v>
      </c>
      <c r="E2373" t="s">
        <v>2169</v>
      </c>
      <c r="F2373" t="s">
        <v>2969</v>
      </c>
    </row>
    <row r="2374" spans="1:6" x14ac:dyDescent="0.25">
      <c r="A2374" t="s">
        <v>2677</v>
      </c>
      <c r="B2374" t="s">
        <v>1320</v>
      </c>
      <c r="C2374" t="s">
        <v>100</v>
      </c>
      <c r="D2374">
        <v>2</v>
      </c>
      <c r="E2374" t="s">
        <v>1815</v>
      </c>
      <c r="F2374" t="s">
        <v>2969</v>
      </c>
    </row>
    <row r="2375" spans="1:6" x14ac:dyDescent="0.25">
      <c r="A2375" t="s">
        <v>2678</v>
      </c>
      <c r="B2375" t="s">
        <v>1321</v>
      </c>
      <c r="C2375" t="s">
        <v>34</v>
      </c>
      <c r="D2375">
        <v>1</v>
      </c>
      <c r="E2375" t="s">
        <v>70</v>
      </c>
      <c r="F2375" t="s">
        <v>2969</v>
      </c>
    </row>
    <row r="2376" spans="1:6" x14ac:dyDescent="0.25">
      <c r="A2376" t="s">
        <v>2678</v>
      </c>
      <c r="B2376" t="s">
        <v>1321</v>
      </c>
      <c r="C2376" t="s">
        <v>34</v>
      </c>
      <c r="D2376">
        <v>2</v>
      </c>
      <c r="E2376" t="s">
        <v>1685</v>
      </c>
      <c r="F2376" t="s">
        <v>2969</v>
      </c>
    </row>
    <row r="2377" spans="1:6" x14ac:dyDescent="0.25">
      <c r="A2377" t="s">
        <v>2678</v>
      </c>
      <c r="B2377" t="s">
        <v>1321</v>
      </c>
      <c r="C2377" t="s">
        <v>34</v>
      </c>
      <c r="D2377">
        <v>3</v>
      </c>
      <c r="E2377" t="s">
        <v>1764</v>
      </c>
      <c r="F2377" t="s">
        <v>2969</v>
      </c>
    </row>
    <row r="2378" spans="1:6" x14ac:dyDescent="0.25">
      <c r="A2378" t="s">
        <v>2679</v>
      </c>
      <c r="B2378" t="s">
        <v>1322</v>
      </c>
      <c r="C2378" t="s">
        <v>92</v>
      </c>
      <c r="D2378">
        <v>1</v>
      </c>
      <c r="E2378" t="s">
        <v>1667</v>
      </c>
      <c r="F2378" t="s">
        <v>2969</v>
      </c>
    </row>
    <row r="2379" spans="1:6" x14ac:dyDescent="0.25">
      <c r="A2379" t="s">
        <v>2679</v>
      </c>
      <c r="B2379" t="s">
        <v>1322</v>
      </c>
      <c r="C2379" t="s">
        <v>92</v>
      </c>
      <c r="D2379">
        <v>2</v>
      </c>
      <c r="E2379" t="s">
        <v>1728</v>
      </c>
      <c r="F2379" t="s">
        <v>2969</v>
      </c>
    </row>
    <row r="2380" spans="1:6" x14ac:dyDescent="0.25">
      <c r="A2380" t="s">
        <v>2679</v>
      </c>
      <c r="B2380" t="s">
        <v>1322</v>
      </c>
      <c r="C2380" t="s">
        <v>92</v>
      </c>
      <c r="D2380">
        <v>3</v>
      </c>
      <c r="E2380" t="s">
        <v>51</v>
      </c>
      <c r="F2380" t="s">
        <v>2969</v>
      </c>
    </row>
    <row r="2381" spans="1:6" x14ac:dyDescent="0.25">
      <c r="A2381" t="s">
        <v>2680</v>
      </c>
      <c r="B2381" t="s">
        <v>1323</v>
      </c>
      <c r="C2381" t="s">
        <v>85</v>
      </c>
      <c r="D2381">
        <v>1</v>
      </c>
      <c r="E2381" t="s">
        <v>1879</v>
      </c>
      <c r="F2381" t="s">
        <v>2969</v>
      </c>
    </row>
    <row r="2382" spans="1:6" x14ac:dyDescent="0.25">
      <c r="A2382" t="s">
        <v>2680</v>
      </c>
      <c r="B2382" t="s">
        <v>1323</v>
      </c>
      <c r="C2382" t="s">
        <v>85</v>
      </c>
      <c r="D2382">
        <v>2</v>
      </c>
      <c r="E2382" t="s">
        <v>1709</v>
      </c>
      <c r="F2382" t="s">
        <v>2969</v>
      </c>
    </row>
    <row r="2383" spans="1:6" x14ac:dyDescent="0.25">
      <c r="A2383" t="s">
        <v>2680</v>
      </c>
      <c r="B2383" t="s">
        <v>1323</v>
      </c>
      <c r="C2383" t="s">
        <v>85</v>
      </c>
      <c r="D2383">
        <v>3</v>
      </c>
      <c r="E2383" t="s">
        <v>1653</v>
      </c>
      <c r="F2383" t="s">
        <v>2969</v>
      </c>
    </row>
    <row r="2384" spans="1:6" x14ac:dyDescent="0.25">
      <c r="A2384" t="s">
        <v>2681</v>
      </c>
      <c r="B2384" t="s">
        <v>1324</v>
      </c>
      <c r="C2384" t="s">
        <v>90</v>
      </c>
      <c r="D2384">
        <v>1</v>
      </c>
      <c r="E2384" t="s">
        <v>1667</v>
      </c>
      <c r="F2384" t="s">
        <v>2969</v>
      </c>
    </row>
    <row r="2385" spans="1:6" x14ac:dyDescent="0.25">
      <c r="A2385" t="s">
        <v>2681</v>
      </c>
      <c r="B2385" t="s">
        <v>1324</v>
      </c>
      <c r="C2385" t="s">
        <v>90</v>
      </c>
      <c r="D2385">
        <v>2</v>
      </c>
      <c r="E2385" t="s">
        <v>1812</v>
      </c>
      <c r="F2385" t="s">
        <v>2969</v>
      </c>
    </row>
    <row r="2386" spans="1:6" x14ac:dyDescent="0.25">
      <c r="A2386" t="s">
        <v>2681</v>
      </c>
      <c r="B2386" t="s">
        <v>1324</v>
      </c>
      <c r="C2386" t="s">
        <v>90</v>
      </c>
      <c r="D2386">
        <v>3</v>
      </c>
      <c r="E2386" t="s">
        <v>1657</v>
      </c>
      <c r="F2386" t="s">
        <v>2969</v>
      </c>
    </row>
    <row r="2387" spans="1:6" x14ac:dyDescent="0.25">
      <c r="A2387" t="s">
        <v>2681</v>
      </c>
      <c r="B2387" t="s">
        <v>1324</v>
      </c>
      <c r="C2387" t="s">
        <v>90</v>
      </c>
      <c r="D2387">
        <v>4</v>
      </c>
      <c r="E2387" t="s">
        <v>111</v>
      </c>
      <c r="F2387" t="s">
        <v>2969</v>
      </c>
    </row>
    <row r="2388" spans="1:6" x14ac:dyDescent="0.25">
      <c r="A2388" t="s">
        <v>2681</v>
      </c>
      <c r="B2388" t="s">
        <v>1324</v>
      </c>
      <c r="C2388" t="s">
        <v>90</v>
      </c>
      <c r="D2388">
        <v>5</v>
      </c>
      <c r="E2388" t="s">
        <v>96</v>
      </c>
      <c r="F2388" t="s">
        <v>2969</v>
      </c>
    </row>
    <row r="2389" spans="1:6" x14ac:dyDescent="0.25">
      <c r="A2389" t="s">
        <v>2681</v>
      </c>
      <c r="B2389" t="s">
        <v>1324</v>
      </c>
      <c r="C2389" t="s">
        <v>90</v>
      </c>
      <c r="D2389">
        <v>6</v>
      </c>
      <c r="E2389" t="s">
        <v>1634</v>
      </c>
      <c r="F2389" t="s">
        <v>2969</v>
      </c>
    </row>
    <row r="2390" spans="1:6" x14ac:dyDescent="0.25">
      <c r="A2390" t="s">
        <v>2681</v>
      </c>
      <c r="B2390" t="s">
        <v>1324</v>
      </c>
      <c r="C2390" t="s">
        <v>90</v>
      </c>
      <c r="D2390">
        <v>7</v>
      </c>
      <c r="E2390" t="s">
        <v>1719</v>
      </c>
      <c r="F2390" t="s">
        <v>1692</v>
      </c>
    </row>
    <row r="2391" spans="1:6" x14ac:dyDescent="0.25">
      <c r="A2391" t="s">
        <v>2682</v>
      </c>
      <c r="B2391" t="s">
        <v>1325</v>
      </c>
      <c r="C2391" t="s">
        <v>27</v>
      </c>
      <c r="D2391">
        <v>1</v>
      </c>
      <c r="E2391" t="s">
        <v>2472</v>
      </c>
      <c r="F2391" t="s">
        <v>2969</v>
      </c>
    </row>
    <row r="2392" spans="1:6" x14ac:dyDescent="0.25">
      <c r="A2392" t="s">
        <v>2683</v>
      </c>
      <c r="B2392" t="s">
        <v>1326</v>
      </c>
      <c r="C2392" t="s">
        <v>134</v>
      </c>
      <c r="D2392">
        <v>1</v>
      </c>
      <c r="E2392" t="s">
        <v>2038</v>
      </c>
      <c r="F2392" t="s">
        <v>2969</v>
      </c>
    </row>
    <row r="2393" spans="1:6" x14ac:dyDescent="0.25">
      <c r="A2393" t="s">
        <v>2683</v>
      </c>
      <c r="B2393" t="s">
        <v>1326</v>
      </c>
      <c r="C2393" t="s">
        <v>134</v>
      </c>
      <c r="D2393">
        <v>2</v>
      </c>
      <c r="E2393" t="s">
        <v>19</v>
      </c>
      <c r="F2393" t="s">
        <v>2969</v>
      </c>
    </row>
    <row r="2394" spans="1:6" x14ac:dyDescent="0.25">
      <c r="A2394" t="s">
        <v>2683</v>
      </c>
      <c r="B2394" t="s">
        <v>1326</v>
      </c>
      <c r="C2394" t="s">
        <v>134</v>
      </c>
      <c r="D2394">
        <v>3</v>
      </c>
      <c r="E2394" t="s">
        <v>2021</v>
      </c>
      <c r="F2394" t="s">
        <v>2969</v>
      </c>
    </row>
    <row r="2395" spans="1:6" x14ac:dyDescent="0.25">
      <c r="A2395" t="s">
        <v>2684</v>
      </c>
      <c r="B2395" t="s">
        <v>1327</v>
      </c>
      <c r="C2395" t="s">
        <v>101</v>
      </c>
      <c r="D2395">
        <v>1</v>
      </c>
      <c r="E2395" t="s">
        <v>1946</v>
      </c>
      <c r="F2395" t="s">
        <v>2969</v>
      </c>
    </row>
    <row r="2396" spans="1:6" x14ac:dyDescent="0.25">
      <c r="A2396" t="s">
        <v>2685</v>
      </c>
      <c r="B2396" t="s">
        <v>1328</v>
      </c>
      <c r="C2396" t="s">
        <v>112</v>
      </c>
      <c r="D2396">
        <v>1</v>
      </c>
      <c r="E2396" t="s">
        <v>1951</v>
      </c>
      <c r="F2396" t="s">
        <v>2969</v>
      </c>
    </row>
    <row r="2397" spans="1:6" x14ac:dyDescent="0.25">
      <c r="A2397" t="s">
        <v>2685</v>
      </c>
      <c r="B2397" t="s">
        <v>1328</v>
      </c>
      <c r="C2397" t="s">
        <v>112</v>
      </c>
      <c r="D2397">
        <v>2</v>
      </c>
      <c r="E2397" t="s">
        <v>33</v>
      </c>
      <c r="F2397" t="s">
        <v>2969</v>
      </c>
    </row>
    <row r="2398" spans="1:6" x14ac:dyDescent="0.25">
      <c r="A2398" t="s">
        <v>2685</v>
      </c>
      <c r="B2398" t="s">
        <v>1328</v>
      </c>
      <c r="C2398" t="s">
        <v>112</v>
      </c>
      <c r="D2398">
        <v>3</v>
      </c>
      <c r="E2398" t="s">
        <v>135</v>
      </c>
      <c r="F2398" t="s">
        <v>2969</v>
      </c>
    </row>
    <row r="2399" spans="1:6" x14ac:dyDescent="0.25">
      <c r="A2399" t="s">
        <v>2685</v>
      </c>
      <c r="B2399" t="s">
        <v>1328</v>
      </c>
      <c r="C2399" t="s">
        <v>112</v>
      </c>
      <c r="D2399">
        <v>4</v>
      </c>
      <c r="E2399" t="s">
        <v>13</v>
      </c>
      <c r="F2399" t="s">
        <v>2969</v>
      </c>
    </row>
    <row r="2400" spans="1:6" x14ac:dyDescent="0.25">
      <c r="A2400" t="s">
        <v>2685</v>
      </c>
      <c r="B2400" t="s">
        <v>1328</v>
      </c>
      <c r="C2400" t="s">
        <v>112</v>
      </c>
      <c r="D2400">
        <v>5</v>
      </c>
      <c r="E2400" t="s">
        <v>1739</v>
      </c>
      <c r="F2400" t="s">
        <v>2969</v>
      </c>
    </row>
    <row r="2401" spans="1:6" x14ac:dyDescent="0.25">
      <c r="A2401" t="s">
        <v>2685</v>
      </c>
      <c r="B2401" t="s">
        <v>1328</v>
      </c>
      <c r="C2401" t="s">
        <v>112</v>
      </c>
      <c r="D2401">
        <v>6</v>
      </c>
      <c r="E2401" t="s">
        <v>1859</v>
      </c>
      <c r="F2401" t="s">
        <v>2969</v>
      </c>
    </row>
    <row r="2402" spans="1:6" x14ac:dyDescent="0.25">
      <c r="A2402" t="s">
        <v>2685</v>
      </c>
      <c r="B2402" t="s">
        <v>1328</v>
      </c>
      <c r="C2402" t="s">
        <v>112</v>
      </c>
      <c r="D2402">
        <v>7</v>
      </c>
      <c r="E2402" t="s">
        <v>1687</v>
      </c>
      <c r="F2402" t="s">
        <v>1692</v>
      </c>
    </row>
    <row r="2403" spans="1:6" x14ac:dyDescent="0.25">
      <c r="A2403" t="s">
        <v>2686</v>
      </c>
      <c r="B2403" t="s">
        <v>1329</v>
      </c>
      <c r="C2403" t="s">
        <v>56</v>
      </c>
      <c r="D2403">
        <v>1</v>
      </c>
      <c r="E2403" t="s">
        <v>38</v>
      </c>
      <c r="F2403" t="s">
        <v>2969</v>
      </c>
    </row>
    <row r="2404" spans="1:6" x14ac:dyDescent="0.25">
      <c r="A2404" t="s">
        <v>2686</v>
      </c>
      <c r="B2404" t="s">
        <v>1329</v>
      </c>
      <c r="C2404" t="s">
        <v>56</v>
      </c>
      <c r="D2404">
        <v>2</v>
      </c>
      <c r="E2404" t="s">
        <v>1824</v>
      </c>
      <c r="F2404" t="s">
        <v>2969</v>
      </c>
    </row>
    <row r="2405" spans="1:6" x14ac:dyDescent="0.25">
      <c r="A2405" t="s">
        <v>2686</v>
      </c>
      <c r="B2405" t="s">
        <v>1329</v>
      </c>
      <c r="C2405" t="s">
        <v>56</v>
      </c>
      <c r="D2405">
        <v>3</v>
      </c>
      <c r="E2405" t="s">
        <v>1787</v>
      </c>
      <c r="F2405" t="s">
        <v>2969</v>
      </c>
    </row>
    <row r="2406" spans="1:6" x14ac:dyDescent="0.25">
      <c r="A2406" t="s">
        <v>2687</v>
      </c>
      <c r="B2406" t="s">
        <v>1330</v>
      </c>
      <c r="C2406" t="s">
        <v>79</v>
      </c>
      <c r="D2406">
        <v>1</v>
      </c>
      <c r="E2406" t="s">
        <v>1960</v>
      </c>
      <c r="F2406" t="s">
        <v>2969</v>
      </c>
    </row>
    <row r="2407" spans="1:6" x14ac:dyDescent="0.25">
      <c r="A2407" t="s">
        <v>2687</v>
      </c>
      <c r="B2407" t="s">
        <v>1330</v>
      </c>
      <c r="C2407" t="s">
        <v>79</v>
      </c>
      <c r="D2407">
        <v>2</v>
      </c>
      <c r="E2407" t="s">
        <v>2169</v>
      </c>
      <c r="F2407" t="s">
        <v>2969</v>
      </c>
    </row>
    <row r="2408" spans="1:6" x14ac:dyDescent="0.25">
      <c r="A2408" t="s">
        <v>2687</v>
      </c>
      <c r="B2408" t="s">
        <v>1330</v>
      </c>
      <c r="C2408" t="s">
        <v>79</v>
      </c>
      <c r="D2408">
        <v>3</v>
      </c>
      <c r="E2408" t="s">
        <v>1923</v>
      </c>
      <c r="F2408" t="s">
        <v>2969</v>
      </c>
    </row>
    <row r="2409" spans="1:6" x14ac:dyDescent="0.25">
      <c r="A2409" t="s">
        <v>2687</v>
      </c>
      <c r="B2409" t="s">
        <v>1330</v>
      </c>
      <c r="C2409" t="s">
        <v>79</v>
      </c>
      <c r="D2409">
        <v>4</v>
      </c>
      <c r="E2409" t="s">
        <v>2516</v>
      </c>
      <c r="F2409" t="s">
        <v>2969</v>
      </c>
    </row>
    <row r="2410" spans="1:6" x14ac:dyDescent="0.25">
      <c r="A2410" t="s">
        <v>2687</v>
      </c>
      <c r="B2410" t="s">
        <v>1330</v>
      </c>
      <c r="C2410" t="s">
        <v>79</v>
      </c>
      <c r="D2410">
        <v>5</v>
      </c>
      <c r="E2410" t="s">
        <v>2128</v>
      </c>
      <c r="F2410" t="s">
        <v>2969</v>
      </c>
    </row>
    <row r="2411" spans="1:6" x14ac:dyDescent="0.25">
      <c r="A2411" t="s">
        <v>2687</v>
      </c>
      <c r="B2411" t="s">
        <v>1330</v>
      </c>
      <c r="C2411" t="s">
        <v>79</v>
      </c>
      <c r="D2411">
        <v>6</v>
      </c>
      <c r="E2411" t="s">
        <v>2380</v>
      </c>
      <c r="F2411" t="s">
        <v>2969</v>
      </c>
    </row>
    <row r="2412" spans="1:6" x14ac:dyDescent="0.25">
      <c r="A2412" t="s">
        <v>2688</v>
      </c>
      <c r="B2412" t="s">
        <v>1331</v>
      </c>
      <c r="C2412" t="s">
        <v>59</v>
      </c>
      <c r="D2412">
        <v>1</v>
      </c>
      <c r="E2412" t="s">
        <v>64</v>
      </c>
      <c r="F2412" t="s">
        <v>2969</v>
      </c>
    </row>
    <row r="2413" spans="1:6" x14ac:dyDescent="0.25">
      <c r="A2413" t="s">
        <v>2688</v>
      </c>
      <c r="B2413" t="s">
        <v>1331</v>
      </c>
      <c r="C2413" t="s">
        <v>59</v>
      </c>
      <c r="D2413">
        <v>2</v>
      </c>
      <c r="E2413" t="s">
        <v>2751</v>
      </c>
      <c r="F2413" t="s">
        <v>2969</v>
      </c>
    </row>
    <row r="2414" spans="1:6" x14ac:dyDescent="0.25">
      <c r="A2414" t="s">
        <v>2689</v>
      </c>
      <c r="B2414" t="s">
        <v>1332</v>
      </c>
      <c r="C2414" t="s">
        <v>132</v>
      </c>
      <c r="D2414">
        <v>1</v>
      </c>
      <c r="E2414" t="s">
        <v>137</v>
      </c>
      <c r="F2414" t="s">
        <v>2969</v>
      </c>
    </row>
    <row r="2415" spans="1:6" x14ac:dyDescent="0.25">
      <c r="A2415" t="s">
        <v>2689</v>
      </c>
      <c r="B2415" t="s">
        <v>1332</v>
      </c>
      <c r="C2415" t="s">
        <v>132</v>
      </c>
      <c r="D2415">
        <v>2</v>
      </c>
      <c r="E2415" t="s">
        <v>1789</v>
      </c>
      <c r="F2415" t="s">
        <v>2969</v>
      </c>
    </row>
    <row r="2416" spans="1:6" x14ac:dyDescent="0.25">
      <c r="A2416" t="s">
        <v>2690</v>
      </c>
      <c r="B2416" t="s">
        <v>1333</v>
      </c>
      <c r="C2416" t="s">
        <v>59</v>
      </c>
      <c r="D2416">
        <v>1</v>
      </c>
      <c r="E2416" t="s">
        <v>1721</v>
      </c>
      <c r="F2416" t="s">
        <v>2969</v>
      </c>
    </row>
    <row r="2417" spans="1:6" x14ac:dyDescent="0.25">
      <c r="A2417" t="s">
        <v>2690</v>
      </c>
      <c r="B2417" t="s">
        <v>1333</v>
      </c>
      <c r="C2417" t="s">
        <v>59</v>
      </c>
      <c r="D2417">
        <v>2</v>
      </c>
      <c r="E2417" t="s">
        <v>104</v>
      </c>
      <c r="F2417" t="s">
        <v>2969</v>
      </c>
    </row>
    <row r="2418" spans="1:6" x14ac:dyDescent="0.25">
      <c r="A2418" t="s">
        <v>2691</v>
      </c>
      <c r="B2418" t="s">
        <v>1334</v>
      </c>
      <c r="C2418" t="s">
        <v>37</v>
      </c>
      <c r="D2418">
        <v>1</v>
      </c>
      <c r="E2418" t="s">
        <v>13</v>
      </c>
      <c r="F2418" t="s">
        <v>2969</v>
      </c>
    </row>
    <row r="2419" spans="1:6" x14ac:dyDescent="0.25">
      <c r="A2419" t="s">
        <v>2691</v>
      </c>
      <c r="B2419" t="s">
        <v>1334</v>
      </c>
      <c r="C2419" t="s">
        <v>37</v>
      </c>
      <c r="D2419">
        <v>2</v>
      </c>
      <c r="E2419" t="s">
        <v>1724</v>
      </c>
      <c r="F2419" t="s">
        <v>2969</v>
      </c>
    </row>
    <row r="2420" spans="1:6" x14ac:dyDescent="0.25">
      <c r="A2420" t="s">
        <v>2692</v>
      </c>
      <c r="B2420" t="s">
        <v>1335</v>
      </c>
      <c r="C2420" t="s">
        <v>14</v>
      </c>
      <c r="D2420">
        <v>1</v>
      </c>
      <c r="E2420" t="s">
        <v>1709</v>
      </c>
      <c r="F2420" t="s">
        <v>2969</v>
      </c>
    </row>
    <row r="2421" spans="1:6" x14ac:dyDescent="0.25">
      <c r="A2421" t="s">
        <v>2692</v>
      </c>
      <c r="B2421" t="s">
        <v>1335</v>
      </c>
      <c r="C2421" t="s">
        <v>14</v>
      </c>
      <c r="D2421">
        <v>2</v>
      </c>
      <c r="E2421" t="s">
        <v>91</v>
      </c>
      <c r="F2421" t="s">
        <v>2969</v>
      </c>
    </row>
    <row r="2422" spans="1:6" x14ac:dyDescent="0.25">
      <c r="A2422" t="s">
        <v>2692</v>
      </c>
      <c r="B2422" t="s">
        <v>1335</v>
      </c>
      <c r="C2422" t="s">
        <v>14</v>
      </c>
      <c r="D2422">
        <v>3</v>
      </c>
      <c r="E2422" t="s">
        <v>75</v>
      </c>
      <c r="F2422" t="s">
        <v>2969</v>
      </c>
    </row>
    <row r="2423" spans="1:6" x14ac:dyDescent="0.25">
      <c r="A2423" t="s">
        <v>2692</v>
      </c>
      <c r="B2423" t="s">
        <v>1335</v>
      </c>
      <c r="C2423" t="s">
        <v>14</v>
      </c>
      <c r="D2423">
        <v>4</v>
      </c>
      <c r="E2423" t="s">
        <v>1857</v>
      </c>
      <c r="F2423" t="s">
        <v>2969</v>
      </c>
    </row>
    <row r="2424" spans="1:6" x14ac:dyDescent="0.25">
      <c r="A2424" t="s">
        <v>2692</v>
      </c>
      <c r="B2424" t="s">
        <v>1335</v>
      </c>
      <c r="C2424" t="s">
        <v>14</v>
      </c>
      <c r="D2424">
        <v>5</v>
      </c>
      <c r="E2424" t="s">
        <v>78</v>
      </c>
      <c r="F2424" t="s">
        <v>2969</v>
      </c>
    </row>
    <row r="2425" spans="1:6" x14ac:dyDescent="0.25">
      <c r="A2425" t="s">
        <v>2692</v>
      </c>
      <c r="B2425" t="s">
        <v>1335</v>
      </c>
      <c r="C2425" t="s">
        <v>14</v>
      </c>
      <c r="D2425">
        <v>6</v>
      </c>
      <c r="E2425" t="s">
        <v>1801</v>
      </c>
      <c r="F2425" t="s">
        <v>2969</v>
      </c>
    </row>
    <row r="2426" spans="1:6" x14ac:dyDescent="0.25">
      <c r="A2426" t="s">
        <v>2692</v>
      </c>
      <c r="B2426" t="s">
        <v>1335</v>
      </c>
      <c r="C2426" t="s">
        <v>14</v>
      </c>
      <c r="D2426">
        <v>7</v>
      </c>
      <c r="E2426" t="s">
        <v>64</v>
      </c>
      <c r="F2426" t="s">
        <v>1692</v>
      </c>
    </row>
    <row r="2427" spans="1:6" x14ac:dyDescent="0.25">
      <c r="A2427" t="s">
        <v>2693</v>
      </c>
      <c r="B2427" t="s">
        <v>1336</v>
      </c>
      <c r="C2427" t="s">
        <v>98</v>
      </c>
      <c r="D2427">
        <v>1</v>
      </c>
      <c r="E2427" t="s">
        <v>1809</v>
      </c>
      <c r="F2427" t="s">
        <v>2969</v>
      </c>
    </row>
    <row r="2428" spans="1:6" x14ac:dyDescent="0.25">
      <c r="A2428" t="s">
        <v>2693</v>
      </c>
      <c r="B2428" t="s">
        <v>1336</v>
      </c>
      <c r="C2428" t="s">
        <v>98</v>
      </c>
      <c r="D2428">
        <v>2</v>
      </c>
      <c r="E2428" t="s">
        <v>1785</v>
      </c>
      <c r="F2428" t="s">
        <v>2969</v>
      </c>
    </row>
    <row r="2429" spans="1:6" x14ac:dyDescent="0.25">
      <c r="A2429" t="s">
        <v>2694</v>
      </c>
      <c r="B2429" t="s">
        <v>1337</v>
      </c>
      <c r="C2429" t="s">
        <v>79</v>
      </c>
      <c r="D2429">
        <v>1</v>
      </c>
      <c r="E2429" t="s">
        <v>1639</v>
      </c>
      <c r="F2429" t="s">
        <v>2969</v>
      </c>
    </row>
    <row r="2430" spans="1:6" x14ac:dyDescent="0.25">
      <c r="A2430" t="s">
        <v>2694</v>
      </c>
      <c r="B2430" t="s">
        <v>1337</v>
      </c>
      <c r="C2430" t="s">
        <v>79</v>
      </c>
      <c r="D2430">
        <v>2</v>
      </c>
      <c r="E2430" t="s">
        <v>1629</v>
      </c>
      <c r="F2430" t="s">
        <v>2969</v>
      </c>
    </row>
    <row r="2431" spans="1:6" x14ac:dyDescent="0.25">
      <c r="A2431" t="s">
        <v>2695</v>
      </c>
      <c r="B2431" t="s">
        <v>1338</v>
      </c>
      <c r="C2431" t="s">
        <v>23</v>
      </c>
      <c r="D2431">
        <v>1</v>
      </c>
      <c r="E2431" t="s">
        <v>1826</v>
      </c>
      <c r="F2431" t="s">
        <v>2969</v>
      </c>
    </row>
    <row r="2432" spans="1:6" x14ac:dyDescent="0.25">
      <c r="A2432" t="s">
        <v>2695</v>
      </c>
      <c r="B2432" t="s">
        <v>1338</v>
      </c>
      <c r="C2432" t="s">
        <v>23</v>
      </c>
      <c r="D2432">
        <v>2</v>
      </c>
      <c r="E2432" t="s">
        <v>115</v>
      </c>
      <c r="F2432" t="s">
        <v>2969</v>
      </c>
    </row>
    <row r="2433" spans="1:6" x14ac:dyDescent="0.25">
      <c r="A2433" t="s">
        <v>2695</v>
      </c>
      <c r="B2433" t="s">
        <v>1338</v>
      </c>
      <c r="C2433" t="s">
        <v>23</v>
      </c>
      <c r="D2433">
        <v>3</v>
      </c>
      <c r="E2433" t="s">
        <v>1699</v>
      </c>
      <c r="F2433" t="s">
        <v>2969</v>
      </c>
    </row>
    <row r="2434" spans="1:6" x14ac:dyDescent="0.25">
      <c r="A2434" t="s">
        <v>2695</v>
      </c>
      <c r="B2434" t="s">
        <v>1338</v>
      </c>
      <c r="C2434" t="s">
        <v>23</v>
      </c>
      <c r="D2434">
        <v>4</v>
      </c>
      <c r="E2434" t="s">
        <v>126</v>
      </c>
      <c r="F2434" t="s">
        <v>2969</v>
      </c>
    </row>
    <row r="2435" spans="1:6" x14ac:dyDescent="0.25">
      <c r="A2435" t="s">
        <v>2696</v>
      </c>
      <c r="B2435" t="s">
        <v>1339</v>
      </c>
      <c r="C2435" t="s">
        <v>85</v>
      </c>
      <c r="D2435">
        <v>1</v>
      </c>
      <c r="E2435" t="s">
        <v>1758</v>
      </c>
      <c r="F2435" t="s">
        <v>2969</v>
      </c>
    </row>
    <row r="2436" spans="1:6" x14ac:dyDescent="0.25">
      <c r="A2436" t="s">
        <v>2696</v>
      </c>
      <c r="B2436" t="s">
        <v>1339</v>
      </c>
      <c r="C2436" t="s">
        <v>85</v>
      </c>
      <c r="D2436">
        <v>2</v>
      </c>
      <c r="E2436" t="s">
        <v>124</v>
      </c>
      <c r="F2436" t="s">
        <v>2969</v>
      </c>
    </row>
    <row r="2437" spans="1:6" x14ac:dyDescent="0.25">
      <c r="A2437" t="s">
        <v>2696</v>
      </c>
      <c r="B2437" t="s">
        <v>1339</v>
      </c>
      <c r="C2437" t="s">
        <v>85</v>
      </c>
      <c r="D2437">
        <v>3</v>
      </c>
      <c r="E2437" t="s">
        <v>1728</v>
      </c>
      <c r="F2437" t="s">
        <v>2969</v>
      </c>
    </row>
    <row r="2438" spans="1:6" x14ac:dyDescent="0.25">
      <c r="A2438" t="s">
        <v>2697</v>
      </c>
      <c r="B2438" t="s">
        <v>1340</v>
      </c>
      <c r="C2438" t="s">
        <v>23</v>
      </c>
      <c r="D2438">
        <v>1</v>
      </c>
      <c r="E2438" t="s">
        <v>1797</v>
      </c>
      <c r="F2438" t="s">
        <v>2969</v>
      </c>
    </row>
    <row r="2439" spans="1:6" x14ac:dyDescent="0.25">
      <c r="A2439" t="s">
        <v>2697</v>
      </c>
      <c r="B2439" t="s">
        <v>1340</v>
      </c>
      <c r="C2439" t="s">
        <v>23</v>
      </c>
      <c r="D2439">
        <v>2</v>
      </c>
      <c r="E2439" t="s">
        <v>1632</v>
      </c>
      <c r="F2439" t="s">
        <v>2969</v>
      </c>
    </row>
    <row r="2440" spans="1:6" x14ac:dyDescent="0.25">
      <c r="A2440" t="s">
        <v>2697</v>
      </c>
      <c r="B2440" t="s">
        <v>1340</v>
      </c>
      <c r="C2440" t="s">
        <v>23</v>
      </c>
      <c r="D2440">
        <v>3</v>
      </c>
      <c r="E2440" t="s">
        <v>126</v>
      </c>
      <c r="F2440" t="s">
        <v>2969</v>
      </c>
    </row>
    <row r="2441" spans="1:6" x14ac:dyDescent="0.25">
      <c r="A2441" t="s">
        <v>2697</v>
      </c>
      <c r="B2441" t="s">
        <v>1340</v>
      </c>
      <c r="C2441" t="s">
        <v>23</v>
      </c>
      <c r="D2441">
        <v>4</v>
      </c>
      <c r="E2441" t="s">
        <v>1663</v>
      </c>
      <c r="F2441" t="s">
        <v>2969</v>
      </c>
    </row>
    <row r="2442" spans="1:6" x14ac:dyDescent="0.25">
      <c r="A2442" t="s">
        <v>2698</v>
      </c>
      <c r="B2442" t="s">
        <v>1341</v>
      </c>
      <c r="C2442" t="s">
        <v>134</v>
      </c>
      <c r="D2442">
        <v>1</v>
      </c>
      <c r="E2442" t="s">
        <v>70</v>
      </c>
      <c r="F2442" t="s">
        <v>2969</v>
      </c>
    </row>
    <row r="2443" spans="1:6" x14ac:dyDescent="0.25">
      <c r="A2443" t="s">
        <v>2698</v>
      </c>
      <c r="B2443" t="s">
        <v>1341</v>
      </c>
      <c r="C2443" t="s">
        <v>134</v>
      </c>
      <c r="D2443">
        <v>2</v>
      </c>
      <c r="E2443" t="s">
        <v>1685</v>
      </c>
      <c r="F2443" t="s">
        <v>2969</v>
      </c>
    </row>
    <row r="2444" spans="1:6" x14ac:dyDescent="0.25">
      <c r="A2444" t="s">
        <v>2698</v>
      </c>
      <c r="B2444" t="s">
        <v>1341</v>
      </c>
      <c r="C2444" t="s">
        <v>134</v>
      </c>
      <c r="D2444">
        <v>3</v>
      </c>
      <c r="E2444" t="s">
        <v>1691</v>
      </c>
      <c r="F2444" t="s">
        <v>2969</v>
      </c>
    </row>
    <row r="2445" spans="1:6" x14ac:dyDescent="0.25">
      <c r="A2445" t="s">
        <v>2698</v>
      </c>
      <c r="B2445" t="s">
        <v>1341</v>
      </c>
      <c r="C2445" t="s">
        <v>134</v>
      </c>
      <c r="D2445">
        <v>4</v>
      </c>
      <c r="E2445" t="s">
        <v>1789</v>
      </c>
      <c r="F2445" t="s">
        <v>2969</v>
      </c>
    </row>
    <row r="2446" spans="1:6" x14ac:dyDescent="0.25">
      <c r="A2446" t="s">
        <v>2699</v>
      </c>
      <c r="B2446" t="s">
        <v>1342</v>
      </c>
      <c r="C2446" t="s">
        <v>65</v>
      </c>
      <c r="D2446">
        <v>1</v>
      </c>
      <c r="E2446" t="s">
        <v>1629</v>
      </c>
      <c r="F2446" t="s">
        <v>2969</v>
      </c>
    </row>
    <row r="2447" spans="1:6" x14ac:dyDescent="0.25">
      <c r="A2447" t="s">
        <v>2699</v>
      </c>
      <c r="B2447" t="s">
        <v>1342</v>
      </c>
      <c r="C2447" t="s">
        <v>65</v>
      </c>
      <c r="D2447">
        <v>2</v>
      </c>
      <c r="E2447" t="s">
        <v>1960</v>
      </c>
      <c r="F2447" t="s">
        <v>2969</v>
      </c>
    </row>
    <row r="2448" spans="1:6" x14ac:dyDescent="0.25">
      <c r="A2448" t="s">
        <v>2699</v>
      </c>
      <c r="B2448" t="s">
        <v>1342</v>
      </c>
      <c r="C2448" t="s">
        <v>65</v>
      </c>
      <c r="D2448">
        <v>3</v>
      </c>
      <c r="E2448" t="s">
        <v>1934</v>
      </c>
      <c r="F2448" t="s">
        <v>2969</v>
      </c>
    </row>
    <row r="2449" spans="1:6" x14ac:dyDescent="0.25">
      <c r="A2449" t="s">
        <v>2700</v>
      </c>
      <c r="B2449" t="s">
        <v>1343</v>
      </c>
      <c r="C2449" t="s">
        <v>123</v>
      </c>
      <c r="D2449">
        <v>1</v>
      </c>
      <c r="E2449" t="s">
        <v>1667</v>
      </c>
      <c r="F2449" t="s">
        <v>2969</v>
      </c>
    </row>
    <row r="2450" spans="1:6" x14ac:dyDescent="0.25">
      <c r="A2450" t="s">
        <v>2700</v>
      </c>
      <c r="B2450" t="s">
        <v>1343</v>
      </c>
      <c r="C2450" t="s">
        <v>123</v>
      </c>
      <c r="D2450">
        <v>2</v>
      </c>
      <c r="E2450" t="s">
        <v>1857</v>
      </c>
      <c r="F2450" t="s">
        <v>2969</v>
      </c>
    </row>
    <row r="2451" spans="1:6" x14ac:dyDescent="0.25">
      <c r="A2451" t="s">
        <v>2700</v>
      </c>
      <c r="B2451" t="s">
        <v>1343</v>
      </c>
      <c r="C2451" t="s">
        <v>123</v>
      </c>
      <c r="D2451">
        <v>3</v>
      </c>
      <c r="E2451" t="s">
        <v>1657</v>
      </c>
      <c r="F2451" t="s">
        <v>2969</v>
      </c>
    </row>
    <row r="2452" spans="1:6" x14ac:dyDescent="0.25">
      <c r="A2452" t="s">
        <v>2701</v>
      </c>
      <c r="B2452" t="s">
        <v>1344</v>
      </c>
      <c r="C2452" t="s">
        <v>83</v>
      </c>
      <c r="D2452">
        <v>1</v>
      </c>
      <c r="E2452" t="s">
        <v>1951</v>
      </c>
      <c r="F2452" t="s">
        <v>2969</v>
      </c>
    </row>
    <row r="2453" spans="1:6" x14ac:dyDescent="0.25">
      <c r="A2453" t="s">
        <v>2702</v>
      </c>
      <c r="B2453" t="s">
        <v>1345</v>
      </c>
      <c r="C2453" t="s">
        <v>43</v>
      </c>
      <c r="D2453">
        <v>1</v>
      </c>
      <c r="E2453" t="s">
        <v>1651</v>
      </c>
      <c r="F2453" t="s">
        <v>2969</v>
      </c>
    </row>
    <row r="2454" spans="1:6" x14ac:dyDescent="0.25">
      <c r="A2454" t="s">
        <v>2702</v>
      </c>
      <c r="B2454" t="s">
        <v>1345</v>
      </c>
      <c r="C2454" t="s">
        <v>43</v>
      </c>
      <c r="D2454">
        <v>2</v>
      </c>
      <c r="E2454" t="s">
        <v>2470</v>
      </c>
      <c r="F2454" t="s">
        <v>2969</v>
      </c>
    </row>
    <row r="2455" spans="1:6" x14ac:dyDescent="0.25">
      <c r="A2455" t="s">
        <v>2702</v>
      </c>
      <c r="B2455" t="s">
        <v>1345</v>
      </c>
      <c r="C2455" t="s">
        <v>43</v>
      </c>
      <c r="D2455">
        <v>3</v>
      </c>
      <c r="E2455" t="s">
        <v>1695</v>
      </c>
      <c r="F2455" t="s">
        <v>2969</v>
      </c>
    </row>
    <row r="2456" spans="1:6" x14ac:dyDescent="0.25">
      <c r="A2456" t="s">
        <v>2703</v>
      </c>
      <c r="B2456" t="s">
        <v>1346</v>
      </c>
      <c r="C2456" t="s">
        <v>52</v>
      </c>
      <c r="D2456">
        <v>1</v>
      </c>
      <c r="E2456" t="s">
        <v>135</v>
      </c>
      <c r="F2456" t="s">
        <v>2969</v>
      </c>
    </row>
    <row r="2457" spans="1:6" x14ac:dyDescent="0.25">
      <c r="A2457" t="s">
        <v>2704</v>
      </c>
      <c r="B2457" t="s">
        <v>1347</v>
      </c>
      <c r="C2457" t="s">
        <v>69</v>
      </c>
      <c r="D2457">
        <v>1</v>
      </c>
      <c r="E2457" t="s">
        <v>1822</v>
      </c>
      <c r="F2457" t="s">
        <v>2969</v>
      </c>
    </row>
    <row r="2458" spans="1:6" x14ac:dyDescent="0.25">
      <c r="A2458" t="s">
        <v>2704</v>
      </c>
      <c r="B2458" t="s">
        <v>1347</v>
      </c>
      <c r="C2458" t="s">
        <v>69</v>
      </c>
      <c r="D2458">
        <v>2</v>
      </c>
      <c r="E2458" t="s">
        <v>1637</v>
      </c>
      <c r="F2458" t="s">
        <v>2969</v>
      </c>
    </row>
    <row r="2459" spans="1:6" x14ac:dyDescent="0.25">
      <c r="A2459" t="s">
        <v>2705</v>
      </c>
      <c r="B2459" t="s">
        <v>1348</v>
      </c>
      <c r="C2459" t="s">
        <v>39</v>
      </c>
      <c r="D2459">
        <v>1</v>
      </c>
      <c r="E2459" t="s">
        <v>1826</v>
      </c>
      <c r="F2459" t="s">
        <v>2969</v>
      </c>
    </row>
    <row r="2460" spans="1:6" x14ac:dyDescent="0.25">
      <c r="A2460" t="s">
        <v>2705</v>
      </c>
      <c r="B2460" t="s">
        <v>1348</v>
      </c>
      <c r="C2460" t="s">
        <v>39</v>
      </c>
      <c r="D2460">
        <v>2</v>
      </c>
      <c r="E2460" t="s">
        <v>1896</v>
      </c>
      <c r="F2460" t="s">
        <v>2969</v>
      </c>
    </row>
    <row r="2461" spans="1:6" x14ac:dyDescent="0.25">
      <c r="A2461" t="s">
        <v>2705</v>
      </c>
      <c r="B2461" t="s">
        <v>1348</v>
      </c>
      <c r="C2461" t="s">
        <v>39</v>
      </c>
      <c r="D2461">
        <v>3</v>
      </c>
      <c r="E2461" t="s">
        <v>1795</v>
      </c>
      <c r="F2461" t="s">
        <v>2969</v>
      </c>
    </row>
    <row r="2462" spans="1:6" x14ac:dyDescent="0.25">
      <c r="A2462" t="s">
        <v>2705</v>
      </c>
      <c r="B2462" t="s">
        <v>1348</v>
      </c>
      <c r="C2462" t="s">
        <v>39</v>
      </c>
      <c r="D2462">
        <v>4</v>
      </c>
      <c r="E2462" t="s">
        <v>1731</v>
      </c>
      <c r="F2462" t="s">
        <v>2969</v>
      </c>
    </row>
    <row r="2463" spans="1:6" x14ac:dyDescent="0.25">
      <c r="A2463" t="s">
        <v>2705</v>
      </c>
      <c r="B2463" t="s">
        <v>1348</v>
      </c>
      <c r="C2463" t="s">
        <v>39</v>
      </c>
      <c r="D2463">
        <v>5</v>
      </c>
      <c r="E2463" t="s">
        <v>120</v>
      </c>
      <c r="F2463" t="s">
        <v>2969</v>
      </c>
    </row>
    <row r="2464" spans="1:6" x14ac:dyDescent="0.25">
      <c r="A2464" t="s">
        <v>2705</v>
      </c>
      <c r="B2464" t="s">
        <v>1348</v>
      </c>
      <c r="C2464" t="s">
        <v>39</v>
      </c>
      <c r="D2464">
        <v>6</v>
      </c>
      <c r="E2464" t="s">
        <v>1833</v>
      </c>
      <c r="F2464" t="s">
        <v>2969</v>
      </c>
    </row>
    <row r="2465" spans="1:6" x14ac:dyDescent="0.25">
      <c r="A2465" t="s">
        <v>2705</v>
      </c>
      <c r="B2465" t="s">
        <v>1348</v>
      </c>
      <c r="C2465" t="s">
        <v>39</v>
      </c>
      <c r="D2465">
        <v>7</v>
      </c>
      <c r="E2465" t="s">
        <v>1627</v>
      </c>
      <c r="F2465" t="s">
        <v>1692</v>
      </c>
    </row>
    <row r="2466" spans="1:6" x14ac:dyDescent="0.25">
      <c r="A2466" t="s">
        <v>2706</v>
      </c>
      <c r="B2466" t="s">
        <v>1349</v>
      </c>
      <c r="C2466" t="s">
        <v>43</v>
      </c>
      <c r="D2466">
        <v>1</v>
      </c>
      <c r="E2466" t="s">
        <v>1701</v>
      </c>
      <c r="F2466" t="s">
        <v>2969</v>
      </c>
    </row>
    <row r="2467" spans="1:6" x14ac:dyDescent="0.25">
      <c r="A2467" t="s">
        <v>2707</v>
      </c>
      <c r="B2467" t="s">
        <v>1350</v>
      </c>
      <c r="C2467" t="s">
        <v>27</v>
      </c>
      <c r="D2467">
        <v>1</v>
      </c>
      <c r="E2467" t="s">
        <v>1695</v>
      </c>
      <c r="F2467" t="s">
        <v>2969</v>
      </c>
    </row>
    <row r="2468" spans="1:6" x14ac:dyDescent="0.25">
      <c r="A2468" t="s">
        <v>2707</v>
      </c>
      <c r="B2468" t="s">
        <v>1350</v>
      </c>
      <c r="C2468" t="s">
        <v>27</v>
      </c>
      <c r="D2468">
        <v>2</v>
      </c>
      <c r="E2468" t="s">
        <v>2217</v>
      </c>
      <c r="F2468" t="s">
        <v>2969</v>
      </c>
    </row>
    <row r="2469" spans="1:6" x14ac:dyDescent="0.25">
      <c r="A2469" t="s">
        <v>2708</v>
      </c>
      <c r="B2469" t="s">
        <v>1351</v>
      </c>
      <c r="C2469" t="s">
        <v>43</v>
      </c>
      <c r="D2469">
        <v>1</v>
      </c>
      <c r="E2469" t="s">
        <v>1651</v>
      </c>
      <c r="F2469" t="s">
        <v>2969</v>
      </c>
    </row>
    <row r="2470" spans="1:6" x14ac:dyDescent="0.25">
      <c r="A2470" t="s">
        <v>2708</v>
      </c>
      <c r="B2470" t="s">
        <v>1351</v>
      </c>
      <c r="C2470" t="s">
        <v>43</v>
      </c>
      <c r="D2470">
        <v>2</v>
      </c>
      <c r="E2470" t="s">
        <v>1724</v>
      </c>
      <c r="F2470" t="s">
        <v>2969</v>
      </c>
    </row>
    <row r="2471" spans="1:6" x14ac:dyDescent="0.25">
      <c r="A2471" t="s">
        <v>2708</v>
      </c>
      <c r="B2471" t="s">
        <v>1351</v>
      </c>
      <c r="C2471" t="s">
        <v>43</v>
      </c>
      <c r="D2471">
        <v>3</v>
      </c>
      <c r="E2471" t="s">
        <v>2470</v>
      </c>
      <c r="F2471" t="s">
        <v>2969</v>
      </c>
    </row>
    <row r="2472" spans="1:6" x14ac:dyDescent="0.25">
      <c r="A2472" t="s">
        <v>2709</v>
      </c>
      <c r="B2472" t="s">
        <v>1352</v>
      </c>
      <c r="C2472" t="s">
        <v>85</v>
      </c>
      <c r="D2472">
        <v>1</v>
      </c>
      <c r="E2472" t="s">
        <v>1721</v>
      </c>
      <c r="F2472" t="s">
        <v>2969</v>
      </c>
    </row>
    <row r="2473" spans="1:6" x14ac:dyDescent="0.25">
      <c r="A2473" t="s">
        <v>2710</v>
      </c>
      <c r="B2473" t="s">
        <v>1353</v>
      </c>
      <c r="C2473" t="s">
        <v>23</v>
      </c>
      <c r="D2473">
        <v>1</v>
      </c>
      <c r="E2473" t="s">
        <v>115</v>
      </c>
      <c r="F2473" t="s">
        <v>2969</v>
      </c>
    </row>
    <row r="2474" spans="1:6" x14ac:dyDescent="0.25">
      <c r="A2474" t="s">
        <v>2710</v>
      </c>
      <c r="B2474" t="s">
        <v>1353</v>
      </c>
      <c r="C2474" t="s">
        <v>23</v>
      </c>
      <c r="D2474">
        <v>2</v>
      </c>
      <c r="E2474" t="s">
        <v>2611</v>
      </c>
      <c r="F2474" t="s">
        <v>2969</v>
      </c>
    </row>
    <row r="2475" spans="1:6" x14ac:dyDescent="0.25">
      <c r="A2475" t="s">
        <v>2710</v>
      </c>
      <c r="B2475" t="s">
        <v>1353</v>
      </c>
      <c r="C2475" t="s">
        <v>23</v>
      </c>
      <c r="D2475">
        <v>3</v>
      </c>
      <c r="E2475" t="s">
        <v>1931</v>
      </c>
      <c r="F2475" t="s">
        <v>2969</v>
      </c>
    </row>
    <row r="2476" spans="1:6" x14ac:dyDescent="0.25">
      <c r="A2476" t="s">
        <v>2710</v>
      </c>
      <c r="B2476" t="s">
        <v>1353</v>
      </c>
      <c r="C2476" t="s">
        <v>23</v>
      </c>
      <c r="D2476">
        <v>4</v>
      </c>
      <c r="E2476" t="s">
        <v>22</v>
      </c>
      <c r="F2476" t="s">
        <v>2969</v>
      </c>
    </row>
    <row r="2477" spans="1:6" x14ac:dyDescent="0.25">
      <c r="A2477" t="s">
        <v>2711</v>
      </c>
      <c r="B2477" t="s">
        <v>1354</v>
      </c>
      <c r="C2477" t="s">
        <v>31</v>
      </c>
      <c r="D2477">
        <v>1</v>
      </c>
      <c r="E2477" t="s">
        <v>1809</v>
      </c>
      <c r="F2477" t="s">
        <v>2969</v>
      </c>
    </row>
    <row r="2478" spans="1:6" x14ac:dyDescent="0.25">
      <c r="A2478" t="s">
        <v>2712</v>
      </c>
      <c r="B2478" t="s">
        <v>1355</v>
      </c>
      <c r="C2478" t="s">
        <v>100</v>
      </c>
      <c r="D2478">
        <v>1</v>
      </c>
      <c r="E2478" t="s">
        <v>1645</v>
      </c>
      <c r="F2478" t="s">
        <v>2969</v>
      </c>
    </row>
    <row r="2479" spans="1:6" x14ac:dyDescent="0.25">
      <c r="A2479" t="s">
        <v>2712</v>
      </c>
      <c r="B2479" t="s">
        <v>1355</v>
      </c>
      <c r="C2479" t="s">
        <v>100</v>
      </c>
      <c r="D2479">
        <v>2</v>
      </c>
      <c r="E2479" t="s">
        <v>1634</v>
      </c>
      <c r="F2479" t="s">
        <v>2969</v>
      </c>
    </row>
    <row r="2480" spans="1:6" x14ac:dyDescent="0.25">
      <c r="A2480" t="s">
        <v>2712</v>
      </c>
      <c r="B2480" t="s">
        <v>1355</v>
      </c>
      <c r="C2480" t="s">
        <v>100</v>
      </c>
      <c r="D2480">
        <v>3</v>
      </c>
      <c r="E2480" t="s">
        <v>1917</v>
      </c>
      <c r="F2480" t="s">
        <v>2969</v>
      </c>
    </row>
    <row r="2481" spans="1:6" x14ac:dyDescent="0.25">
      <c r="A2481" t="s">
        <v>2713</v>
      </c>
      <c r="B2481" t="s">
        <v>1356</v>
      </c>
      <c r="C2481" t="s">
        <v>101</v>
      </c>
      <c r="D2481">
        <v>1</v>
      </c>
      <c r="E2481" t="s">
        <v>1632</v>
      </c>
      <c r="F2481" t="s">
        <v>2969</v>
      </c>
    </row>
    <row r="2482" spans="1:6" x14ac:dyDescent="0.25">
      <c r="A2482" t="s">
        <v>2713</v>
      </c>
      <c r="B2482" t="s">
        <v>1356</v>
      </c>
      <c r="C2482" t="s">
        <v>101</v>
      </c>
      <c r="D2482">
        <v>2</v>
      </c>
      <c r="E2482" t="s">
        <v>55</v>
      </c>
      <c r="F2482" t="s">
        <v>2969</v>
      </c>
    </row>
    <row r="2483" spans="1:6" x14ac:dyDescent="0.25">
      <c r="A2483" t="s">
        <v>2713</v>
      </c>
      <c r="B2483" t="s">
        <v>1356</v>
      </c>
      <c r="C2483" t="s">
        <v>101</v>
      </c>
      <c r="D2483">
        <v>3</v>
      </c>
      <c r="E2483" t="s">
        <v>22</v>
      </c>
      <c r="F2483" t="s">
        <v>2969</v>
      </c>
    </row>
    <row r="2484" spans="1:6" x14ac:dyDescent="0.25">
      <c r="A2484" t="s">
        <v>2714</v>
      </c>
      <c r="B2484" t="s">
        <v>1357</v>
      </c>
      <c r="C2484" t="s">
        <v>79</v>
      </c>
      <c r="D2484">
        <v>1</v>
      </c>
      <c r="E2484" t="s">
        <v>1709</v>
      </c>
      <c r="F2484" t="s">
        <v>2969</v>
      </c>
    </row>
    <row r="2485" spans="1:6" x14ac:dyDescent="0.25">
      <c r="A2485" t="s">
        <v>2714</v>
      </c>
      <c r="B2485" t="s">
        <v>1357</v>
      </c>
      <c r="C2485" t="s">
        <v>79</v>
      </c>
      <c r="D2485">
        <v>2</v>
      </c>
      <c r="E2485" t="s">
        <v>1711</v>
      </c>
      <c r="F2485" t="s">
        <v>2969</v>
      </c>
    </row>
    <row r="2486" spans="1:6" x14ac:dyDescent="0.25">
      <c r="A2486" t="s">
        <v>2714</v>
      </c>
      <c r="B2486" t="s">
        <v>1357</v>
      </c>
      <c r="C2486" t="s">
        <v>79</v>
      </c>
      <c r="D2486">
        <v>3</v>
      </c>
      <c r="E2486" t="s">
        <v>48</v>
      </c>
      <c r="F2486" t="s">
        <v>2969</v>
      </c>
    </row>
    <row r="2487" spans="1:6" x14ac:dyDescent="0.25">
      <c r="A2487" t="s">
        <v>2715</v>
      </c>
      <c r="B2487" t="s">
        <v>1358</v>
      </c>
      <c r="C2487" t="s">
        <v>113</v>
      </c>
      <c r="D2487">
        <v>1</v>
      </c>
      <c r="E2487" t="s">
        <v>2111</v>
      </c>
      <c r="F2487" t="s">
        <v>2969</v>
      </c>
    </row>
    <row r="2488" spans="1:6" x14ac:dyDescent="0.25">
      <c r="A2488" t="s">
        <v>2715</v>
      </c>
      <c r="B2488" t="s">
        <v>1358</v>
      </c>
      <c r="C2488" t="s">
        <v>113</v>
      </c>
      <c r="D2488">
        <v>2</v>
      </c>
      <c r="E2488" t="s">
        <v>1908</v>
      </c>
      <c r="F2488" t="s">
        <v>2969</v>
      </c>
    </row>
    <row r="2489" spans="1:6" x14ac:dyDescent="0.25">
      <c r="A2489" t="s">
        <v>2715</v>
      </c>
      <c r="B2489" t="s">
        <v>1358</v>
      </c>
      <c r="C2489" t="s">
        <v>113</v>
      </c>
      <c r="D2489">
        <v>3</v>
      </c>
      <c r="E2489" t="s">
        <v>45</v>
      </c>
      <c r="F2489" t="s">
        <v>2969</v>
      </c>
    </row>
    <row r="2490" spans="1:6" x14ac:dyDescent="0.25">
      <c r="A2490" t="s">
        <v>2716</v>
      </c>
      <c r="B2490" t="s">
        <v>1359</v>
      </c>
      <c r="C2490" t="s">
        <v>136</v>
      </c>
      <c r="D2490">
        <v>1</v>
      </c>
      <c r="E2490" t="s">
        <v>91</v>
      </c>
      <c r="F2490" t="s">
        <v>2969</v>
      </c>
    </row>
    <row r="2491" spans="1:6" x14ac:dyDescent="0.25">
      <c r="A2491" t="s">
        <v>2716</v>
      </c>
      <c r="B2491" t="s">
        <v>1359</v>
      </c>
      <c r="C2491" t="s">
        <v>136</v>
      </c>
      <c r="D2491">
        <v>2</v>
      </c>
      <c r="E2491" t="s">
        <v>1741</v>
      </c>
      <c r="F2491" t="s">
        <v>2969</v>
      </c>
    </row>
    <row r="2492" spans="1:6" x14ac:dyDescent="0.25">
      <c r="A2492" t="s">
        <v>2716</v>
      </c>
      <c r="B2492" t="s">
        <v>1359</v>
      </c>
      <c r="C2492" t="s">
        <v>136</v>
      </c>
      <c r="D2492">
        <v>3</v>
      </c>
      <c r="E2492" t="s">
        <v>1728</v>
      </c>
      <c r="F2492" t="s">
        <v>2969</v>
      </c>
    </row>
    <row r="2493" spans="1:6" x14ac:dyDescent="0.25">
      <c r="A2493" t="s">
        <v>2716</v>
      </c>
      <c r="B2493" t="s">
        <v>1359</v>
      </c>
      <c r="C2493" t="s">
        <v>136</v>
      </c>
      <c r="D2493">
        <v>4</v>
      </c>
      <c r="E2493" t="s">
        <v>68</v>
      </c>
      <c r="F2493" t="s">
        <v>2969</v>
      </c>
    </row>
    <row r="2494" spans="1:6" x14ac:dyDescent="0.25">
      <c r="A2494" t="s">
        <v>2717</v>
      </c>
      <c r="B2494" t="s">
        <v>1360</v>
      </c>
      <c r="C2494" t="s">
        <v>14</v>
      </c>
      <c r="D2494">
        <v>1</v>
      </c>
      <c r="E2494" t="s">
        <v>86</v>
      </c>
      <c r="F2494" t="s">
        <v>2969</v>
      </c>
    </row>
    <row r="2495" spans="1:6" x14ac:dyDescent="0.25">
      <c r="A2495" t="s">
        <v>2717</v>
      </c>
      <c r="B2495" t="s">
        <v>1360</v>
      </c>
      <c r="C2495" t="s">
        <v>14</v>
      </c>
      <c r="D2495">
        <v>2</v>
      </c>
      <c r="E2495" t="s">
        <v>1655</v>
      </c>
      <c r="F2495" t="s">
        <v>2969</v>
      </c>
    </row>
    <row r="2496" spans="1:6" x14ac:dyDescent="0.25">
      <c r="A2496" t="s">
        <v>2717</v>
      </c>
      <c r="B2496" t="s">
        <v>1360</v>
      </c>
      <c r="C2496" t="s">
        <v>14</v>
      </c>
      <c r="D2496">
        <v>3</v>
      </c>
      <c r="E2496" t="s">
        <v>91</v>
      </c>
      <c r="F2496" t="s">
        <v>2969</v>
      </c>
    </row>
    <row r="2497" spans="1:6" x14ac:dyDescent="0.25">
      <c r="A2497" t="s">
        <v>2718</v>
      </c>
      <c r="B2497" t="s">
        <v>1361</v>
      </c>
      <c r="C2497" t="s">
        <v>85</v>
      </c>
      <c r="D2497">
        <v>1</v>
      </c>
      <c r="E2497" t="s">
        <v>1719</v>
      </c>
      <c r="F2497" t="s">
        <v>2969</v>
      </c>
    </row>
    <row r="2498" spans="1:6" x14ac:dyDescent="0.25">
      <c r="A2498" t="s">
        <v>2719</v>
      </c>
      <c r="B2498" t="s">
        <v>1362</v>
      </c>
      <c r="C2498" t="s">
        <v>83</v>
      </c>
      <c r="D2498">
        <v>1</v>
      </c>
      <c r="E2498" t="s">
        <v>1713</v>
      </c>
      <c r="F2498" t="s">
        <v>2969</v>
      </c>
    </row>
    <row r="2499" spans="1:6" x14ac:dyDescent="0.25">
      <c r="A2499" t="s">
        <v>2719</v>
      </c>
      <c r="B2499" t="s">
        <v>1362</v>
      </c>
      <c r="C2499" t="s">
        <v>83</v>
      </c>
      <c r="D2499">
        <v>2</v>
      </c>
      <c r="E2499" t="s">
        <v>1701</v>
      </c>
      <c r="F2499" t="s">
        <v>2969</v>
      </c>
    </row>
    <row r="2500" spans="1:6" x14ac:dyDescent="0.25">
      <c r="A2500" t="s">
        <v>2719</v>
      </c>
      <c r="B2500" t="s">
        <v>1362</v>
      </c>
      <c r="C2500" t="s">
        <v>83</v>
      </c>
      <c r="D2500">
        <v>3</v>
      </c>
      <c r="E2500" t="s">
        <v>30</v>
      </c>
      <c r="F2500" t="s">
        <v>2969</v>
      </c>
    </row>
    <row r="2501" spans="1:6" x14ac:dyDescent="0.25">
      <c r="A2501" t="s">
        <v>2719</v>
      </c>
      <c r="B2501" t="s">
        <v>1362</v>
      </c>
      <c r="C2501" t="s">
        <v>83</v>
      </c>
      <c r="D2501">
        <v>4</v>
      </c>
      <c r="E2501" t="s">
        <v>1651</v>
      </c>
      <c r="F2501" t="s">
        <v>2969</v>
      </c>
    </row>
    <row r="2502" spans="1:6" x14ac:dyDescent="0.25">
      <c r="A2502" t="s">
        <v>2720</v>
      </c>
      <c r="B2502" t="s">
        <v>1363</v>
      </c>
      <c r="C2502" t="s">
        <v>112</v>
      </c>
      <c r="D2502">
        <v>1</v>
      </c>
      <c r="E2502" t="s">
        <v>109</v>
      </c>
      <c r="F2502" t="s">
        <v>2969</v>
      </c>
    </row>
    <row r="2503" spans="1:6" x14ac:dyDescent="0.25">
      <c r="A2503" t="s">
        <v>2720</v>
      </c>
      <c r="B2503" t="s">
        <v>1363</v>
      </c>
      <c r="C2503" t="s">
        <v>112</v>
      </c>
      <c r="D2503">
        <v>2</v>
      </c>
      <c r="E2503" t="s">
        <v>1785</v>
      </c>
      <c r="F2503" t="s">
        <v>2969</v>
      </c>
    </row>
    <row r="2504" spans="1:6" x14ac:dyDescent="0.25">
      <c r="A2504" t="s">
        <v>2721</v>
      </c>
      <c r="B2504" t="s">
        <v>1364</v>
      </c>
      <c r="C2504" t="s">
        <v>49</v>
      </c>
      <c r="D2504">
        <v>1</v>
      </c>
      <c r="E2504" t="s">
        <v>1629</v>
      </c>
      <c r="F2504" t="s">
        <v>2969</v>
      </c>
    </row>
    <row r="2505" spans="1:6" x14ac:dyDescent="0.25">
      <c r="A2505" t="s">
        <v>2722</v>
      </c>
      <c r="B2505" t="s">
        <v>1365</v>
      </c>
      <c r="C2505" t="s">
        <v>123</v>
      </c>
      <c r="D2505">
        <v>1</v>
      </c>
      <c r="E2505" t="s">
        <v>1728</v>
      </c>
      <c r="F2505" t="s">
        <v>2969</v>
      </c>
    </row>
    <row r="2506" spans="1:6" x14ac:dyDescent="0.25">
      <c r="A2506" t="s">
        <v>2722</v>
      </c>
      <c r="B2506" t="s">
        <v>1365</v>
      </c>
      <c r="C2506" t="s">
        <v>123</v>
      </c>
      <c r="D2506">
        <v>2</v>
      </c>
      <c r="E2506" t="s">
        <v>1812</v>
      </c>
      <c r="F2506" t="s">
        <v>2969</v>
      </c>
    </row>
    <row r="2507" spans="1:6" x14ac:dyDescent="0.25">
      <c r="A2507" t="s">
        <v>2722</v>
      </c>
      <c r="B2507" t="s">
        <v>1365</v>
      </c>
      <c r="C2507" t="s">
        <v>123</v>
      </c>
      <c r="D2507">
        <v>3</v>
      </c>
      <c r="E2507" t="s">
        <v>1726</v>
      </c>
      <c r="F2507" t="s">
        <v>2969</v>
      </c>
    </row>
    <row r="2508" spans="1:6" x14ac:dyDescent="0.25">
      <c r="A2508" t="s">
        <v>2722</v>
      </c>
      <c r="B2508" t="s">
        <v>1365</v>
      </c>
      <c r="C2508" t="s">
        <v>123</v>
      </c>
      <c r="D2508">
        <v>4</v>
      </c>
      <c r="E2508" t="s">
        <v>1645</v>
      </c>
      <c r="F2508" t="s">
        <v>2969</v>
      </c>
    </row>
    <row r="2509" spans="1:6" x14ac:dyDescent="0.25">
      <c r="A2509" t="s">
        <v>2723</v>
      </c>
      <c r="B2509" t="s">
        <v>1366</v>
      </c>
      <c r="C2509" t="s">
        <v>52</v>
      </c>
      <c r="D2509">
        <v>1</v>
      </c>
      <c r="E2509" t="s">
        <v>1824</v>
      </c>
      <c r="F2509" t="s">
        <v>2969</v>
      </c>
    </row>
    <row r="2510" spans="1:6" x14ac:dyDescent="0.25">
      <c r="A2510" t="s">
        <v>2723</v>
      </c>
      <c r="B2510" t="s">
        <v>1366</v>
      </c>
      <c r="C2510" t="s">
        <v>52</v>
      </c>
      <c r="D2510">
        <v>2</v>
      </c>
      <c r="E2510" t="s">
        <v>1689</v>
      </c>
      <c r="F2510" t="s">
        <v>2969</v>
      </c>
    </row>
    <row r="2511" spans="1:6" x14ac:dyDescent="0.25">
      <c r="A2511" t="s">
        <v>2723</v>
      </c>
      <c r="B2511" t="s">
        <v>1366</v>
      </c>
      <c r="C2511" t="s">
        <v>52</v>
      </c>
      <c r="D2511">
        <v>3</v>
      </c>
      <c r="E2511" t="s">
        <v>1697</v>
      </c>
      <c r="F2511" t="s">
        <v>2969</v>
      </c>
    </row>
    <row r="2512" spans="1:6" x14ac:dyDescent="0.25">
      <c r="A2512" t="s">
        <v>2724</v>
      </c>
      <c r="B2512" t="s">
        <v>1367</v>
      </c>
      <c r="C2512" t="s">
        <v>116</v>
      </c>
      <c r="D2512">
        <v>1</v>
      </c>
      <c r="E2512" t="s">
        <v>99</v>
      </c>
      <c r="F2512" t="s">
        <v>2969</v>
      </c>
    </row>
    <row r="2513" spans="1:6" x14ac:dyDescent="0.25">
      <c r="A2513" t="s">
        <v>2724</v>
      </c>
      <c r="B2513" t="s">
        <v>1367</v>
      </c>
      <c r="C2513" t="s">
        <v>116</v>
      </c>
      <c r="D2513">
        <v>2</v>
      </c>
      <c r="E2513" t="s">
        <v>72</v>
      </c>
      <c r="F2513" t="s">
        <v>2969</v>
      </c>
    </row>
    <row r="2514" spans="1:6" x14ac:dyDescent="0.25">
      <c r="A2514" t="s">
        <v>2725</v>
      </c>
      <c r="B2514" t="s">
        <v>1368</v>
      </c>
      <c r="C2514" t="s">
        <v>60</v>
      </c>
      <c r="D2514">
        <v>1</v>
      </c>
      <c r="E2514" t="s">
        <v>1634</v>
      </c>
      <c r="F2514" t="s">
        <v>2969</v>
      </c>
    </row>
    <row r="2515" spans="1:6" x14ac:dyDescent="0.25">
      <c r="A2515" t="s">
        <v>2725</v>
      </c>
      <c r="B2515" t="s">
        <v>1368</v>
      </c>
      <c r="C2515" t="s">
        <v>60</v>
      </c>
      <c r="D2515">
        <v>2</v>
      </c>
      <c r="E2515" t="s">
        <v>1953</v>
      </c>
      <c r="F2515" t="s">
        <v>2969</v>
      </c>
    </row>
    <row r="2516" spans="1:6" x14ac:dyDescent="0.25">
      <c r="A2516" t="s">
        <v>2725</v>
      </c>
      <c r="B2516" t="s">
        <v>1368</v>
      </c>
      <c r="C2516" t="s">
        <v>60</v>
      </c>
      <c r="D2516">
        <v>3</v>
      </c>
      <c r="E2516" t="s">
        <v>1960</v>
      </c>
      <c r="F2516" t="s">
        <v>2969</v>
      </c>
    </row>
    <row r="2517" spans="1:6" x14ac:dyDescent="0.25">
      <c r="A2517" t="s">
        <v>2726</v>
      </c>
      <c r="B2517" t="s">
        <v>1369</v>
      </c>
      <c r="C2517" t="s">
        <v>8</v>
      </c>
      <c r="D2517">
        <v>1</v>
      </c>
      <c r="E2517" t="s">
        <v>2078</v>
      </c>
      <c r="F2517" t="s">
        <v>2969</v>
      </c>
    </row>
    <row r="2518" spans="1:6" x14ac:dyDescent="0.25">
      <c r="A2518" t="s">
        <v>2726</v>
      </c>
      <c r="B2518" t="s">
        <v>1369</v>
      </c>
      <c r="C2518" t="s">
        <v>8</v>
      </c>
      <c r="D2518">
        <v>2</v>
      </c>
      <c r="E2518" t="s">
        <v>1904</v>
      </c>
      <c r="F2518" t="s">
        <v>2969</v>
      </c>
    </row>
    <row r="2519" spans="1:6" x14ac:dyDescent="0.25">
      <c r="A2519" t="s">
        <v>2726</v>
      </c>
      <c r="B2519" t="s">
        <v>1369</v>
      </c>
      <c r="C2519" t="s">
        <v>8</v>
      </c>
      <c r="D2519">
        <v>3</v>
      </c>
      <c r="E2519" t="s">
        <v>1709</v>
      </c>
      <c r="F2519" t="s">
        <v>2969</v>
      </c>
    </row>
    <row r="2520" spans="1:6" x14ac:dyDescent="0.25">
      <c r="A2520" t="s">
        <v>2726</v>
      </c>
      <c r="B2520" t="s">
        <v>1369</v>
      </c>
      <c r="C2520" t="s">
        <v>8</v>
      </c>
      <c r="D2520">
        <v>4</v>
      </c>
      <c r="E2520" t="s">
        <v>75</v>
      </c>
      <c r="F2520" t="s">
        <v>2969</v>
      </c>
    </row>
    <row r="2521" spans="1:6" x14ac:dyDescent="0.25">
      <c r="A2521" t="s">
        <v>2726</v>
      </c>
      <c r="B2521" t="s">
        <v>1369</v>
      </c>
      <c r="C2521" t="s">
        <v>8</v>
      </c>
      <c r="D2521">
        <v>5</v>
      </c>
      <c r="E2521" t="s">
        <v>1667</v>
      </c>
      <c r="F2521" t="s">
        <v>2969</v>
      </c>
    </row>
    <row r="2522" spans="1:6" x14ac:dyDescent="0.25">
      <c r="A2522" t="s">
        <v>2726</v>
      </c>
      <c r="B2522" t="s">
        <v>1369</v>
      </c>
      <c r="C2522" t="s">
        <v>8</v>
      </c>
      <c r="D2522">
        <v>6</v>
      </c>
      <c r="E2522" t="s">
        <v>1772</v>
      </c>
      <c r="F2522" t="s">
        <v>2969</v>
      </c>
    </row>
    <row r="2523" spans="1:6" x14ac:dyDescent="0.25">
      <c r="A2523" t="s">
        <v>2727</v>
      </c>
      <c r="B2523" t="s">
        <v>1370</v>
      </c>
      <c r="C2523" t="s">
        <v>130</v>
      </c>
      <c r="D2523">
        <v>1</v>
      </c>
      <c r="E2523" t="s">
        <v>19</v>
      </c>
      <c r="F2523" t="s">
        <v>2969</v>
      </c>
    </row>
    <row r="2524" spans="1:6" x14ac:dyDescent="0.25">
      <c r="A2524" t="s">
        <v>2728</v>
      </c>
      <c r="B2524" t="s">
        <v>1371</v>
      </c>
      <c r="C2524" t="s">
        <v>98</v>
      </c>
      <c r="D2524">
        <v>1</v>
      </c>
      <c r="E2524" t="s">
        <v>1689</v>
      </c>
      <c r="F2524" t="s">
        <v>2969</v>
      </c>
    </row>
    <row r="2525" spans="1:6" x14ac:dyDescent="0.25">
      <c r="A2525" t="s">
        <v>2728</v>
      </c>
      <c r="B2525" t="s">
        <v>1371</v>
      </c>
      <c r="C2525" t="s">
        <v>98</v>
      </c>
      <c r="D2525">
        <v>2</v>
      </c>
      <c r="E2525" t="s">
        <v>1951</v>
      </c>
      <c r="F2525" t="s">
        <v>2969</v>
      </c>
    </row>
    <row r="2526" spans="1:6" x14ac:dyDescent="0.25">
      <c r="A2526" t="s">
        <v>2729</v>
      </c>
      <c r="B2526" t="s">
        <v>1372</v>
      </c>
      <c r="C2526" t="s">
        <v>8</v>
      </c>
      <c r="D2526">
        <v>1</v>
      </c>
      <c r="E2526" t="s">
        <v>2230</v>
      </c>
      <c r="F2526" t="s">
        <v>2969</v>
      </c>
    </row>
    <row r="2527" spans="1:6" x14ac:dyDescent="0.25">
      <c r="A2527" t="s">
        <v>2730</v>
      </c>
      <c r="B2527" t="s">
        <v>1373</v>
      </c>
      <c r="C2527" t="s">
        <v>97</v>
      </c>
      <c r="D2527">
        <v>1</v>
      </c>
      <c r="E2527" t="s">
        <v>1655</v>
      </c>
      <c r="F2527" t="s">
        <v>2969</v>
      </c>
    </row>
    <row r="2528" spans="1:6" x14ac:dyDescent="0.25">
      <c r="A2528" t="s">
        <v>2730</v>
      </c>
      <c r="B2528" t="s">
        <v>1373</v>
      </c>
      <c r="C2528" t="s">
        <v>97</v>
      </c>
      <c r="D2528">
        <v>2</v>
      </c>
      <c r="E2528" t="s">
        <v>1879</v>
      </c>
      <c r="F2528" t="s">
        <v>2969</v>
      </c>
    </row>
    <row r="2529" spans="1:6" x14ac:dyDescent="0.25">
      <c r="A2529" t="s">
        <v>2730</v>
      </c>
      <c r="B2529" t="s">
        <v>1373</v>
      </c>
      <c r="C2529" t="s">
        <v>97</v>
      </c>
      <c r="D2529">
        <v>3</v>
      </c>
      <c r="E2529" t="s">
        <v>1676</v>
      </c>
      <c r="F2529" t="s">
        <v>2969</v>
      </c>
    </row>
    <row r="2530" spans="1:6" x14ac:dyDescent="0.25">
      <c r="A2530" t="s">
        <v>2731</v>
      </c>
      <c r="B2530" t="s">
        <v>1374</v>
      </c>
      <c r="C2530" t="s">
        <v>66</v>
      </c>
      <c r="D2530">
        <v>1</v>
      </c>
      <c r="E2530" t="s">
        <v>2456</v>
      </c>
      <c r="F2530" t="s">
        <v>2969</v>
      </c>
    </row>
    <row r="2531" spans="1:6" x14ac:dyDescent="0.25">
      <c r="A2531" t="s">
        <v>2732</v>
      </c>
      <c r="B2531" t="s">
        <v>1375</v>
      </c>
      <c r="C2531" t="s">
        <v>132</v>
      </c>
      <c r="D2531">
        <v>1</v>
      </c>
      <c r="E2531" t="s">
        <v>1891</v>
      </c>
      <c r="F2531" t="s">
        <v>2969</v>
      </c>
    </row>
    <row r="2532" spans="1:6" x14ac:dyDescent="0.25">
      <c r="A2532" t="s">
        <v>2732</v>
      </c>
      <c r="B2532" t="s">
        <v>1375</v>
      </c>
      <c r="C2532" t="s">
        <v>132</v>
      </c>
      <c r="D2532">
        <v>2</v>
      </c>
      <c r="E2532" t="s">
        <v>2046</v>
      </c>
      <c r="F2532" t="s">
        <v>2969</v>
      </c>
    </row>
    <row r="2533" spans="1:6" x14ac:dyDescent="0.25">
      <c r="A2533" t="s">
        <v>2732</v>
      </c>
      <c r="B2533" t="s">
        <v>1375</v>
      </c>
      <c r="C2533" t="s">
        <v>132</v>
      </c>
      <c r="D2533">
        <v>3</v>
      </c>
      <c r="E2533" t="s">
        <v>1760</v>
      </c>
      <c r="F2533" t="s">
        <v>2969</v>
      </c>
    </row>
    <row r="2534" spans="1:6" x14ac:dyDescent="0.25">
      <c r="A2534" t="s">
        <v>2733</v>
      </c>
      <c r="B2534" t="s">
        <v>1376</v>
      </c>
      <c r="C2534" t="s">
        <v>65</v>
      </c>
      <c r="D2534">
        <v>1</v>
      </c>
      <c r="E2534" t="s">
        <v>1862</v>
      </c>
      <c r="F2534" t="s">
        <v>2969</v>
      </c>
    </row>
    <row r="2535" spans="1:6" x14ac:dyDescent="0.25">
      <c r="A2535" t="s">
        <v>2733</v>
      </c>
      <c r="B2535" t="s">
        <v>1376</v>
      </c>
      <c r="C2535" t="s">
        <v>65</v>
      </c>
      <c r="D2535">
        <v>2</v>
      </c>
      <c r="E2535" t="s">
        <v>64</v>
      </c>
      <c r="F2535" t="s">
        <v>2969</v>
      </c>
    </row>
    <row r="2536" spans="1:6" x14ac:dyDescent="0.25">
      <c r="A2536" t="s">
        <v>2733</v>
      </c>
      <c r="B2536" t="s">
        <v>1376</v>
      </c>
      <c r="C2536" t="s">
        <v>65</v>
      </c>
      <c r="D2536">
        <v>3</v>
      </c>
      <c r="E2536" t="s">
        <v>96</v>
      </c>
      <c r="F2536" t="s">
        <v>2969</v>
      </c>
    </row>
    <row r="2537" spans="1:6" x14ac:dyDescent="0.25">
      <c r="A2537" t="s">
        <v>2734</v>
      </c>
      <c r="B2537" t="s">
        <v>1377</v>
      </c>
      <c r="C2537" t="s">
        <v>103</v>
      </c>
      <c r="D2537">
        <v>1</v>
      </c>
      <c r="E2537" t="s">
        <v>75</v>
      </c>
      <c r="F2537" t="s">
        <v>2969</v>
      </c>
    </row>
    <row r="2538" spans="1:6" x14ac:dyDescent="0.25">
      <c r="A2538" t="s">
        <v>2734</v>
      </c>
      <c r="B2538" t="s">
        <v>1377</v>
      </c>
      <c r="C2538" t="s">
        <v>103</v>
      </c>
      <c r="D2538">
        <v>2</v>
      </c>
      <c r="E2538" t="s">
        <v>89</v>
      </c>
      <c r="F2538" t="s">
        <v>2969</v>
      </c>
    </row>
    <row r="2539" spans="1:6" x14ac:dyDescent="0.25">
      <c r="A2539" t="s">
        <v>2735</v>
      </c>
      <c r="B2539" t="s">
        <v>1378</v>
      </c>
      <c r="C2539" t="s">
        <v>23</v>
      </c>
      <c r="D2539">
        <v>1</v>
      </c>
      <c r="E2539" t="s">
        <v>1795</v>
      </c>
      <c r="F2539" t="s">
        <v>2969</v>
      </c>
    </row>
    <row r="2540" spans="1:6" x14ac:dyDescent="0.25">
      <c r="A2540" t="s">
        <v>2735</v>
      </c>
      <c r="B2540" t="s">
        <v>1378</v>
      </c>
      <c r="C2540" t="s">
        <v>23</v>
      </c>
      <c r="D2540">
        <v>2</v>
      </c>
      <c r="E2540" t="s">
        <v>1908</v>
      </c>
      <c r="F2540" t="s">
        <v>2969</v>
      </c>
    </row>
    <row r="2541" spans="1:6" x14ac:dyDescent="0.25">
      <c r="A2541" t="s">
        <v>2736</v>
      </c>
      <c r="B2541" t="s">
        <v>1379</v>
      </c>
      <c r="C2541" t="s">
        <v>136</v>
      </c>
      <c r="D2541">
        <v>1</v>
      </c>
      <c r="E2541" t="s">
        <v>89</v>
      </c>
      <c r="F2541" t="s">
        <v>2969</v>
      </c>
    </row>
    <row r="2542" spans="1:6" x14ac:dyDescent="0.25">
      <c r="A2542" t="s">
        <v>2736</v>
      </c>
      <c r="B2542" t="s">
        <v>1379</v>
      </c>
      <c r="C2542" t="s">
        <v>136</v>
      </c>
      <c r="D2542">
        <v>2</v>
      </c>
      <c r="E2542" t="s">
        <v>1728</v>
      </c>
      <c r="F2542" t="s">
        <v>2969</v>
      </c>
    </row>
    <row r="2543" spans="1:6" x14ac:dyDescent="0.25">
      <c r="A2543" t="s">
        <v>2736</v>
      </c>
      <c r="B2543" t="s">
        <v>1379</v>
      </c>
      <c r="C2543" t="s">
        <v>136</v>
      </c>
      <c r="D2543">
        <v>3</v>
      </c>
      <c r="E2543" t="s">
        <v>1801</v>
      </c>
      <c r="F2543" t="s">
        <v>2969</v>
      </c>
    </row>
    <row r="2544" spans="1:6" x14ac:dyDescent="0.25">
      <c r="A2544" t="s">
        <v>2736</v>
      </c>
      <c r="B2544" t="s">
        <v>1379</v>
      </c>
      <c r="C2544" t="s">
        <v>136</v>
      </c>
      <c r="D2544">
        <v>4</v>
      </c>
      <c r="E2544" t="s">
        <v>2751</v>
      </c>
      <c r="F2544" t="s">
        <v>2969</v>
      </c>
    </row>
    <row r="2545" spans="1:6" x14ac:dyDescent="0.25">
      <c r="A2545" t="s">
        <v>2737</v>
      </c>
      <c r="B2545" t="s">
        <v>1380</v>
      </c>
      <c r="C2545" t="s">
        <v>118</v>
      </c>
      <c r="D2545">
        <v>1</v>
      </c>
      <c r="E2545" t="s">
        <v>1787</v>
      </c>
      <c r="F2545" t="s">
        <v>2969</v>
      </c>
    </row>
    <row r="2546" spans="1:6" x14ac:dyDescent="0.25">
      <c r="A2546" t="s">
        <v>2737</v>
      </c>
      <c r="B2546" t="s">
        <v>1380</v>
      </c>
      <c r="C2546" t="s">
        <v>118</v>
      </c>
      <c r="D2546">
        <v>2</v>
      </c>
      <c r="E2546" t="s">
        <v>1697</v>
      </c>
      <c r="F2546" t="s">
        <v>2969</v>
      </c>
    </row>
    <row r="2547" spans="1:6" x14ac:dyDescent="0.25">
      <c r="A2547" t="s">
        <v>2737</v>
      </c>
      <c r="B2547" t="s">
        <v>1380</v>
      </c>
      <c r="C2547" t="s">
        <v>118</v>
      </c>
      <c r="D2547">
        <v>3</v>
      </c>
      <c r="E2547" t="s">
        <v>133</v>
      </c>
      <c r="F2547" t="s">
        <v>2969</v>
      </c>
    </row>
    <row r="2548" spans="1:6" x14ac:dyDescent="0.25">
      <c r="A2548" t="s">
        <v>2738</v>
      </c>
      <c r="B2548" t="s">
        <v>1381</v>
      </c>
      <c r="C2548" t="s">
        <v>130</v>
      </c>
      <c r="D2548">
        <v>1</v>
      </c>
      <c r="E2548" t="s">
        <v>1891</v>
      </c>
      <c r="F2548" t="s">
        <v>2969</v>
      </c>
    </row>
    <row r="2549" spans="1:6" x14ac:dyDescent="0.25">
      <c r="A2549" t="s">
        <v>2738</v>
      </c>
      <c r="B2549" t="s">
        <v>1381</v>
      </c>
      <c r="C2549" t="s">
        <v>130</v>
      </c>
      <c r="D2549">
        <v>2</v>
      </c>
      <c r="E2549" t="s">
        <v>2472</v>
      </c>
      <c r="F2549" t="s">
        <v>2969</v>
      </c>
    </row>
    <row r="2550" spans="1:6" x14ac:dyDescent="0.25">
      <c r="A2550" t="s">
        <v>2738</v>
      </c>
      <c r="B2550" t="s">
        <v>1381</v>
      </c>
      <c r="C2550" t="s">
        <v>130</v>
      </c>
      <c r="D2550">
        <v>3</v>
      </c>
      <c r="E2550" t="s">
        <v>1807</v>
      </c>
      <c r="F2550" t="s">
        <v>2969</v>
      </c>
    </row>
    <row r="2551" spans="1:6" x14ac:dyDescent="0.25">
      <c r="A2551" t="s">
        <v>2739</v>
      </c>
      <c r="B2551" t="s">
        <v>1382</v>
      </c>
      <c r="C2551" t="s">
        <v>130</v>
      </c>
      <c r="D2551">
        <v>1</v>
      </c>
      <c r="E2551" t="s">
        <v>1859</v>
      </c>
      <c r="F2551" t="s">
        <v>2969</v>
      </c>
    </row>
    <row r="2552" spans="1:6" x14ac:dyDescent="0.25">
      <c r="A2552" t="s">
        <v>2739</v>
      </c>
      <c r="B2552" t="s">
        <v>1382</v>
      </c>
      <c r="C2552" t="s">
        <v>130</v>
      </c>
      <c r="D2552">
        <v>2</v>
      </c>
      <c r="E2552" t="s">
        <v>1769</v>
      </c>
      <c r="F2552" t="s">
        <v>2969</v>
      </c>
    </row>
    <row r="2553" spans="1:6" x14ac:dyDescent="0.25">
      <c r="A2553" t="s">
        <v>2740</v>
      </c>
      <c r="B2553" t="s">
        <v>1383</v>
      </c>
      <c r="C2553" t="s">
        <v>56</v>
      </c>
      <c r="D2553">
        <v>1</v>
      </c>
      <c r="E2553" t="s">
        <v>1995</v>
      </c>
      <c r="F2553" t="s">
        <v>2969</v>
      </c>
    </row>
    <row r="2554" spans="1:6" x14ac:dyDescent="0.25">
      <c r="A2554" t="s">
        <v>2740</v>
      </c>
      <c r="B2554" t="s">
        <v>1383</v>
      </c>
      <c r="C2554" t="s">
        <v>56</v>
      </c>
      <c r="D2554">
        <v>2</v>
      </c>
      <c r="E2554" t="s">
        <v>22</v>
      </c>
      <c r="F2554" t="s">
        <v>2969</v>
      </c>
    </row>
    <row r="2555" spans="1:6" x14ac:dyDescent="0.25">
      <c r="A2555" t="s">
        <v>2740</v>
      </c>
      <c r="B2555" t="s">
        <v>1383</v>
      </c>
      <c r="C2555" t="s">
        <v>56</v>
      </c>
      <c r="D2555">
        <v>3</v>
      </c>
      <c r="E2555" t="s">
        <v>1731</v>
      </c>
      <c r="F2555" t="s">
        <v>2969</v>
      </c>
    </row>
    <row r="2556" spans="1:6" x14ac:dyDescent="0.25">
      <c r="A2556" t="s">
        <v>2741</v>
      </c>
      <c r="B2556" t="s">
        <v>1384</v>
      </c>
      <c r="C2556" t="s">
        <v>128</v>
      </c>
      <c r="D2556">
        <v>1</v>
      </c>
      <c r="E2556" t="s">
        <v>1663</v>
      </c>
      <c r="F2556" t="s">
        <v>2969</v>
      </c>
    </row>
    <row r="2557" spans="1:6" x14ac:dyDescent="0.25">
      <c r="A2557" t="s">
        <v>2741</v>
      </c>
      <c r="B2557" t="s">
        <v>1384</v>
      </c>
      <c r="C2557" t="s">
        <v>128</v>
      </c>
      <c r="D2557">
        <v>2</v>
      </c>
      <c r="E2557" t="s">
        <v>1886</v>
      </c>
      <c r="F2557" t="s">
        <v>2969</v>
      </c>
    </row>
    <row r="2558" spans="1:6" x14ac:dyDescent="0.25">
      <c r="A2558" t="s">
        <v>2741</v>
      </c>
      <c r="B2558" t="s">
        <v>1384</v>
      </c>
      <c r="C2558" t="s">
        <v>128</v>
      </c>
      <c r="D2558">
        <v>3</v>
      </c>
      <c r="E2558" t="s">
        <v>1627</v>
      </c>
      <c r="F2558" t="s">
        <v>2969</v>
      </c>
    </row>
    <row r="2559" spans="1:6" x14ac:dyDescent="0.25">
      <c r="A2559" t="s">
        <v>2742</v>
      </c>
      <c r="B2559" t="s">
        <v>1385</v>
      </c>
      <c r="C2559" t="s">
        <v>94</v>
      </c>
      <c r="D2559">
        <v>1</v>
      </c>
      <c r="E2559" t="s">
        <v>2128</v>
      </c>
      <c r="F2559" t="s">
        <v>2969</v>
      </c>
    </row>
    <row r="2560" spans="1:6" x14ac:dyDescent="0.25">
      <c r="A2560" t="s">
        <v>2742</v>
      </c>
      <c r="B2560" t="s">
        <v>1385</v>
      </c>
      <c r="C2560" t="s">
        <v>94</v>
      </c>
      <c r="D2560">
        <v>2</v>
      </c>
      <c r="E2560" t="s">
        <v>2273</v>
      </c>
      <c r="F2560" t="s">
        <v>2969</v>
      </c>
    </row>
    <row r="2561" spans="1:6" x14ac:dyDescent="0.25">
      <c r="A2561" t="s">
        <v>2743</v>
      </c>
      <c r="B2561" t="s">
        <v>1386</v>
      </c>
      <c r="C2561" t="s">
        <v>118</v>
      </c>
      <c r="D2561">
        <v>1</v>
      </c>
      <c r="E2561" t="s">
        <v>135</v>
      </c>
      <c r="F2561" t="s">
        <v>2969</v>
      </c>
    </row>
    <row r="2562" spans="1:6" x14ac:dyDescent="0.25">
      <c r="A2562" t="s">
        <v>2743</v>
      </c>
      <c r="B2562" t="s">
        <v>1386</v>
      </c>
      <c r="C2562" t="s">
        <v>118</v>
      </c>
      <c r="D2562">
        <v>2</v>
      </c>
      <c r="E2562" t="s">
        <v>30</v>
      </c>
      <c r="F2562" t="s">
        <v>2969</v>
      </c>
    </row>
    <row r="2563" spans="1:6" x14ac:dyDescent="0.25">
      <c r="A2563" t="s">
        <v>2743</v>
      </c>
      <c r="B2563" t="s">
        <v>1386</v>
      </c>
      <c r="C2563" t="s">
        <v>118</v>
      </c>
      <c r="D2563">
        <v>3</v>
      </c>
      <c r="E2563" t="s">
        <v>1704</v>
      </c>
      <c r="F2563" t="s">
        <v>2969</v>
      </c>
    </row>
    <row r="2564" spans="1:6" x14ac:dyDescent="0.25">
      <c r="A2564" t="s">
        <v>2743</v>
      </c>
      <c r="B2564" t="s">
        <v>1386</v>
      </c>
      <c r="C2564" t="s">
        <v>118</v>
      </c>
      <c r="D2564">
        <v>4</v>
      </c>
      <c r="E2564" t="s">
        <v>1769</v>
      </c>
      <c r="F2564" t="s">
        <v>2969</v>
      </c>
    </row>
    <row r="2565" spans="1:6" x14ac:dyDescent="0.25">
      <c r="A2565" t="s">
        <v>2744</v>
      </c>
      <c r="B2565" t="s">
        <v>1387</v>
      </c>
      <c r="C2565" t="s">
        <v>23</v>
      </c>
      <c r="D2565">
        <v>1</v>
      </c>
      <c r="E2565" t="s">
        <v>120</v>
      </c>
      <c r="F2565" t="s">
        <v>2969</v>
      </c>
    </row>
    <row r="2566" spans="1:6" x14ac:dyDescent="0.25">
      <c r="A2566" t="s">
        <v>2745</v>
      </c>
      <c r="B2566" t="s">
        <v>1388</v>
      </c>
      <c r="C2566" t="s">
        <v>34</v>
      </c>
      <c r="D2566">
        <v>1</v>
      </c>
      <c r="E2566" t="s">
        <v>1661</v>
      </c>
      <c r="F2566" t="s">
        <v>2969</v>
      </c>
    </row>
    <row r="2567" spans="1:6" x14ac:dyDescent="0.25">
      <c r="A2567" t="s">
        <v>2745</v>
      </c>
      <c r="B2567" t="s">
        <v>1388</v>
      </c>
      <c r="C2567" t="s">
        <v>34</v>
      </c>
      <c r="D2567">
        <v>2</v>
      </c>
      <c r="E2567" t="s">
        <v>2046</v>
      </c>
      <c r="F2567" t="s">
        <v>2969</v>
      </c>
    </row>
    <row r="2568" spans="1:6" x14ac:dyDescent="0.25">
      <c r="A2568" t="s">
        <v>2746</v>
      </c>
      <c r="B2568" t="s">
        <v>1389</v>
      </c>
      <c r="C2568" t="s">
        <v>105</v>
      </c>
      <c r="D2568">
        <v>1</v>
      </c>
      <c r="E2568" t="s">
        <v>96</v>
      </c>
      <c r="F2568" t="s">
        <v>2969</v>
      </c>
    </row>
    <row r="2569" spans="1:6" x14ac:dyDescent="0.25">
      <c r="A2569" t="s">
        <v>2746</v>
      </c>
      <c r="B2569" t="s">
        <v>1389</v>
      </c>
      <c r="C2569" t="s">
        <v>105</v>
      </c>
      <c r="D2569">
        <v>2</v>
      </c>
      <c r="E2569" t="s">
        <v>1719</v>
      </c>
      <c r="F2569" t="s">
        <v>2969</v>
      </c>
    </row>
    <row r="2570" spans="1:6" x14ac:dyDescent="0.25">
      <c r="A2570" t="s">
        <v>2747</v>
      </c>
      <c r="B2570" t="s">
        <v>1390</v>
      </c>
      <c r="C2570" t="s">
        <v>112</v>
      </c>
      <c r="D2570">
        <v>1</v>
      </c>
      <c r="E2570" t="s">
        <v>1663</v>
      </c>
      <c r="F2570" t="s">
        <v>2969</v>
      </c>
    </row>
    <row r="2571" spans="1:6" x14ac:dyDescent="0.25">
      <c r="A2571" t="s">
        <v>2748</v>
      </c>
      <c r="B2571" t="s">
        <v>1391</v>
      </c>
      <c r="C2571" t="s">
        <v>65</v>
      </c>
      <c r="D2571">
        <v>1</v>
      </c>
      <c r="E2571" t="s">
        <v>1857</v>
      </c>
      <c r="F2571" t="s">
        <v>2969</v>
      </c>
    </row>
    <row r="2572" spans="1:6" x14ac:dyDescent="0.25">
      <c r="A2572" t="s">
        <v>2748</v>
      </c>
      <c r="B2572" t="s">
        <v>1391</v>
      </c>
      <c r="C2572" t="s">
        <v>65</v>
      </c>
      <c r="D2572">
        <v>2</v>
      </c>
      <c r="E2572" t="s">
        <v>1726</v>
      </c>
      <c r="F2572" t="s">
        <v>2969</v>
      </c>
    </row>
    <row r="2573" spans="1:6" x14ac:dyDescent="0.25">
      <c r="A2573" t="s">
        <v>2749</v>
      </c>
      <c r="B2573" t="s">
        <v>1392</v>
      </c>
      <c r="C2573" t="s">
        <v>105</v>
      </c>
      <c r="D2573">
        <v>1</v>
      </c>
      <c r="E2573" t="s">
        <v>1758</v>
      </c>
      <c r="F2573" t="s">
        <v>2969</v>
      </c>
    </row>
    <row r="2574" spans="1:6" x14ac:dyDescent="0.25">
      <c r="A2574" t="s">
        <v>2749</v>
      </c>
      <c r="B2574" t="s">
        <v>1392</v>
      </c>
      <c r="C2574" t="s">
        <v>105</v>
      </c>
      <c r="D2574">
        <v>2</v>
      </c>
      <c r="E2574" t="s">
        <v>1667</v>
      </c>
      <c r="F2574" t="s">
        <v>2969</v>
      </c>
    </row>
    <row r="2575" spans="1:6" x14ac:dyDescent="0.25">
      <c r="A2575" t="s">
        <v>2749</v>
      </c>
      <c r="B2575" t="s">
        <v>1392</v>
      </c>
      <c r="C2575" t="s">
        <v>105</v>
      </c>
      <c r="D2575">
        <v>3</v>
      </c>
      <c r="E2575" t="s">
        <v>51</v>
      </c>
      <c r="F2575" t="s">
        <v>2969</v>
      </c>
    </row>
    <row r="2576" spans="1:6" x14ac:dyDescent="0.25">
      <c r="A2576" t="s">
        <v>2750</v>
      </c>
      <c r="B2576" t="s">
        <v>1393</v>
      </c>
      <c r="C2576" t="s">
        <v>103</v>
      </c>
      <c r="D2576">
        <v>1</v>
      </c>
      <c r="E2576" t="s">
        <v>2751</v>
      </c>
      <c r="F2576" t="s">
        <v>2969</v>
      </c>
    </row>
    <row r="2577" spans="1:6" x14ac:dyDescent="0.25">
      <c r="A2577" t="s">
        <v>2752</v>
      </c>
      <c r="B2577" t="s">
        <v>1394</v>
      </c>
      <c r="C2577" t="s">
        <v>107</v>
      </c>
      <c r="D2577">
        <v>1</v>
      </c>
      <c r="E2577" t="s">
        <v>2017</v>
      </c>
      <c r="F2577" t="s">
        <v>2969</v>
      </c>
    </row>
    <row r="2578" spans="1:6" x14ac:dyDescent="0.25">
      <c r="A2578" t="s">
        <v>2753</v>
      </c>
      <c r="B2578" t="s">
        <v>1395</v>
      </c>
      <c r="C2578" t="s">
        <v>49</v>
      </c>
      <c r="D2578">
        <v>1</v>
      </c>
      <c r="E2578" t="s">
        <v>1624</v>
      </c>
      <c r="F2578" t="s">
        <v>2969</v>
      </c>
    </row>
    <row r="2579" spans="1:6" x14ac:dyDescent="0.25">
      <c r="A2579" t="s">
        <v>2753</v>
      </c>
      <c r="B2579" t="s">
        <v>1395</v>
      </c>
      <c r="C2579" t="s">
        <v>49</v>
      </c>
      <c r="D2579">
        <v>2</v>
      </c>
      <c r="E2579" t="s">
        <v>1917</v>
      </c>
      <c r="F2579" t="s">
        <v>2969</v>
      </c>
    </row>
    <row r="2580" spans="1:6" x14ac:dyDescent="0.25">
      <c r="A2580" t="s">
        <v>2753</v>
      </c>
      <c r="B2580" t="s">
        <v>1395</v>
      </c>
      <c r="C2580" t="s">
        <v>49</v>
      </c>
      <c r="D2580">
        <v>3</v>
      </c>
      <c r="E2580" t="s">
        <v>2003</v>
      </c>
      <c r="F2580" t="s">
        <v>2969</v>
      </c>
    </row>
    <row r="2581" spans="1:6" x14ac:dyDescent="0.25">
      <c r="A2581" t="s">
        <v>2753</v>
      </c>
      <c r="B2581" t="s">
        <v>1395</v>
      </c>
      <c r="C2581" t="s">
        <v>49</v>
      </c>
      <c r="D2581">
        <v>4</v>
      </c>
      <c r="E2581" t="s">
        <v>1828</v>
      </c>
      <c r="F2581" t="s">
        <v>2969</v>
      </c>
    </row>
    <row r="2582" spans="1:6" x14ac:dyDescent="0.25">
      <c r="A2582" t="s">
        <v>2754</v>
      </c>
      <c r="B2582" t="s">
        <v>1396</v>
      </c>
      <c r="C2582" t="s">
        <v>130</v>
      </c>
      <c r="D2582">
        <v>1</v>
      </c>
      <c r="E2582" t="s">
        <v>2230</v>
      </c>
      <c r="F2582" t="s">
        <v>2969</v>
      </c>
    </row>
    <row r="2583" spans="1:6" x14ac:dyDescent="0.25">
      <c r="A2583" t="s">
        <v>2754</v>
      </c>
      <c r="B2583" t="s">
        <v>1396</v>
      </c>
      <c r="C2583" t="s">
        <v>130</v>
      </c>
      <c r="D2583">
        <v>2</v>
      </c>
      <c r="E2583" t="s">
        <v>19</v>
      </c>
      <c r="F2583" t="s">
        <v>2969</v>
      </c>
    </row>
    <row r="2584" spans="1:6" x14ac:dyDescent="0.25">
      <c r="A2584" t="s">
        <v>2754</v>
      </c>
      <c r="B2584" t="s">
        <v>1396</v>
      </c>
      <c r="C2584" t="s">
        <v>130</v>
      </c>
      <c r="D2584">
        <v>3</v>
      </c>
      <c r="E2584" t="s">
        <v>1637</v>
      </c>
      <c r="F2584" t="s">
        <v>2969</v>
      </c>
    </row>
    <row r="2585" spans="1:6" x14ac:dyDescent="0.25">
      <c r="A2585" t="s">
        <v>2755</v>
      </c>
      <c r="B2585" t="s">
        <v>1397</v>
      </c>
      <c r="C2585" t="s">
        <v>23</v>
      </c>
      <c r="D2585">
        <v>1</v>
      </c>
      <c r="E2585" t="s">
        <v>2344</v>
      </c>
      <c r="F2585" t="s">
        <v>2969</v>
      </c>
    </row>
    <row r="2586" spans="1:6" x14ac:dyDescent="0.25">
      <c r="A2586" t="s">
        <v>2756</v>
      </c>
      <c r="B2586" t="s">
        <v>1398</v>
      </c>
      <c r="C2586" t="s">
        <v>27</v>
      </c>
      <c r="D2586">
        <v>1</v>
      </c>
      <c r="E2586" t="s">
        <v>2217</v>
      </c>
      <c r="F2586" t="s">
        <v>2969</v>
      </c>
    </row>
    <row r="2587" spans="1:6" x14ac:dyDescent="0.25">
      <c r="A2587" t="s">
        <v>2756</v>
      </c>
      <c r="B2587" t="s">
        <v>1398</v>
      </c>
      <c r="C2587" t="s">
        <v>27</v>
      </c>
      <c r="D2587">
        <v>2</v>
      </c>
      <c r="E2587" t="s">
        <v>1891</v>
      </c>
      <c r="F2587" t="s">
        <v>2969</v>
      </c>
    </row>
    <row r="2588" spans="1:6" x14ac:dyDescent="0.25">
      <c r="A2588" t="s">
        <v>2756</v>
      </c>
      <c r="B2588" t="s">
        <v>1398</v>
      </c>
      <c r="C2588" t="s">
        <v>27</v>
      </c>
      <c r="D2588">
        <v>3</v>
      </c>
      <c r="E2588" t="s">
        <v>2046</v>
      </c>
      <c r="F2588" t="s">
        <v>2969</v>
      </c>
    </row>
    <row r="2589" spans="1:6" x14ac:dyDescent="0.25">
      <c r="A2589" t="s">
        <v>2756</v>
      </c>
      <c r="B2589" t="s">
        <v>1398</v>
      </c>
      <c r="C2589" t="s">
        <v>27</v>
      </c>
      <c r="D2589">
        <v>4</v>
      </c>
      <c r="E2589" t="s">
        <v>1764</v>
      </c>
      <c r="F2589" t="s">
        <v>2969</v>
      </c>
    </row>
    <row r="2590" spans="1:6" x14ac:dyDescent="0.25">
      <c r="A2590" t="s">
        <v>2756</v>
      </c>
      <c r="B2590" t="s">
        <v>1398</v>
      </c>
      <c r="C2590" t="s">
        <v>27</v>
      </c>
      <c r="D2590">
        <v>5</v>
      </c>
      <c r="E2590" t="s">
        <v>137</v>
      </c>
      <c r="F2590" t="s">
        <v>2969</v>
      </c>
    </row>
    <row r="2591" spans="1:6" x14ac:dyDescent="0.25">
      <c r="A2591" t="s">
        <v>2756</v>
      </c>
      <c r="B2591" t="s">
        <v>1398</v>
      </c>
      <c r="C2591" t="s">
        <v>27</v>
      </c>
      <c r="D2591">
        <v>6</v>
      </c>
      <c r="E2591" t="s">
        <v>2038</v>
      </c>
      <c r="F2591" t="s">
        <v>2969</v>
      </c>
    </row>
    <row r="2592" spans="1:6" x14ac:dyDescent="0.25">
      <c r="A2592" t="s">
        <v>2756</v>
      </c>
      <c r="B2592" t="s">
        <v>1398</v>
      </c>
      <c r="C2592" t="s">
        <v>27</v>
      </c>
      <c r="D2592">
        <v>7</v>
      </c>
      <c r="E2592" t="s">
        <v>2130</v>
      </c>
      <c r="F2592" t="s">
        <v>1692</v>
      </c>
    </row>
    <row r="2593" spans="1:6" x14ac:dyDescent="0.25">
      <c r="A2593" t="s">
        <v>2757</v>
      </c>
      <c r="B2593" t="s">
        <v>1399</v>
      </c>
      <c r="C2593" t="s">
        <v>60</v>
      </c>
      <c r="D2593">
        <v>1</v>
      </c>
      <c r="E2593" t="s">
        <v>2032</v>
      </c>
      <c r="F2593" t="s">
        <v>2969</v>
      </c>
    </row>
    <row r="2594" spans="1:6" x14ac:dyDescent="0.25">
      <c r="A2594" t="s">
        <v>2757</v>
      </c>
      <c r="B2594" t="s">
        <v>1399</v>
      </c>
      <c r="C2594" t="s">
        <v>60</v>
      </c>
      <c r="D2594">
        <v>2</v>
      </c>
      <c r="E2594" t="s">
        <v>2088</v>
      </c>
      <c r="F2594" t="s">
        <v>2969</v>
      </c>
    </row>
    <row r="2595" spans="1:6" x14ac:dyDescent="0.25">
      <c r="A2595" t="s">
        <v>2757</v>
      </c>
      <c r="B2595" t="s">
        <v>1399</v>
      </c>
      <c r="C2595" t="s">
        <v>60</v>
      </c>
      <c r="D2595">
        <v>3</v>
      </c>
      <c r="E2595" t="s">
        <v>2516</v>
      </c>
      <c r="F2595" t="s">
        <v>2969</v>
      </c>
    </row>
    <row r="2596" spans="1:6" x14ac:dyDescent="0.25">
      <c r="A2596" t="s">
        <v>2758</v>
      </c>
      <c r="B2596" t="s">
        <v>1400</v>
      </c>
      <c r="C2596" t="s">
        <v>121</v>
      </c>
      <c r="D2596">
        <v>1</v>
      </c>
      <c r="E2596" t="s">
        <v>1879</v>
      </c>
      <c r="F2596" t="s">
        <v>2969</v>
      </c>
    </row>
    <row r="2597" spans="1:6" x14ac:dyDescent="0.25">
      <c r="A2597" t="s">
        <v>2758</v>
      </c>
      <c r="B2597" t="s">
        <v>1400</v>
      </c>
      <c r="C2597" t="s">
        <v>121</v>
      </c>
      <c r="D2597">
        <v>2</v>
      </c>
      <c r="E2597" t="s">
        <v>1709</v>
      </c>
      <c r="F2597" t="s">
        <v>2969</v>
      </c>
    </row>
    <row r="2598" spans="1:6" x14ac:dyDescent="0.25">
      <c r="A2598" t="s">
        <v>2759</v>
      </c>
      <c r="B2598" t="s">
        <v>1401</v>
      </c>
      <c r="C2598" t="s">
        <v>52</v>
      </c>
      <c r="D2598">
        <v>1</v>
      </c>
      <c r="E2598" t="s">
        <v>1649</v>
      </c>
      <c r="F2598" t="s">
        <v>2969</v>
      </c>
    </row>
    <row r="2599" spans="1:6" x14ac:dyDescent="0.25">
      <c r="A2599" t="s">
        <v>2759</v>
      </c>
      <c r="B2599" t="s">
        <v>1401</v>
      </c>
      <c r="C2599" t="s">
        <v>52</v>
      </c>
      <c r="D2599">
        <v>2</v>
      </c>
      <c r="E2599" t="s">
        <v>1697</v>
      </c>
      <c r="F2599" t="s">
        <v>2969</v>
      </c>
    </row>
    <row r="2600" spans="1:6" x14ac:dyDescent="0.25">
      <c r="A2600" t="s">
        <v>2759</v>
      </c>
      <c r="B2600" t="s">
        <v>1401</v>
      </c>
      <c r="C2600" t="s">
        <v>52</v>
      </c>
      <c r="D2600">
        <v>3</v>
      </c>
      <c r="E2600" t="s">
        <v>133</v>
      </c>
      <c r="F2600" t="s">
        <v>2969</v>
      </c>
    </row>
    <row r="2601" spans="1:6" x14ac:dyDescent="0.25">
      <c r="A2601" t="s">
        <v>2759</v>
      </c>
      <c r="B2601" t="s">
        <v>1401</v>
      </c>
      <c r="C2601" t="s">
        <v>52</v>
      </c>
      <c r="D2601">
        <v>4</v>
      </c>
      <c r="E2601" t="s">
        <v>1673</v>
      </c>
      <c r="F2601" t="s">
        <v>2969</v>
      </c>
    </row>
    <row r="2602" spans="1:6" x14ac:dyDescent="0.25">
      <c r="A2602" t="s">
        <v>2760</v>
      </c>
      <c r="B2602" t="s">
        <v>1403</v>
      </c>
      <c r="C2602" t="s">
        <v>116</v>
      </c>
      <c r="D2602">
        <v>1</v>
      </c>
      <c r="E2602" t="s">
        <v>1731</v>
      </c>
      <c r="F2602" t="s">
        <v>2969</v>
      </c>
    </row>
    <row r="2603" spans="1:6" x14ac:dyDescent="0.25">
      <c r="A2603" t="s">
        <v>2761</v>
      </c>
      <c r="B2603" t="s">
        <v>1404</v>
      </c>
      <c r="C2603" t="s">
        <v>128</v>
      </c>
      <c r="D2603">
        <v>1</v>
      </c>
      <c r="E2603" t="s">
        <v>1632</v>
      </c>
      <c r="F2603" t="s">
        <v>2969</v>
      </c>
    </row>
    <row r="2604" spans="1:6" x14ac:dyDescent="0.25">
      <c r="A2604" t="s">
        <v>2761</v>
      </c>
      <c r="B2604" t="s">
        <v>1404</v>
      </c>
      <c r="C2604" t="s">
        <v>128</v>
      </c>
      <c r="D2604">
        <v>2</v>
      </c>
      <c r="E2604" t="s">
        <v>126</v>
      </c>
      <c r="F2604" t="s">
        <v>2969</v>
      </c>
    </row>
    <row r="2605" spans="1:6" x14ac:dyDescent="0.25">
      <c r="A2605" t="s">
        <v>2761</v>
      </c>
      <c r="B2605" t="s">
        <v>1404</v>
      </c>
      <c r="C2605" t="s">
        <v>128</v>
      </c>
      <c r="D2605">
        <v>3</v>
      </c>
      <c r="E2605" t="s">
        <v>84</v>
      </c>
      <c r="F2605" t="s">
        <v>2969</v>
      </c>
    </row>
    <row r="2606" spans="1:6" x14ac:dyDescent="0.25">
      <c r="A2606" t="s">
        <v>2762</v>
      </c>
      <c r="B2606" t="s">
        <v>1405</v>
      </c>
      <c r="C2606" t="s">
        <v>94</v>
      </c>
      <c r="D2606">
        <v>1</v>
      </c>
      <c r="E2606" t="s">
        <v>1820</v>
      </c>
      <c r="F2606" t="s">
        <v>2969</v>
      </c>
    </row>
    <row r="2607" spans="1:6" x14ac:dyDescent="0.25">
      <c r="A2607" t="s">
        <v>2762</v>
      </c>
      <c r="B2607" t="s">
        <v>1405</v>
      </c>
      <c r="C2607" t="s">
        <v>94</v>
      </c>
      <c r="D2607">
        <v>2</v>
      </c>
      <c r="E2607" t="s">
        <v>1844</v>
      </c>
      <c r="F2607" t="s">
        <v>2969</v>
      </c>
    </row>
    <row r="2608" spans="1:6" x14ac:dyDescent="0.25">
      <c r="A2608" t="s">
        <v>2763</v>
      </c>
      <c r="B2608" t="s">
        <v>1406</v>
      </c>
      <c r="C2608" t="s">
        <v>76</v>
      </c>
      <c r="D2608">
        <v>1</v>
      </c>
      <c r="E2608" t="s">
        <v>2088</v>
      </c>
      <c r="F2608" t="s">
        <v>2969</v>
      </c>
    </row>
    <row r="2609" spans="1:6" x14ac:dyDescent="0.25">
      <c r="A2609" t="s">
        <v>2763</v>
      </c>
      <c r="B2609" t="s">
        <v>1406</v>
      </c>
      <c r="C2609" t="s">
        <v>76</v>
      </c>
      <c r="D2609">
        <v>2</v>
      </c>
      <c r="E2609" t="s">
        <v>1820</v>
      </c>
      <c r="F2609" t="s">
        <v>2969</v>
      </c>
    </row>
    <row r="2610" spans="1:6" x14ac:dyDescent="0.25">
      <c r="A2610" t="s">
        <v>2763</v>
      </c>
      <c r="B2610" t="s">
        <v>1406</v>
      </c>
      <c r="C2610" t="s">
        <v>76</v>
      </c>
      <c r="D2610">
        <v>3</v>
      </c>
      <c r="E2610" t="s">
        <v>1683</v>
      </c>
      <c r="F2610" t="s">
        <v>2969</v>
      </c>
    </row>
    <row r="2611" spans="1:6" x14ac:dyDescent="0.25">
      <c r="A2611" t="s">
        <v>2764</v>
      </c>
      <c r="B2611" t="s">
        <v>1407</v>
      </c>
      <c r="C2611" t="s">
        <v>90</v>
      </c>
      <c r="D2611">
        <v>1</v>
      </c>
      <c r="E2611" t="s">
        <v>75</v>
      </c>
      <c r="F2611" t="s">
        <v>2969</v>
      </c>
    </row>
    <row r="2612" spans="1:6" x14ac:dyDescent="0.25">
      <c r="A2612" t="s">
        <v>2764</v>
      </c>
      <c r="B2612" t="s">
        <v>1407</v>
      </c>
      <c r="C2612" t="s">
        <v>90</v>
      </c>
      <c r="D2612">
        <v>2</v>
      </c>
      <c r="E2612" t="s">
        <v>1667</v>
      </c>
      <c r="F2612" t="s">
        <v>2969</v>
      </c>
    </row>
    <row r="2613" spans="1:6" x14ac:dyDescent="0.25">
      <c r="A2613" t="s">
        <v>2765</v>
      </c>
      <c r="B2613" t="s">
        <v>1408</v>
      </c>
      <c r="C2613" t="s">
        <v>76</v>
      </c>
      <c r="D2613">
        <v>1</v>
      </c>
      <c r="E2613" t="s">
        <v>2003</v>
      </c>
      <c r="F2613" t="s">
        <v>2969</v>
      </c>
    </row>
    <row r="2614" spans="1:6" x14ac:dyDescent="0.25">
      <c r="A2614" t="s">
        <v>2765</v>
      </c>
      <c r="B2614" t="s">
        <v>1408</v>
      </c>
      <c r="C2614" t="s">
        <v>76</v>
      </c>
      <c r="D2614">
        <v>2</v>
      </c>
      <c r="E2614" t="s">
        <v>1815</v>
      </c>
      <c r="F2614" t="s">
        <v>2969</v>
      </c>
    </row>
    <row r="2615" spans="1:6" x14ac:dyDescent="0.25">
      <c r="A2615" t="s">
        <v>2765</v>
      </c>
      <c r="B2615" t="s">
        <v>1408</v>
      </c>
      <c r="C2615" t="s">
        <v>76</v>
      </c>
      <c r="D2615">
        <v>3</v>
      </c>
      <c r="E2615" t="s">
        <v>1828</v>
      </c>
      <c r="F2615" t="s">
        <v>2969</v>
      </c>
    </row>
    <row r="2616" spans="1:6" x14ac:dyDescent="0.25">
      <c r="A2616" t="s">
        <v>2766</v>
      </c>
      <c r="B2616" t="s">
        <v>1409</v>
      </c>
      <c r="C2616" t="s">
        <v>107</v>
      </c>
      <c r="D2616">
        <v>1</v>
      </c>
      <c r="E2616" t="s">
        <v>1807</v>
      </c>
      <c r="F2616" t="s">
        <v>2969</v>
      </c>
    </row>
    <row r="2617" spans="1:6" x14ac:dyDescent="0.25">
      <c r="A2617" t="s">
        <v>2766</v>
      </c>
      <c r="B2617" t="s">
        <v>1409</v>
      </c>
      <c r="C2617" t="s">
        <v>107</v>
      </c>
      <c r="D2617">
        <v>2</v>
      </c>
      <c r="E2617" t="s">
        <v>137</v>
      </c>
      <c r="F2617" t="s">
        <v>2969</v>
      </c>
    </row>
    <row r="2618" spans="1:6" x14ac:dyDescent="0.25">
      <c r="A2618" t="s">
        <v>2766</v>
      </c>
      <c r="B2618" t="s">
        <v>1409</v>
      </c>
      <c r="C2618" t="s">
        <v>107</v>
      </c>
      <c r="D2618">
        <v>3</v>
      </c>
      <c r="E2618" t="s">
        <v>2021</v>
      </c>
      <c r="F2618" t="s">
        <v>2969</v>
      </c>
    </row>
    <row r="2619" spans="1:6" x14ac:dyDescent="0.25">
      <c r="A2619" t="s">
        <v>2766</v>
      </c>
      <c r="B2619" t="s">
        <v>1409</v>
      </c>
      <c r="C2619" t="s">
        <v>107</v>
      </c>
      <c r="D2619">
        <v>4</v>
      </c>
      <c r="E2619" t="s">
        <v>1721</v>
      </c>
      <c r="F2619" t="s">
        <v>2969</v>
      </c>
    </row>
    <row r="2620" spans="1:6" x14ac:dyDescent="0.25">
      <c r="A2620" t="s">
        <v>2766</v>
      </c>
      <c r="B2620" t="s">
        <v>1409</v>
      </c>
      <c r="C2620" t="s">
        <v>107</v>
      </c>
      <c r="D2620">
        <v>5</v>
      </c>
      <c r="E2620" t="s">
        <v>82</v>
      </c>
      <c r="F2620" t="s">
        <v>2969</v>
      </c>
    </row>
    <row r="2621" spans="1:6" x14ac:dyDescent="0.25">
      <c r="A2621" t="s">
        <v>2766</v>
      </c>
      <c r="B2621" t="s">
        <v>1409</v>
      </c>
      <c r="C2621" t="s">
        <v>107</v>
      </c>
      <c r="D2621">
        <v>6</v>
      </c>
      <c r="E2621" t="s">
        <v>1879</v>
      </c>
      <c r="F2621" t="s">
        <v>2969</v>
      </c>
    </row>
    <row r="2622" spans="1:6" x14ac:dyDescent="0.25">
      <c r="A2622" t="s">
        <v>2766</v>
      </c>
      <c r="B2622" t="s">
        <v>1409</v>
      </c>
      <c r="C2622" t="s">
        <v>107</v>
      </c>
      <c r="D2622">
        <v>7</v>
      </c>
      <c r="E2622" t="s">
        <v>1709</v>
      </c>
      <c r="F2622" t="s">
        <v>1692</v>
      </c>
    </row>
    <row r="2623" spans="1:6" x14ac:dyDescent="0.25">
      <c r="A2623" t="s">
        <v>2767</v>
      </c>
      <c r="B2623" t="s">
        <v>1410</v>
      </c>
      <c r="C2623" t="s">
        <v>69</v>
      </c>
      <c r="D2623">
        <v>1</v>
      </c>
      <c r="E2623" t="s">
        <v>2122</v>
      </c>
      <c r="F2623" t="s">
        <v>2969</v>
      </c>
    </row>
    <row r="2624" spans="1:6" x14ac:dyDescent="0.25">
      <c r="A2624" t="s">
        <v>2768</v>
      </c>
      <c r="B2624" t="s">
        <v>1411</v>
      </c>
      <c r="C2624" t="s">
        <v>90</v>
      </c>
      <c r="D2624">
        <v>1</v>
      </c>
      <c r="E2624" t="s">
        <v>1653</v>
      </c>
      <c r="F2624" t="s">
        <v>2969</v>
      </c>
    </row>
    <row r="2625" spans="1:6" x14ac:dyDescent="0.25">
      <c r="A2625" t="s">
        <v>2768</v>
      </c>
      <c r="B2625" t="s">
        <v>1411</v>
      </c>
      <c r="C2625" t="s">
        <v>90</v>
      </c>
      <c r="D2625">
        <v>2</v>
      </c>
      <c r="E2625" t="s">
        <v>1758</v>
      </c>
      <c r="F2625" t="s">
        <v>2969</v>
      </c>
    </row>
    <row r="2626" spans="1:6" x14ac:dyDescent="0.25">
      <c r="A2626" t="s">
        <v>2769</v>
      </c>
      <c r="B2626" t="s">
        <v>1412</v>
      </c>
      <c r="C2626" t="s">
        <v>90</v>
      </c>
      <c r="D2626">
        <v>1</v>
      </c>
      <c r="E2626" t="s">
        <v>1953</v>
      </c>
      <c r="F2626" t="s">
        <v>2969</v>
      </c>
    </row>
    <row r="2627" spans="1:6" x14ac:dyDescent="0.25">
      <c r="A2627" t="s">
        <v>2770</v>
      </c>
      <c r="B2627" t="s">
        <v>1413</v>
      </c>
      <c r="C2627" t="s">
        <v>136</v>
      </c>
      <c r="D2627">
        <v>1</v>
      </c>
      <c r="E2627" t="s">
        <v>2094</v>
      </c>
      <c r="F2627" t="s">
        <v>2969</v>
      </c>
    </row>
    <row r="2628" spans="1:6" x14ac:dyDescent="0.25">
      <c r="A2628" t="s">
        <v>2770</v>
      </c>
      <c r="B2628" t="s">
        <v>1413</v>
      </c>
      <c r="C2628" t="s">
        <v>136</v>
      </c>
      <c r="D2628">
        <v>2</v>
      </c>
      <c r="E2628" t="s">
        <v>1822</v>
      </c>
      <c r="F2628" t="s">
        <v>2969</v>
      </c>
    </row>
    <row r="2629" spans="1:6" x14ac:dyDescent="0.25">
      <c r="A2629" t="s">
        <v>2770</v>
      </c>
      <c r="B2629" t="s">
        <v>1413</v>
      </c>
      <c r="C2629" t="s">
        <v>136</v>
      </c>
      <c r="D2629">
        <v>3</v>
      </c>
      <c r="E2629" t="s">
        <v>86</v>
      </c>
      <c r="F2629" t="s">
        <v>2969</v>
      </c>
    </row>
    <row r="2630" spans="1:6" x14ac:dyDescent="0.25">
      <c r="A2630" t="s">
        <v>2770</v>
      </c>
      <c r="B2630" t="s">
        <v>1413</v>
      </c>
      <c r="C2630" t="s">
        <v>136</v>
      </c>
      <c r="D2630">
        <v>4</v>
      </c>
      <c r="E2630" t="s">
        <v>82</v>
      </c>
      <c r="F2630" t="s">
        <v>2969</v>
      </c>
    </row>
    <row r="2631" spans="1:6" x14ac:dyDescent="0.25">
      <c r="A2631" t="s">
        <v>2771</v>
      </c>
      <c r="B2631" t="s">
        <v>1414</v>
      </c>
      <c r="C2631" t="s">
        <v>98</v>
      </c>
      <c r="D2631">
        <v>1</v>
      </c>
      <c r="E2631" t="s">
        <v>1687</v>
      </c>
      <c r="F2631" t="s">
        <v>2969</v>
      </c>
    </row>
    <row r="2632" spans="1:6" x14ac:dyDescent="0.25">
      <c r="A2632" t="s">
        <v>2771</v>
      </c>
      <c r="B2632" t="s">
        <v>1414</v>
      </c>
      <c r="C2632" t="s">
        <v>98</v>
      </c>
      <c r="D2632">
        <v>2</v>
      </c>
      <c r="E2632" t="s">
        <v>1915</v>
      </c>
      <c r="F2632" t="s">
        <v>2969</v>
      </c>
    </row>
    <row r="2633" spans="1:6" x14ac:dyDescent="0.25">
      <c r="A2633" t="s">
        <v>2771</v>
      </c>
      <c r="B2633" t="s">
        <v>1414</v>
      </c>
      <c r="C2633" t="s">
        <v>98</v>
      </c>
      <c r="D2633">
        <v>3</v>
      </c>
      <c r="E2633" t="s">
        <v>70</v>
      </c>
      <c r="F2633" t="s">
        <v>2969</v>
      </c>
    </row>
    <row r="2634" spans="1:6" x14ac:dyDescent="0.25">
      <c r="A2634" t="s">
        <v>2772</v>
      </c>
      <c r="B2634" t="s">
        <v>1415</v>
      </c>
      <c r="C2634" t="s">
        <v>123</v>
      </c>
      <c r="D2634">
        <v>1</v>
      </c>
      <c r="E2634" t="s">
        <v>1917</v>
      </c>
      <c r="F2634" t="s">
        <v>2969</v>
      </c>
    </row>
    <row r="2635" spans="1:6" x14ac:dyDescent="0.25">
      <c r="A2635" t="s">
        <v>2772</v>
      </c>
      <c r="B2635" t="s">
        <v>1415</v>
      </c>
      <c r="C2635" t="s">
        <v>123</v>
      </c>
      <c r="D2635">
        <v>2</v>
      </c>
      <c r="E2635" t="s">
        <v>2169</v>
      </c>
      <c r="F2635" t="s">
        <v>2969</v>
      </c>
    </row>
    <row r="2636" spans="1:6" x14ac:dyDescent="0.25">
      <c r="A2636" t="s">
        <v>2773</v>
      </c>
      <c r="B2636" t="s">
        <v>1416</v>
      </c>
      <c r="C2636" t="s">
        <v>123</v>
      </c>
      <c r="D2636">
        <v>1</v>
      </c>
      <c r="E2636" t="s">
        <v>89</v>
      </c>
      <c r="F2636" t="s">
        <v>2969</v>
      </c>
    </row>
    <row r="2637" spans="1:6" x14ac:dyDescent="0.25">
      <c r="A2637" t="s">
        <v>2773</v>
      </c>
      <c r="B2637" t="s">
        <v>1416</v>
      </c>
      <c r="C2637" t="s">
        <v>123</v>
      </c>
      <c r="D2637">
        <v>2</v>
      </c>
      <c r="E2637" t="s">
        <v>1812</v>
      </c>
      <c r="F2637" t="s">
        <v>2969</v>
      </c>
    </row>
    <row r="2638" spans="1:6" x14ac:dyDescent="0.25">
      <c r="A2638" t="s">
        <v>2773</v>
      </c>
      <c r="B2638" t="s">
        <v>1416</v>
      </c>
      <c r="C2638" t="s">
        <v>123</v>
      </c>
      <c r="D2638">
        <v>3</v>
      </c>
      <c r="E2638" t="s">
        <v>1726</v>
      </c>
      <c r="F2638" t="s">
        <v>2969</v>
      </c>
    </row>
    <row r="2639" spans="1:6" x14ac:dyDescent="0.25">
      <c r="A2639" t="s">
        <v>2774</v>
      </c>
      <c r="B2639" t="s">
        <v>1417</v>
      </c>
      <c r="C2639" t="s">
        <v>83</v>
      </c>
      <c r="D2639">
        <v>1</v>
      </c>
      <c r="E2639" t="s">
        <v>1833</v>
      </c>
      <c r="F2639" t="s">
        <v>2969</v>
      </c>
    </row>
    <row r="2640" spans="1:6" x14ac:dyDescent="0.25">
      <c r="A2640" t="s">
        <v>2774</v>
      </c>
      <c r="B2640" t="s">
        <v>1417</v>
      </c>
      <c r="C2640" t="s">
        <v>83</v>
      </c>
      <c r="D2640">
        <v>2</v>
      </c>
      <c r="E2640" t="s">
        <v>1627</v>
      </c>
      <c r="F2640" t="s">
        <v>2969</v>
      </c>
    </row>
    <row r="2641" spans="1:6" x14ac:dyDescent="0.25">
      <c r="A2641" t="s">
        <v>2775</v>
      </c>
      <c r="B2641" t="s">
        <v>1418</v>
      </c>
      <c r="C2641" t="s">
        <v>31</v>
      </c>
      <c r="D2641">
        <v>1</v>
      </c>
      <c r="E2641" t="s">
        <v>2046</v>
      </c>
      <c r="F2641" t="s">
        <v>2969</v>
      </c>
    </row>
    <row r="2642" spans="1:6" x14ac:dyDescent="0.25">
      <c r="A2642" t="s">
        <v>2775</v>
      </c>
      <c r="B2642" t="s">
        <v>1418</v>
      </c>
      <c r="C2642" t="s">
        <v>31</v>
      </c>
      <c r="D2642">
        <v>2</v>
      </c>
      <c r="E2642" t="s">
        <v>1691</v>
      </c>
      <c r="F2642" t="s">
        <v>2969</v>
      </c>
    </row>
    <row r="2643" spans="1:6" x14ac:dyDescent="0.25">
      <c r="A2643" t="s">
        <v>2775</v>
      </c>
      <c r="B2643" t="s">
        <v>1418</v>
      </c>
      <c r="C2643" t="s">
        <v>31</v>
      </c>
      <c r="D2643">
        <v>3</v>
      </c>
      <c r="E2643" t="s">
        <v>1807</v>
      </c>
      <c r="F2643" t="s">
        <v>2969</v>
      </c>
    </row>
    <row r="2644" spans="1:6" x14ac:dyDescent="0.25">
      <c r="A2644" t="s">
        <v>2776</v>
      </c>
      <c r="B2644" t="s">
        <v>1419</v>
      </c>
      <c r="C2644" t="s">
        <v>65</v>
      </c>
      <c r="D2644">
        <v>1</v>
      </c>
      <c r="E2644" t="s">
        <v>2169</v>
      </c>
      <c r="F2644" t="s">
        <v>2969</v>
      </c>
    </row>
    <row r="2645" spans="1:6" x14ac:dyDescent="0.25">
      <c r="A2645" t="s">
        <v>2776</v>
      </c>
      <c r="B2645" t="s">
        <v>1419</v>
      </c>
      <c r="C2645" t="s">
        <v>65</v>
      </c>
      <c r="D2645">
        <v>2</v>
      </c>
      <c r="E2645" t="s">
        <v>1781</v>
      </c>
      <c r="F2645" t="s">
        <v>2969</v>
      </c>
    </row>
    <row r="2646" spans="1:6" x14ac:dyDescent="0.25">
      <c r="A2646" t="s">
        <v>2777</v>
      </c>
      <c r="B2646" t="s">
        <v>1420</v>
      </c>
      <c r="C2646" t="s">
        <v>76</v>
      </c>
      <c r="D2646">
        <v>1</v>
      </c>
      <c r="E2646" t="s">
        <v>1917</v>
      </c>
      <c r="F2646" t="s">
        <v>2969</v>
      </c>
    </row>
    <row r="2647" spans="1:6" x14ac:dyDescent="0.25">
      <c r="A2647" t="s">
        <v>2777</v>
      </c>
      <c r="B2647" t="s">
        <v>1420</v>
      </c>
      <c r="C2647" t="s">
        <v>76</v>
      </c>
      <c r="D2647">
        <v>2</v>
      </c>
      <c r="E2647" t="s">
        <v>2003</v>
      </c>
      <c r="F2647" t="s">
        <v>2969</v>
      </c>
    </row>
    <row r="2648" spans="1:6" x14ac:dyDescent="0.25">
      <c r="A2648" t="s">
        <v>2778</v>
      </c>
      <c r="B2648" t="s">
        <v>1421</v>
      </c>
      <c r="C2648" t="s">
        <v>125</v>
      </c>
      <c r="D2648">
        <v>1</v>
      </c>
      <c r="E2648" t="s">
        <v>72</v>
      </c>
      <c r="F2648" t="s">
        <v>2969</v>
      </c>
    </row>
    <row r="2649" spans="1:6" x14ac:dyDescent="0.25">
      <c r="A2649" t="s">
        <v>2778</v>
      </c>
      <c r="B2649" t="s">
        <v>1421</v>
      </c>
      <c r="C2649" t="s">
        <v>125</v>
      </c>
      <c r="D2649">
        <v>2</v>
      </c>
      <c r="E2649" t="s">
        <v>1886</v>
      </c>
      <c r="F2649" t="s">
        <v>2969</v>
      </c>
    </row>
    <row r="2650" spans="1:6" x14ac:dyDescent="0.25">
      <c r="A2650" t="s">
        <v>2778</v>
      </c>
      <c r="B2650" t="s">
        <v>1421</v>
      </c>
      <c r="C2650" t="s">
        <v>125</v>
      </c>
      <c r="D2650">
        <v>3</v>
      </c>
      <c r="E2650" t="s">
        <v>1689</v>
      </c>
      <c r="F2650" t="s">
        <v>2969</v>
      </c>
    </row>
    <row r="2651" spans="1:6" x14ac:dyDescent="0.25">
      <c r="A2651" t="s">
        <v>2778</v>
      </c>
      <c r="B2651" t="s">
        <v>1421</v>
      </c>
      <c r="C2651" t="s">
        <v>125</v>
      </c>
      <c r="D2651">
        <v>4</v>
      </c>
      <c r="E2651" t="s">
        <v>1701</v>
      </c>
      <c r="F2651" t="s">
        <v>2969</v>
      </c>
    </row>
    <row r="2652" spans="1:6" x14ac:dyDescent="0.25">
      <c r="A2652" t="s">
        <v>2778</v>
      </c>
      <c r="B2652" t="s">
        <v>1421</v>
      </c>
      <c r="C2652" t="s">
        <v>125</v>
      </c>
      <c r="D2652">
        <v>5</v>
      </c>
      <c r="E2652" t="s">
        <v>133</v>
      </c>
      <c r="F2652" t="s">
        <v>2969</v>
      </c>
    </row>
    <row r="2653" spans="1:6" x14ac:dyDescent="0.25">
      <c r="A2653" t="s">
        <v>2778</v>
      </c>
      <c r="B2653" t="s">
        <v>1421</v>
      </c>
      <c r="C2653" t="s">
        <v>125</v>
      </c>
      <c r="D2653">
        <v>6</v>
      </c>
      <c r="E2653" t="s">
        <v>1809</v>
      </c>
      <c r="F2653" t="s">
        <v>2969</v>
      </c>
    </row>
    <row r="2654" spans="1:6" x14ac:dyDescent="0.25">
      <c r="A2654" t="s">
        <v>2779</v>
      </c>
      <c r="B2654" t="s">
        <v>1422</v>
      </c>
      <c r="C2654" t="s">
        <v>83</v>
      </c>
      <c r="D2654">
        <v>1</v>
      </c>
      <c r="E2654" t="s">
        <v>2470</v>
      </c>
      <c r="F2654" t="s">
        <v>2969</v>
      </c>
    </row>
    <row r="2655" spans="1:6" x14ac:dyDescent="0.25">
      <c r="A2655" t="s">
        <v>2780</v>
      </c>
      <c r="B2655" t="s">
        <v>1423</v>
      </c>
      <c r="C2655" t="s">
        <v>110</v>
      </c>
      <c r="D2655">
        <v>1</v>
      </c>
      <c r="E2655" t="s">
        <v>2003</v>
      </c>
      <c r="F2655" t="s">
        <v>2969</v>
      </c>
    </row>
    <row r="2656" spans="1:6" x14ac:dyDescent="0.25">
      <c r="A2656" t="s">
        <v>2780</v>
      </c>
      <c r="B2656" t="s">
        <v>1423</v>
      </c>
      <c r="C2656" t="s">
        <v>110</v>
      </c>
      <c r="D2656">
        <v>2</v>
      </c>
      <c r="E2656" t="s">
        <v>1781</v>
      </c>
      <c r="F2656" t="s">
        <v>2969</v>
      </c>
    </row>
    <row r="2657" spans="1:6" x14ac:dyDescent="0.25">
      <c r="A2657" t="s">
        <v>2780</v>
      </c>
      <c r="B2657" t="s">
        <v>1423</v>
      </c>
      <c r="C2657" t="s">
        <v>110</v>
      </c>
      <c r="D2657">
        <v>3</v>
      </c>
      <c r="E2657" t="s">
        <v>1828</v>
      </c>
      <c r="F2657" t="s">
        <v>2969</v>
      </c>
    </row>
    <row r="2658" spans="1:6" x14ac:dyDescent="0.25">
      <c r="A2658" t="s">
        <v>2780</v>
      </c>
      <c r="B2658" t="s">
        <v>1423</v>
      </c>
      <c r="C2658" t="s">
        <v>110</v>
      </c>
      <c r="D2658">
        <v>4</v>
      </c>
      <c r="E2658" t="s">
        <v>2064</v>
      </c>
      <c r="F2658" t="s">
        <v>2969</v>
      </c>
    </row>
    <row r="2659" spans="1:6" x14ac:dyDescent="0.25">
      <c r="A2659" t="s">
        <v>2780</v>
      </c>
      <c r="B2659" t="s">
        <v>1423</v>
      </c>
      <c r="C2659" t="s">
        <v>110</v>
      </c>
      <c r="D2659">
        <v>5</v>
      </c>
      <c r="E2659" t="s">
        <v>1775</v>
      </c>
      <c r="F2659" t="s">
        <v>2969</v>
      </c>
    </row>
    <row r="2660" spans="1:6" x14ac:dyDescent="0.25">
      <c r="A2660" t="s">
        <v>2780</v>
      </c>
      <c r="B2660" t="s">
        <v>1423</v>
      </c>
      <c r="C2660" t="s">
        <v>110</v>
      </c>
      <c r="D2660">
        <v>6</v>
      </c>
      <c r="E2660" t="s">
        <v>2029</v>
      </c>
      <c r="F2660" t="s">
        <v>2969</v>
      </c>
    </row>
    <row r="2661" spans="1:6" x14ac:dyDescent="0.25">
      <c r="A2661" t="s">
        <v>2780</v>
      </c>
      <c r="B2661" t="s">
        <v>1423</v>
      </c>
      <c r="C2661" t="s">
        <v>110</v>
      </c>
      <c r="D2661">
        <v>7</v>
      </c>
      <c r="E2661" t="s">
        <v>2786</v>
      </c>
      <c r="F2661" t="s">
        <v>1692</v>
      </c>
    </row>
    <row r="2662" spans="1:6" x14ac:dyDescent="0.25">
      <c r="A2662" t="s">
        <v>2781</v>
      </c>
      <c r="B2662" t="s">
        <v>1424</v>
      </c>
      <c r="C2662" t="s">
        <v>71</v>
      </c>
      <c r="D2662">
        <v>1</v>
      </c>
      <c r="E2662" t="s">
        <v>1704</v>
      </c>
      <c r="F2662" t="s">
        <v>2969</v>
      </c>
    </row>
    <row r="2663" spans="1:6" x14ac:dyDescent="0.25">
      <c r="A2663" t="s">
        <v>2781</v>
      </c>
      <c r="B2663" t="s">
        <v>1424</v>
      </c>
      <c r="C2663" t="s">
        <v>71</v>
      </c>
      <c r="D2663">
        <v>2</v>
      </c>
      <c r="E2663" t="s">
        <v>2081</v>
      </c>
      <c r="F2663" t="s">
        <v>2969</v>
      </c>
    </row>
    <row r="2664" spans="1:6" x14ac:dyDescent="0.25">
      <c r="A2664" t="s">
        <v>2781</v>
      </c>
      <c r="B2664" t="s">
        <v>1424</v>
      </c>
      <c r="C2664" t="s">
        <v>71</v>
      </c>
      <c r="D2664">
        <v>3</v>
      </c>
      <c r="E2664" t="s">
        <v>1859</v>
      </c>
      <c r="F2664" t="s">
        <v>2969</v>
      </c>
    </row>
    <row r="2665" spans="1:6" x14ac:dyDescent="0.25">
      <c r="A2665" t="s">
        <v>2782</v>
      </c>
      <c r="B2665" t="s">
        <v>1425</v>
      </c>
      <c r="C2665" t="s">
        <v>79</v>
      </c>
      <c r="D2665">
        <v>1</v>
      </c>
      <c r="E2665" t="s">
        <v>1676</v>
      </c>
      <c r="F2665" t="s">
        <v>2969</v>
      </c>
    </row>
    <row r="2666" spans="1:6" x14ac:dyDescent="0.25">
      <c r="A2666" t="s">
        <v>2782</v>
      </c>
      <c r="B2666" t="s">
        <v>1425</v>
      </c>
      <c r="C2666" t="s">
        <v>79</v>
      </c>
      <c r="D2666">
        <v>2</v>
      </c>
      <c r="E2666" t="s">
        <v>1741</v>
      </c>
      <c r="F2666" t="s">
        <v>2969</v>
      </c>
    </row>
    <row r="2667" spans="1:6" x14ac:dyDescent="0.25">
      <c r="A2667" t="s">
        <v>2783</v>
      </c>
      <c r="B2667" t="s">
        <v>1426</v>
      </c>
      <c r="C2667" t="s">
        <v>37</v>
      </c>
      <c r="D2667">
        <v>1</v>
      </c>
      <c r="E2667" t="s">
        <v>109</v>
      </c>
      <c r="F2667" t="s">
        <v>2969</v>
      </c>
    </row>
    <row r="2668" spans="1:6" x14ac:dyDescent="0.25">
      <c r="A2668" t="s">
        <v>2783</v>
      </c>
      <c r="B2668" t="s">
        <v>1426</v>
      </c>
      <c r="C2668" t="s">
        <v>37</v>
      </c>
      <c r="D2668">
        <v>2</v>
      </c>
      <c r="E2668" t="s">
        <v>13</v>
      </c>
      <c r="F2668" t="s">
        <v>2969</v>
      </c>
    </row>
    <row r="2669" spans="1:6" x14ac:dyDescent="0.25">
      <c r="A2669" t="s">
        <v>2784</v>
      </c>
      <c r="B2669" t="s">
        <v>1427</v>
      </c>
      <c r="C2669" t="s">
        <v>83</v>
      </c>
      <c r="D2669">
        <v>1</v>
      </c>
      <c r="E2669" t="s">
        <v>1673</v>
      </c>
      <c r="F2669" t="s">
        <v>2969</v>
      </c>
    </row>
    <row r="2670" spans="1:6" x14ac:dyDescent="0.25">
      <c r="A2670" t="s">
        <v>2784</v>
      </c>
      <c r="B2670" t="s">
        <v>1427</v>
      </c>
      <c r="C2670" t="s">
        <v>83</v>
      </c>
      <c r="D2670">
        <v>2</v>
      </c>
      <c r="E2670" t="s">
        <v>2470</v>
      </c>
      <c r="F2670" t="s">
        <v>2969</v>
      </c>
    </row>
    <row r="2671" spans="1:6" x14ac:dyDescent="0.25">
      <c r="A2671" t="s">
        <v>2784</v>
      </c>
      <c r="B2671" t="s">
        <v>1427</v>
      </c>
      <c r="C2671" t="s">
        <v>83</v>
      </c>
      <c r="D2671">
        <v>3</v>
      </c>
      <c r="E2671" t="s">
        <v>36</v>
      </c>
      <c r="F2671" t="s">
        <v>2969</v>
      </c>
    </row>
    <row r="2672" spans="1:6" x14ac:dyDescent="0.25">
      <c r="A2672" t="s">
        <v>2784</v>
      </c>
      <c r="B2672" t="s">
        <v>1427</v>
      </c>
      <c r="C2672" t="s">
        <v>83</v>
      </c>
      <c r="D2672">
        <v>4</v>
      </c>
      <c r="E2672" t="s">
        <v>2046</v>
      </c>
      <c r="F2672" t="s">
        <v>2969</v>
      </c>
    </row>
    <row r="2673" spans="1:6" x14ac:dyDescent="0.25">
      <c r="A2673" t="s">
        <v>2784</v>
      </c>
      <c r="B2673" t="s">
        <v>1427</v>
      </c>
      <c r="C2673" t="s">
        <v>83</v>
      </c>
      <c r="D2673">
        <v>5</v>
      </c>
      <c r="E2673" t="s">
        <v>1691</v>
      </c>
      <c r="F2673" t="s">
        <v>2969</v>
      </c>
    </row>
    <row r="2674" spans="1:6" x14ac:dyDescent="0.25">
      <c r="A2674" t="s">
        <v>2784</v>
      </c>
      <c r="B2674" t="s">
        <v>1427</v>
      </c>
      <c r="C2674" t="s">
        <v>83</v>
      </c>
      <c r="D2674">
        <v>6</v>
      </c>
      <c r="E2674" t="s">
        <v>1764</v>
      </c>
      <c r="F2674" t="s">
        <v>2969</v>
      </c>
    </row>
    <row r="2675" spans="1:6" x14ac:dyDescent="0.25">
      <c r="A2675" t="s">
        <v>2784</v>
      </c>
      <c r="B2675" t="s">
        <v>1427</v>
      </c>
      <c r="C2675" t="s">
        <v>83</v>
      </c>
      <c r="D2675">
        <v>7</v>
      </c>
      <c r="E2675" t="s">
        <v>2017</v>
      </c>
      <c r="F2675" t="s">
        <v>1692</v>
      </c>
    </row>
    <row r="2676" spans="1:6" x14ac:dyDescent="0.25">
      <c r="A2676" t="s">
        <v>2785</v>
      </c>
      <c r="B2676" t="s">
        <v>1428</v>
      </c>
      <c r="C2676" t="s">
        <v>110</v>
      </c>
      <c r="D2676">
        <v>1</v>
      </c>
      <c r="E2676" t="s">
        <v>2786</v>
      </c>
      <c r="F2676" t="s">
        <v>2969</v>
      </c>
    </row>
    <row r="2677" spans="1:6" x14ac:dyDescent="0.25">
      <c r="A2677" t="s">
        <v>2785</v>
      </c>
      <c r="B2677" t="s">
        <v>1428</v>
      </c>
      <c r="C2677" t="s">
        <v>110</v>
      </c>
      <c r="D2677">
        <v>2</v>
      </c>
      <c r="E2677" t="s">
        <v>2973</v>
      </c>
      <c r="F2677" t="s">
        <v>2969</v>
      </c>
    </row>
    <row r="2678" spans="1:6" x14ac:dyDescent="0.25">
      <c r="A2678" t="s">
        <v>2785</v>
      </c>
      <c r="B2678" t="s">
        <v>1428</v>
      </c>
      <c r="C2678" t="s">
        <v>110</v>
      </c>
      <c r="D2678">
        <v>3</v>
      </c>
      <c r="E2678" t="s">
        <v>2975</v>
      </c>
      <c r="F2678" t="s">
        <v>2969</v>
      </c>
    </row>
    <row r="2679" spans="1:6" x14ac:dyDescent="0.25">
      <c r="A2679" t="s">
        <v>2787</v>
      </c>
      <c r="B2679" t="s">
        <v>1429</v>
      </c>
      <c r="C2679" t="s">
        <v>43</v>
      </c>
      <c r="D2679">
        <v>1</v>
      </c>
      <c r="E2679" t="s">
        <v>1701</v>
      </c>
      <c r="F2679" t="s">
        <v>2969</v>
      </c>
    </row>
    <row r="2680" spans="1:6" x14ac:dyDescent="0.25">
      <c r="A2680" t="s">
        <v>2787</v>
      </c>
      <c r="B2680" t="s">
        <v>1429</v>
      </c>
      <c r="C2680" t="s">
        <v>43</v>
      </c>
      <c r="D2680">
        <v>2</v>
      </c>
      <c r="E2680" t="s">
        <v>1707</v>
      </c>
      <c r="F2680" t="s">
        <v>2969</v>
      </c>
    </row>
    <row r="2681" spans="1:6" x14ac:dyDescent="0.25">
      <c r="A2681" t="s">
        <v>2787</v>
      </c>
      <c r="B2681" t="s">
        <v>1429</v>
      </c>
      <c r="C2681" t="s">
        <v>43</v>
      </c>
      <c r="D2681">
        <v>3</v>
      </c>
      <c r="E2681" t="s">
        <v>1680</v>
      </c>
      <c r="F2681" t="s">
        <v>2969</v>
      </c>
    </row>
    <row r="2682" spans="1:6" x14ac:dyDescent="0.25">
      <c r="A2682" t="s">
        <v>2788</v>
      </c>
      <c r="B2682" t="s">
        <v>1430</v>
      </c>
      <c r="C2682" t="s">
        <v>14</v>
      </c>
      <c r="D2682">
        <v>1</v>
      </c>
      <c r="E2682" t="s">
        <v>1822</v>
      </c>
      <c r="F2682" t="s">
        <v>2969</v>
      </c>
    </row>
    <row r="2683" spans="1:6" x14ac:dyDescent="0.25">
      <c r="A2683" t="s">
        <v>2788</v>
      </c>
      <c r="B2683" t="s">
        <v>1430</v>
      </c>
      <c r="C2683" t="s">
        <v>14</v>
      </c>
      <c r="D2683">
        <v>2</v>
      </c>
      <c r="E2683" t="s">
        <v>1637</v>
      </c>
      <c r="F2683" t="s">
        <v>2969</v>
      </c>
    </row>
    <row r="2684" spans="1:6" x14ac:dyDescent="0.25">
      <c r="A2684" t="s">
        <v>2789</v>
      </c>
      <c r="B2684" t="s">
        <v>1431</v>
      </c>
      <c r="C2684" t="s">
        <v>83</v>
      </c>
      <c r="D2684">
        <v>1</v>
      </c>
      <c r="E2684" t="s">
        <v>72</v>
      </c>
      <c r="F2684" t="s">
        <v>2969</v>
      </c>
    </row>
    <row r="2685" spans="1:6" x14ac:dyDescent="0.25">
      <c r="A2685" t="s">
        <v>2790</v>
      </c>
      <c r="B2685" t="s">
        <v>1432</v>
      </c>
      <c r="C2685" t="s">
        <v>56</v>
      </c>
      <c r="D2685">
        <v>1</v>
      </c>
      <c r="E2685" t="s">
        <v>131</v>
      </c>
      <c r="F2685" t="s">
        <v>2969</v>
      </c>
    </row>
    <row r="2686" spans="1:6" x14ac:dyDescent="0.25">
      <c r="A2686" t="s">
        <v>2790</v>
      </c>
      <c r="B2686" t="s">
        <v>1432</v>
      </c>
      <c r="C2686" t="s">
        <v>56</v>
      </c>
      <c r="D2686">
        <v>2</v>
      </c>
      <c r="E2686" t="s">
        <v>1809</v>
      </c>
      <c r="F2686" t="s">
        <v>2969</v>
      </c>
    </row>
    <row r="2687" spans="1:6" x14ac:dyDescent="0.25">
      <c r="A2687" t="s">
        <v>2791</v>
      </c>
      <c r="B2687" t="s">
        <v>1433</v>
      </c>
      <c r="C2687" t="s">
        <v>83</v>
      </c>
      <c r="D2687">
        <v>1</v>
      </c>
      <c r="E2687" t="s">
        <v>1649</v>
      </c>
      <c r="F2687" t="s">
        <v>2969</v>
      </c>
    </row>
    <row r="2688" spans="1:6" x14ac:dyDescent="0.25">
      <c r="A2688" t="s">
        <v>2792</v>
      </c>
      <c r="B2688" t="s">
        <v>1434</v>
      </c>
      <c r="C2688" t="s">
        <v>65</v>
      </c>
      <c r="D2688">
        <v>1</v>
      </c>
      <c r="E2688" t="s">
        <v>1624</v>
      </c>
      <c r="F2688" t="s">
        <v>2969</v>
      </c>
    </row>
    <row r="2689" spans="1:6" x14ac:dyDescent="0.25">
      <c r="A2689" t="s">
        <v>2793</v>
      </c>
      <c r="B2689" t="s">
        <v>1435</v>
      </c>
      <c r="C2689" t="s">
        <v>90</v>
      </c>
      <c r="D2689">
        <v>1</v>
      </c>
      <c r="E2689" t="s">
        <v>1726</v>
      </c>
      <c r="F2689" t="s">
        <v>2969</v>
      </c>
    </row>
    <row r="2690" spans="1:6" x14ac:dyDescent="0.25">
      <c r="A2690" t="s">
        <v>2793</v>
      </c>
      <c r="B2690" t="s">
        <v>1435</v>
      </c>
      <c r="C2690" t="s">
        <v>90</v>
      </c>
      <c r="D2690">
        <v>2</v>
      </c>
      <c r="E2690" t="s">
        <v>1862</v>
      </c>
      <c r="F2690" t="s">
        <v>2969</v>
      </c>
    </row>
    <row r="2691" spans="1:6" x14ac:dyDescent="0.25">
      <c r="A2691" t="s">
        <v>2793</v>
      </c>
      <c r="B2691" t="s">
        <v>1435</v>
      </c>
      <c r="C2691" t="s">
        <v>90</v>
      </c>
      <c r="D2691">
        <v>3</v>
      </c>
      <c r="E2691" t="s">
        <v>1645</v>
      </c>
      <c r="F2691" t="s">
        <v>2969</v>
      </c>
    </row>
    <row r="2692" spans="1:6" x14ac:dyDescent="0.25">
      <c r="A2692" t="s">
        <v>2793</v>
      </c>
      <c r="B2692" t="s">
        <v>1435</v>
      </c>
      <c r="C2692" t="s">
        <v>90</v>
      </c>
      <c r="D2692">
        <v>4</v>
      </c>
      <c r="E2692" t="s">
        <v>1624</v>
      </c>
      <c r="F2692" t="s">
        <v>2969</v>
      </c>
    </row>
    <row r="2693" spans="1:6" x14ac:dyDescent="0.25">
      <c r="A2693" t="s">
        <v>2794</v>
      </c>
      <c r="B2693" t="s">
        <v>1436</v>
      </c>
      <c r="C2693" t="s">
        <v>52</v>
      </c>
      <c r="D2693">
        <v>1</v>
      </c>
      <c r="E2693" t="s">
        <v>131</v>
      </c>
      <c r="F2693" t="s">
        <v>2969</v>
      </c>
    </row>
    <row r="2694" spans="1:6" x14ac:dyDescent="0.25">
      <c r="A2694" t="s">
        <v>2794</v>
      </c>
      <c r="B2694" t="s">
        <v>1436</v>
      </c>
      <c r="C2694" t="s">
        <v>52</v>
      </c>
      <c r="D2694">
        <v>2</v>
      </c>
      <c r="E2694" t="s">
        <v>133</v>
      </c>
      <c r="F2694" t="s">
        <v>2969</v>
      </c>
    </row>
    <row r="2695" spans="1:6" x14ac:dyDescent="0.25">
      <c r="A2695" t="s">
        <v>2794</v>
      </c>
      <c r="B2695" t="s">
        <v>1436</v>
      </c>
      <c r="C2695" t="s">
        <v>52</v>
      </c>
      <c r="D2695">
        <v>3</v>
      </c>
      <c r="E2695" t="s">
        <v>1809</v>
      </c>
      <c r="F2695" t="s">
        <v>2969</v>
      </c>
    </row>
    <row r="2696" spans="1:6" x14ac:dyDescent="0.25">
      <c r="A2696" t="s">
        <v>2795</v>
      </c>
      <c r="B2696" t="s">
        <v>1437</v>
      </c>
      <c r="C2696" t="s">
        <v>8</v>
      </c>
      <c r="D2696">
        <v>1</v>
      </c>
      <c r="E2696" t="s">
        <v>2094</v>
      </c>
      <c r="F2696" t="s">
        <v>2969</v>
      </c>
    </row>
    <row r="2697" spans="1:6" x14ac:dyDescent="0.25">
      <c r="A2697" t="s">
        <v>2796</v>
      </c>
      <c r="B2697" t="s">
        <v>1438</v>
      </c>
      <c r="C2697" t="s">
        <v>83</v>
      </c>
      <c r="D2697">
        <v>1</v>
      </c>
      <c r="E2697" t="s">
        <v>2470</v>
      </c>
      <c r="F2697" t="s">
        <v>2969</v>
      </c>
    </row>
    <row r="2698" spans="1:6" x14ac:dyDescent="0.25">
      <c r="A2698" t="s">
        <v>2796</v>
      </c>
      <c r="B2698" t="s">
        <v>1438</v>
      </c>
      <c r="C2698" t="s">
        <v>83</v>
      </c>
      <c r="D2698">
        <v>2</v>
      </c>
      <c r="E2698" t="s">
        <v>1687</v>
      </c>
      <c r="F2698" t="s">
        <v>2969</v>
      </c>
    </row>
    <row r="2699" spans="1:6" x14ac:dyDescent="0.25">
      <c r="A2699" t="s">
        <v>2796</v>
      </c>
      <c r="B2699" t="s">
        <v>1438</v>
      </c>
      <c r="C2699" t="s">
        <v>83</v>
      </c>
      <c r="D2699">
        <v>3</v>
      </c>
      <c r="E2699" t="s">
        <v>36</v>
      </c>
      <c r="F2699" t="s">
        <v>2969</v>
      </c>
    </row>
    <row r="2700" spans="1:6" x14ac:dyDescent="0.25">
      <c r="A2700" t="s">
        <v>2797</v>
      </c>
      <c r="B2700" t="s">
        <v>1439</v>
      </c>
      <c r="C2700" t="s">
        <v>128</v>
      </c>
      <c r="D2700">
        <v>1</v>
      </c>
      <c r="E2700" t="s">
        <v>72</v>
      </c>
      <c r="F2700" t="s">
        <v>2969</v>
      </c>
    </row>
    <row r="2701" spans="1:6" x14ac:dyDescent="0.25">
      <c r="A2701" t="s">
        <v>2797</v>
      </c>
      <c r="B2701" t="s">
        <v>1439</v>
      </c>
      <c r="C2701" t="s">
        <v>128</v>
      </c>
      <c r="D2701">
        <v>2</v>
      </c>
      <c r="E2701" t="s">
        <v>2336</v>
      </c>
      <c r="F2701" t="s">
        <v>2969</v>
      </c>
    </row>
    <row r="2702" spans="1:6" x14ac:dyDescent="0.25">
      <c r="A2702" t="s">
        <v>2797</v>
      </c>
      <c r="B2702" t="s">
        <v>1439</v>
      </c>
      <c r="C2702" t="s">
        <v>128</v>
      </c>
      <c r="D2702">
        <v>3</v>
      </c>
      <c r="E2702" t="s">
        <v>1689</v>
      </c>
      <c r="F2702" t="s">
        <v>2969</v>
      </c>
    </row>
    <row r="2703" spans="1:6" x14ac:dyDescent="0.25">
      <c r="A2703" t="s">
        <v>2797</v>
      </c>
      <c r="B2703" t="s">
        <v>1439</v>
      </c>
      <c r="C2703" t="s">
        <v>128</v>
      </c>
      <c r="D2703">
        <v>4</v>
      </c>
      <c r="E2703" t="s">
        <v>1697</v>
      </c>
      <c r="F2703" t="s">
        <v>2969</v>
      </c>
    </row>
    <row r="2704" spans="1:6" x14ac:dyDescent="0.25">
      <c r="A2704" t="s">
        <v>2798</v>
      </c>
      <c r="B2704" t="s">
        <v>1440</v>
      </c>
      <c r="C2704" t="s">
        <v>85</v>
      </c>
      <c r="D2704">
        <v>1</v>
      </c>
      <c r="E2704" t="s">
        <v>1719</v>
      </c>
      <c r="F2704" t="s">
        <v>2969</v>
      </c>
    </row>
    <row r="2705" spans="1:6" x14ac:dyDescent="0.25">
      <c r="A2705" t="s">
        <v>2798</v>
      </c>
      <c r="B2705" t="s">
        <v>1440</v>
      </c>
      <c r="C2705" t="s">
        <v>85</v>
      </c>
      <c r="D2705">
        <v>2</v>
      </c>
      <c r="E2705" t="s">
        <v>1629</v>
      </c>
      <c r="F2705" t="s">
        <v>2969</v>
      </c>
    </row>
    <row r="2706" spans="1:6" x14ac:dyDescent="0.25">
      <c r="A2706" t="s">
        <v>2798</v>
      </c>
      <c r="B2706" t="s">
        <v>1440</v>
      </c>
      <c r="C2706" t="s">
        <v>85</v>
      </c>
      <c r="D2706">
        <v>3</v>
      </c>
      <c r="E2706" t="s">
        <v>1621</v>
      </c>
      <c r="F2706" t="s">
        <v>2969</v>
      </c>
    </row>
    <row r="2707" spans="1:6" x14ac:dyDescent="0.25">
      <c r="A2707" t="s">
        <v>2799</v>
      </c>
      <c r="B2707" t="s">
        <v>1441</v>
      </c>
      <c r="C2707" t="s">
        <v>118</v>
      </c>
      <c r="D2707">
        <v>1</v>
      </c>
      <c r="E2707" t="s">
        <v>1713</v>
      </c>
      <c r="F2707" t="s">
        <v>2969</v>
      </c>
    </row>
    <row r="2708" spans="1:6" x14ac:dyDescent="0.25">
      <c r="A2708" t="s">
        <v>2799</v>
      </c>
      <c r="B2708" t="s">
        <v>1441</v>
      </c>
      <c r="C2708" t="s">
        <v>118</v>
      </c>
      <c r="D2708">
        <v>2</v>
      </c>
      <c r="E2708" t="s">
        <v>33</v>
      </c>
      <c r="F2708" t="s">
        <v>2969</v>
      </c>
    </row>
    <row r="2709" spans="1:6" x14ac:dyDescent="0.25">
      <c r="A2709" t="s">
        <v>2799</v>
      </c>
      <c r="B2709" t="s">
        <v>1441</v>
      </c>
      <c r="C2709" t="s">
        <v>118</v>
      </c>
      <c r="D2709">
        <v>3</v>
      </c>
      <c r="E2709" t="s">
        <v>1680</v>
      </c>
      <c r="F2709" t="s">
        <v>2969</v>
      </c>
    </row>
    <row r="2710" spans="1:6" x14ac:dyDescent="0.25">
      <c r="A2710" t="s">
        <v>2800</v>
      </c>
      <c r="B2710" t="s">
        <v>1442</v>
      </c>
      <c r="C2710" t="s">
        <v>116</v>
      </c>
      <c r="D2710">
        <v>1</v>
      </c>
      <c r="E2710" t="s">
        <v>2111</v>
      </c>
      <c r="F2710" t="s">
        <v>2969</v>
      </c>
    </row>
    <row r="2711" spans="1:6" x14ac:dyDescent="0.25">
      <c r="A2711" t="s">
        <v>2800</v>
      </c>
      <c r="B2711" t="s">
        <v>1442</v>
      </c>
      <c r="C2711" t="s">
        <v>116</v>
      </c>
      <c r="D2711">
        <v>2</v>
      </c>
      <c r="E2711" t="s">
        <v>126</v>
      </c>
      <c r="F2711" t="s">
        <v>2969</v>
      </c>
    </row>
    <row r="2712" spans="1:6" x14ac:dyDescent="0.25">
      <c r="A2712" t="s">
        <v>2800</v>
      </c>
      <c r="B2712" t="s">
        <v>1442</v>
      </c>
      <c r="C2712" t="s">
        <v>116</v>
      </c>
      <c r="D2712">
        <v>3</v>
      </c>
      <c r="E2712" t="s">
        <v>2344</v>
      </c>
      <c r="F2712" t="s">
        <v>2969</v>
      </c>
    </row>
    <row r="2713" spans="1:6" x14ac:dyDescent="0.25">
      <c r="A2713" t="s">
        <v>2801</v>
      </c>
      <c r="B2713" t="s">
        <v>1443</v>
      </c>
      <c r="C2713" t="s">
        <v>92</v>
      </c>
      <c r="D2713">
        <v>1</v>
      </c>
      <c r="E2713" t="s">
        <v>64</v>
      </c>
      <c r="F2713" t="s">
        <v>2969</v>
      </c>
    </row>
    <row r="2714" spans="1:6" x14ac:dyDescent="0.25">
      <c r="A2714" t="s">
        <v>2801</v>
      </c>
      <c r="B2714" t="s">
        <v>1443</v>
      </c>
      <c r="C2714" t="s">
        <v>92</v>
      </c>
      <c r="D2714">
        <v>2</v>
      </c>
      <c r="E2714" t="s">
        <v>1645</v>
      </c>
      <c r="F2714" t="s">
        <v>2969</v>
      </c>
    </row>
    <row r="2715" spans="1:6" x14ac:dyDescent="0.25">
      <c r="A2715" t="s">
        <v>2802</v>
      </c>
      <c r="B2715" t="s">
        <v>1444</v>
      </c>
      <c r="C2715" t="s">
        <v>113</v>
      </c>
      <c r="D2715">
        <v>1</v>
      </c>
      <c r="E2715" t="s">
        <v>1689</v>
      </c>
      <c r="F2715" t="s">
        <v>2969</v>
      </c>
    </row>
    <row r="2716" spans="1:6" x14ac:dyDescent="0.25">
      <c r="A2716" t="s">
        <v>2802</v>
      </c>
      <c r="B2716" t="s">
        <v>1444</v>
      </c>
      <c r="C2716" t="s">
        <v>113</v>
      </c>
      <c r="D2716">
        <v>2</v>
      </c>
      <c r="E2716" t="s">
        <v>1649</v>
      </c>
      <c r="F2716" t="s">
        <v>2969</v>
      </c>
    </row>
    <row r="2717" spans="1:6" x14ac:dyDescent="0.25">
      <c r="A2717" t="s">
        <v>2802</v>
      </c>
      <c r="B2717" t="s">
        <v>1444</v>
      </c>
      <c r="C2717" t="s">
        <v>113</v>
      </c>
      <c r="D2717">
        <v>3</v>
      </c>
      <c r="E2717" t="s">
        <v>1707</v>
      </c>
      <c r="F2717" t="s">
        <v>2969</v>
      </c>
    </row>
    <row r="2718" spans="1:6" x14ac:dyDescent="0.25">
      <c r="A2718" t="s">
        <v>2802</v>
      </c>
      <c r="B2718" t="s">
        <v>1444</v>
      </c>
      <c r="C2718" t="s">
        <v>113</v>
      </c>
      <c r="D2718">
        <v>4</v>
      </c>
      <c r="E2718" t="s">
        <v>1704</v>
      </c>
      <c r="F2718" t="s">
        <v>2969</v>
      </c>
    </row>
    <row r="2719" spans="1:6" x14ac:dyDescent="0.25">
      <c r="A2719" t="s">
        <v>2802</v>
      </c>
      <c r="B2719" t="s">
        <v>1444</v>
      </c>
      <c r="C2719" t="s">
        <v>113</v>
      </c>
      <c r="D2719">
        <v>5</v>
      </c>
      <c r="E2719" t="s">
        <v>1651</v>
      </c>
      <c r="F2719" t="s">
        <v>2969</v>
      </c>
    </row>
    <row r="2720" spans="1:6" x14ac:dyDescent="0.25">
      <c r="A2720" t="s">
        <v>2803</v>
      </c>
      <c r="B2720" t="s">
        <v>1445</v>
      </c>
      <c r="C2720" t="s">
        <v>90</v>
      </c>
      <c r="D2720">
        <v>1</v>
      </c>
      <c r="E2720" t="s">
        <v>78</v>
      </c>
      <c r="F2720" t="s">
        <v>2969</v>
      </c>
    </row>
    <row r="2721" spans="1:6" x14ac:dyDescent="0.25">
      <c r="A2721" t="s">
        <v>2803</v>
      </c>
      <c r="B2721" t="s">
        <v>1445</v>
      </c>
      <c r="C2721" t="s">
        <v>90</v>
      </c>
      <c r="D2721">
        <v>2</v>
      </c>
      <c r="E2721" t="s">
        <v>1657</v>
      </c>
      <c r="F2721" t="s">
        <v>2969</v>
      </c>
    </row>
    <row r="2722" spans="1:6" x14ac:dyDescent="0.25">
      <c r="A2722" t="s">
        <v>2803</v>
      </c>
      <c r="B2722" t="s">
        <v>1445</v>
      </c>
      <c r="C2722" t="s">
        <v>90</v>
      </c>
      <c r="D2722">
        <v>3</v>
      </c>
      <c r="E2722" t="s">
        <v>96</v>
      </c>
      <c r="F2722" t="s">
        <v>2969</v>
      </c>
    </row>
    <row r="2723" spans="1:6" x14ac:dyDescent="0.25">
      <c r="A2723" t="s">
        <v>2804</v>
      </c>
      <c r="B2723" t="s">
        <v>1446</v>
      </c>
      <c r="C2723" t="s">
        <v>121</v>
      </c>
      <c r="D2723">
        <v>1</v>
      </c>
      <c r="E2723" t="s">
        <v>1643</v>
      </c>
      <c r="F2723" t="s">
        <v>2969</v>
      </c>
    </row>
    <row r="2724" spans="1:6" x14ac:dyDescent="0.25">
      <c r="A2724" t="s">
        <v>2804</v>
      </c>
      <c r="B2724" t="s">
        <v>1446</v>
      </c>
      <c r="C2724" t="s">
        <v>121</v>
      </c>
      <c r="D2724">
        <v>2</v>
      </c>
      <c r="E2724" t="s">
        <v>2169</v>
      </c>
      <c r="F2724" t="s">
        <v>2969</v>
      </c>
    </row>
    <row r="2725" spans="1:6" x14ac:dyDescent="0.25">
      <c r="A2725" t="s">
        <v>2804</v>
      </c>
      <c r="B2725" t="s">
        <v>1446</v>
      </c>
      <c r="C2725" t="s">
        <v>121</v>
      </c>
      <c r="D2725">
        <v>3</v>
      </c>
      <c r="E2725" t="s">
        <v>1923</v>
      </c>
      <c r="F2725" t="s">
        <v>2969</v>
      </c>
    </row>
    <row r="2726" spans="1:6" x14ac:dyDescent="0.25">
      <c r="A2726" t="s">
        <v>2804</v>
      </c>
      <c r="B2726" t="s">
        <v>1446</v>
      </c>
      <c r="C2726" t="s">
        <v>121</v>
      </c>
      <c r="D2726">
        <v>4</v>
      </c>
      <c r="E2726" t="s">
        <v>2128</v>
      </c>
      <c r="F2726" t="s">
        <v>2969</v>
      </c>
    </row>
    <row r="2727" spans="1:6" x14ac:dyDescent="0.25">
      <c r="A2727" t="s">
        <v>2805</v>
      </c>
      <c r="B2727" t="s">
        <v>1447</v>
      </c>
      <c r="C2727" t="s">
        <v>20</v>
      </c>
      <c r="D2727">
        <v>1</v>
      </c>
      <c r="E2727" t="s">
        <v>2336</v>
      </c>
      <c r="F2727" t="s">
        <v>2969</v>
      </c>
    </row>
    <row r="2728" spans="1:6" x14ac:dyDescent="0.25">
      <c r="A2728" t="s">
        <v>2806</v>
      </c>
      <c r="B2728" t="s">
        <v>1448</v>
      </c>
      <c r="C2728" t="s">
        <v>69</v>
      </c>
      <c r="D2728">
        <v>1</v>
      </c>
      <c r="E2728" t="s">
        <v>86</v>
      </c>
      <c r="F2728" t="s">
        <v>2969</v>
      </c>
    </row>
    <row r="2729" spans="1:6" x14ac:dyDescent="0.25">
      <c r="A2729" t="s">
        <v>2806</v>
      </c>
      <c r="B2729" t="s">
        <v>1448</v>
      </c>
      <c r="C2729" t="s">
        <v>69</v>
      </c>
      <c r="D2729">
        <v>2</v>
      </c>
      <c r="E2729" t="s">
        <v>1904</v>
      </c>
      <c r="F2729" t="s">
        <v>2969</v>
      </c>
    </row>
    <row r="2730" spans="1:6" x14ac:dyDescent="0.25">
      <c r="A2730" t="s">
        <v>2806</v>
      </c>
      <c r="B2730" t="s">
        <v>1448</v>
      </c>
      <c r="C2730" t="s">
        <v>69</v>
      </c>
      <c r="D2730">
        <v>3</v>
      </c>
      <c r="E2730" t="s">
        <v>82</v>
      </c>
      <c r="F2730" t="s">
        <v>2969</v>
      </c>
    </row>
    <row r="2731" spans="1:6" x14ac:dyDescent="0.25">
      <c r="A2731" t="s">
        <v>2807</v>
      </c>
      <c r="B2731" t="s">
        <v>1449</v>
      </c>
      <c r="C2731" t="s">
        <v>76</v>
      </c>
      <c r="D2731">
        <v>1</v>
      </c>
      <c r="E2731" t="s">
        <v>1634</v>
      </c>
      <c r="F2731" t="s">
        <v>2969</v>
      </c>
    </row>
    <row r="2732" spans="1:6" x14ac:dyDescent="0.25">
      <c r="A2732" t="s">
        <v>2808</v>
      </c>
      <c r="B2732" t="s">
        <v>1450</v>
      </c>
      <c r="C2732" t="s">
        <v>59</v>
      </c>
      <c r="D2732">
        <v>1</v>
      </c>
      <c r="E2732" t="s">
        <v>75</v>
      </c>
      <c r="F2732" t="s">
        <v>2969</v>
      </c>
    </row>
    <row r="2733" spans="1:6" x14ac:dyDescent="0.25">
      <c r="A2733" t="s">
        <v>2809</v>
      </c>
      <c r="B2733" t="s">
        <v>1451</v>
      </c>
      <c r="C2733" t="s">
        <v>14</v>
      </c>
      <c r="D2733">
        <v>1</v>
      </c>
      <c r="E2733" t="s">
        <v>51</v>
      </c>
      <c r="F2733" t="s">
        <v>2969</v>
      </c>
    </row>
    <row r="2734" spans="1:6" x14ac:dyDescent="0.25">
      <c r="A2734" t="s">
        <v>2809</v>
      </c>
      <c r="B2734" t="s">
        <v>1451</v>
      </c>
      <c r="C2734" t="s">
        <v>14</v>
      </c>
      <c r="D2734">
        <v>2</v>
      </c>
      <c r="E2734" t="s">
        <v>1801</v>
      </c>
      <c r="F2734" t="s">
        <v>2969</v>
      </c>
    </row>
    <row r="2735" spans="1:6" x14ac:dyDescent="0.25">
      <c r="A2735" t="s">
        <v>2809</v>
      </c>
      <c r="B2735" t="s">
        <v>1451</v>
      </c>
      <c r="C2735" t="s">
        <v>14</v>
      </c>
      <c r="D2735">
        <v>3</v>
      </c>
      <c r="E2735" t="s">
        <v>2751</v>
      </c>
      <c r="F2735" t="s">
        <v>2969</v>
      </c>
    </row>
    <row r="2736" spans="1:6" x14ac:dyDescent="0.25">
      <c r="A2736" t="s">
        <v>2809</v>
      </c>
      <c r="B2736" t="s">
        <v>1451</v>
      </c>
      <c r="C2736" t="s">
        <v>14</v>
      </c>
      <c r="D2736">
        <v>4</v>
      </c>
      <c r="E2736" t="s">
        <v>1629</v>
      </c>
      <c r="F2736" t="s">
        <v>2969</v>
      </c>
    </row>
    <row r="2737" spans="1:6" x14ac:dyDescent="0.25">
      <c r="A2737" t="s">
        <v>2810</v>
      </c>
      <c r="B2737" t="s">
        <v>1452</v>
      </c>
      <c r="C2737" t="s">
        <v>107</v>
      </c>
      <c r="D2737">
        <v>1</v>
      </c>
      <c r="E2737" t="s">
        <v>1685</v>
      </c>
      <c r="F2737" t="s">
        <v>2969</v>
      </c>
    </row>
    <row r="2738" spans="1:6" x14ac:dyDescent="0.25">
      <c r="A2738" t="s">
        <v>2811</v>
      </c>
      <c r="B2738" t="s">
        <v>1453</v>
      </c>
      <c r="C2738" t="s">
        <v>121</v>
      </c>
      <c r="D2738">
        <v>1</v>
      </c>
      <c r="E2738" t="s">
        <v>1879</v>
      </c>
      <c r="F2738" t="s">
        <v>2969</v>
      </c>
    </row>
    <row r="2739" spans="1:6" x14ac:dyDescent="0.25">
      <c r="A2739" t="s">
        <v>2811</v>
      </c>
      <c r="B2739" t="s">
        <v>1453</v>
      </c>
      <c r="C2739" t="s">
        <v>121</v>
      </c>
      <c r="D2739">
        <v>2</v>
      </c>
      <c r="E2739" t="s">
        <v>1711</v>
      </c>
      <c r="F2739" t="s">
        <v>2969</v>
      </c>
    </row>
    <row r="2740" spans="1:6" x14ac:dyDescent="0.25">
      <c r="A2740" t="s">
        <v>2812</v>
      </c>
      <c r="B2740" t="s">
        <v>1454</v>
      </c>
      <c r="C2740" t="s">
        <v>103</v>
      </c>
      <c r="D2740">
        <v>1</v>
      </c>
      <c r="E2740" t="s">
        <v>1728</v>
      </c>
      <c r="F2740" t="s">
        <v>2969</v>
      </c>
    </row>
    <row r="2741" spans="1:6" x14ac:dyDescent="0.25">
      <c r="A2741" t="s">
        <v>2812</v>
      </c>
      <c r="B2741" t="s">
        <v>1454</v>
      </c>
      <c r="C2741" t="s">
        <v>103</v>
      </c>
      <c r="D2741">
        <v>2</v>
      </c>
      <c r="E2741" t="s">
        <v>51</v>
      </c>
      <c r="F2741" t="s">
        <v>2969</v>
      </c>
    </row>
    <row r="2742" spans="1:6" x14ac:dyDescent="0.25">
      <c r="A2742" t="s">
        <v>2812</v>
      </c>
      <c r="B2742" t="s">
        <v>1454</v>
      </c>
      <c r="C2742" t="s">
        <v>103</v>
      </c>
      <c r="D2742">
        <v>3</v>
      </c>
      <c r="E2742" t="s">
        <v>1657</v>
      </c>
      <c r="F2742" t="s">
        <v>2969</v>
      </c>
    </row>
    <row r="2743" spans="1:6" x14ac:dyDescent="0.25">
      <c r="A2743" t="s">
        <v>2813</v>
      </c>
      <c r="B2743" t="s">
        <v>1455</v>
      </c>
      <c r="C2743" t="s">
        <v>125</v>
      </c>
      <c r="D2743">
        <v>1</v>
      </c>
      <c r="E2743" t="s">
        <v>1809</v>
      </c>
      <c r="F2743" t="s">
        <v>2969</v>
      </c>
    </row>
    <row r="2744" spans="1:6" x14ac:dyDescent="0.25">
      <c r="A2744" t="s">
        <v>2813</v>
      </c>
      <c r="B2744" t="s">
        <v>1455</v>
      </c>
      <c r="C2744" t="s">
        <v>125</v>
      </c>
      <c r="D2744">
        <v>2</v>
      </c>
      <c r="E2744" t="s">
        <v>13</v>
      </c>
      <c r="F2744" t="s">
        <v>2969</v>
      </c>
    </row>
    <row r="2745" spans="1:6" x14ac:dyDescent="0.25">
      <c r="A2745" t="s">
        <v>2813</v>
      </c>
      <c r="B2745" t="s">
        <v>1455</v>
      </c>
      <c r="C2745" t="s">
        <v>125</v>
      </c>
      <c r="D2745">
        <v>3</v>
      </c>
      <c r="E2745" t="s">
        <v>1724</v>
      </c>
      <c r="F2745" t="s">
        <v>2969</v>
      </c>
    </row>
    <row r="2746" spans="1:6" x14ac:dyDescent="0.25">
      <c r="A2746" t="s">
        <v>2814</v>
      </c>
      <c r="B2746" t="s">
        <v>1456</v>
      </c>
      <c r="C2746" t="s">
        <v>105</v>
      </c>
      <c r="D2746">
        <v>1</v>
      </c>
      <c r="E2746" t="s">
        <v>86</v>
      </c>
      <c r="F2746" t="s">
        <v>2969</v>
      </c>
    </row>
    <row r="2747" spans="1:6" x14ac:dyDescent="0.25">
      <c r="A2747" t="s">
        <v>2814</v>
      </c>
      <c r="B2747" t="s">
        <v>1456</v>
      </c>
      <c r="C2747" t="s">
        <v>105</v>
      </c>
      <c r="D2747">
        <v>2</v>
      </c>
      <c r="E2747" t="s">
        <v>1904</v>
      </c>
      <c r="F2747" t="s">
        <v>2969</v>
      </c>
    </row>
    <row r="2748" spans="1:6" x14ac:dyDescent="0.25">
      <c r="A2748" t="s">
        <v>2815</v>
      </c>
      <c r="B2748" t="s">
        <v>1457</v>
      </c>
      <c r="C2748" t="s">
        <v>134</v>
      </c>
      <c r="D2748">
        <v>1</v>
      </c>
      <c r="E2748" t="s">
        <v>1807</v>
      </c>
      <c r="F2748" t="s">
        <v>2969</v>
      </c>
    </row>
    <row r="2749" spans="1:6" x14ac:dyDescent="0.25">
      <c r="A2749" t="s">
        <v>2815</v>
      </c>
      <c r="B2749" t="s">
        <v>1457</v>
      </c>
      <c r="C2749" t="s">
        <v>134</v>
      </c>
      <c r="D2749">
        <v>2</v>
      </c>
      <c r="E2749" t="s">
        <v>137</v>
      </c>
      <c r="F2749" t="s">
        <v>2969</v>
      </c>
    </row>
    <row r="2750" spans="1:6" x14ac:dyDescent="0.25">
      <c r="A2750" t="s">
        <v>2816</v>
      </c>
      <c r="B2750" t="s">
        <v>1458</v>
      </c>
      <c r="C2750" t="s">
        <v>31</v>
      </c>
      <c r="D2750">
        <v>1</v>
      </c>
      <c r="E2750" t="s">
        <v>1760</v>
      </c>
      <c r="F2750" t="s">
        <v>2969</v>
      </c>
    </row>
    <row r="2751" spans="1:6" x14ac:dyDescent="0.25">
      <c r="A2751" t="s">
        <v>2816</v>
      </c>
      <c r="B2751" t="s">
        <v>1458</v>
      </c>
      <c r="C2751" t="s">
        <v>31</v>
      </c>
      <c r="D2751">
        <v>2</v>
      </c>
      <c r="E2751" t="s">
        <v>2017</v>
      </c>
      <c r="F2751" t="s">
        <v>2969</v>
      </c>
    </row>
    <row r="2752" spans="1:6" x14ac:dyDescent="0.25">
      <c r="A2752" t="s">
        <v>2816</v>
      </c>
      <c r="B2752" t="s">
        <v>1458</v>
      </c>
      <c r="C2752" t="s">
        <v>31</v>
      </c>
      <c r="D2752">
        <v>3</v>
      </c>
      <c r="E2752" t="s">
        <v>1789</v>
      </c>
      <c r="F2752" t="s">
        <v>2969</v>
      </c>
    </row>
    <row r="2753" spans="1:6" x14ac:dyDescent="0.25">
      <c r="A2753" t="s">
        <v>2817</v>
      </c>
      <c r="B2753" t="s">
        <v>1459</v>
      </c>
      <c r="C2753" t="s">
        <v>97</v>
      </c>
      <c r="D2753">
        <v>1</v>
      </c>
      <c r="E2753" t="s">
        <v>1709</v>
      </c>
      <c r="F2753" t="s">
        <v>2969</v>
      </c>
    </row>
    <row r="2754" spans="1:6" x14ac:dyDescent="0.25">
      <c r="A2754" t="s">
        <v>2817</v>
      </c>
      <c r="B2754" t="s">
        <v>1459</v>
      </c>
      <c r="C2754" t="s">
        <v>97</v>
      </c>
      <c r="D2754">
        <v>2</v>
      </c>
      <c r="E2754" t="s">
        <v>48</v>
      </c>
      <c r="F2754" t="s">
        <v>2969</v>
      </c>
    </row>
    <row r="2755" spans="1:6" x14ac:dyDescent="0.25">
      <c r="A2755" t="s">
        <v>2818</v>
      </c>
      <c r="B2755" t="s">
        <v>1460</v>
      </c>
      <c r="C2755" t="s">
        <v>121</v>
      </c>
      <c r="D2755">
        <v>1</v>
      </c>
      <c r="E2755" t="s">
        <v>91</v>
      </c>
      <c r="F2755" t="s">
        <v>2969</v>
      </c>
    </row>
    <row r="2756" spans="1:6" x14ac:dyDescent="0.25">
      <c r="A2756" t="s">
        <v>2818</v>
      </c>
      <c r="B2756" t="s">
        <v>1460</v>
      </c>
      <c r="C2756" t="s">
        <v>121</v>
      </c>
      <c r="D2756">
        <v>2</v>
      </c>
      <c r="E2756" t="s">
        <v>1653</v>
      </c>
      <c r="F2756" t="s">
        <v>2969</v>
      </c>
    </row>
    <row r="2757" spans="1:6" x14ac:dyDescent="0.25">
      <c r="A2757" t="s">
        <v>2818</v>
      </c>
      <c r="B2757" t="s">
        <v>1460</v>
      </c>
      <c r="C2757" t="s">
        <v>121</v>
      </c>
      <c r="D2757">
        <v>3</v>
      </c>
      <c r="E2757" t="s">
        <v>1728</v>
      </c>
      <c r="F2757" t="s">
        <v>2969</v>
      </c>
    </row>
    <row r="2758" spans="1:6" x14ac:dyDescent="0.25">
      <c r="A2758" t="s">
        <v>2818</v>
      </c>
      <c r="B2758" t="s">
        <v>1460</v>
      </c>
      <c r="C2758" t="s">
        <v>121</v>
      </c>
      <c r="D2758">
        <v>4</v>
      </c>
      <c r="E2758" t="s">
        <v>1657</v>
      </c>
      <c r="F2758" t="s">
        <v>2969</v>
      </c>
    </row>
    <row r="2759" spans="1:6" x14ac:dyDescent="0.25">
      <c r="A2759" t="s">
        <v>2819</v>
      </c>
      <c r="B2759" t="s">
        <v>1461</v>
      </c>
      <c r="C2759" t="s">
        <v>85</v>
      </c>
      <c r="D2759">
        <v>1</v>
      </c>
      <c r="E2759" t="s">
        <v>1879</v>
      </c>
      <c r="F2759" t="s">
        <v>2969</v>
      </c>
    </row>
    <row r="2760" spans="1:6" x14ac:dyDescent="0.25">
      <c r="A2760" t="s">
        <v>2819</v>
      </c>
      <c r="B2760" t="s">
        <v>1461</v>
      </c>
      <c r="C2760" t="s">
        <v>85</v>
      </c>
      <c r="D2760">
        <v>2</v>
      </c>
      <c r="E2760" t="s">
        <v>1676</v>
      </c>
      <c r="F2760" t="s">
        <v>2969</v>
      </c>
    </row>
    <row r="2761" spans="1:6" x14ac:dyDescent="0.25">
      <c r="A2761" t="s">
        <v>2819</v>
      </c>
      <c r="B2761" t="s">
        <v>1461</v>
      </c>
      <c r="C2761" t="s">
        <v>85</v>
      </c>
      <c r="D2761">
        <v>3</v>
      </c>
      <c r="E2761" t="s">
        <v>124</v>
      </c>
      <c r="F2761" t="s">
        <v>2969</v>
      </c>
    </row>
    <row r="2762" spans="1:6" x14ac:dyDescent="0.25">
      <c r="A2762" t="s">
        <v>2820</v>
      </c>
      <c r="B2762" t="s">
        <v>1462</v>
      </c>
      <c r="C2762" t="s">
        <v>92</v>
      </c>
      <c r="D2762">
        <v>1</v>
      </c>
      <c r="E2762" t="s">
        <v>1726</v>
      </c>
      <c r="F2762" t="s">
        <v>2969</v>
      </c>
    </row>
    <row r="2763" spans="1:6" x14ac:dyDescent="0.25">
      <c r="A2763" t="s">
        <v>2821</v>
      </c>
      <c r="B2763" t="s">
        <v>1463</v>
      </c>
      <c r="C2763" t="s">
        <v>105</v>
      </c>
      <c r="D2763">
        <v>1</v>
      </c>
      <c r="E2763" t="s">
        <v>1655</v>
      </c>
      <c r="F2763" t="s">
        <v>2969</v>
      </c>
    </row>
    <row r="2764" spans="1:6" x14ac:dyDescent="0.25">
      <c r="A2764" t="s">
        <v>2821</v>
      </c>
      <c r="B2764" t="s">
        <v>1463</v>
      </c>
      <c r="C2764" t="s">
        <v>105</v>
      </c>
      <c r="D2764">
        <v>2</v>
      </c>
      <c r="E2764" t="s">
        <v>1879</v>
      </c>
      <c r="F2764" t="s">
        <v>2969</v>
      </c>
    </row>
    <row r="2765" spans="1:6" x14ac:dyDescent="0.25">
      <c r="A2765" t="s">
        <v>2822</v>
      </c>
      <c r="B2765" t="s">
        <v>1464</v>
      </c>
      <c r="C2765" t="s">
        <v>34</v>
      </c>
      <c r="D2765">
        <v>1</v>
      </c>
      <c r="E2765" t="s">
        <v>1711</v>
      </c>
      <c r="F2765" t="s">
        <v>2969</v>
      </c>
    </row>
    <row r="2766" spans="1:6" x14ac:dyDescent="0.25">
      <c r="A2766" t="s">
        <v>2822</v>
      </c>
      <c r="B2766" t="s">
        <v>1464</v>
      </c>
      <c r="C2766" t="s">
        <v>34</v>
      </c>
      <c r="D2766">
        <v>2</v>
      </c>
      <c r="E2766" t="s">
        <v>48</v>
      </c>
      <c r="F2766" t="s">
        <v>2969</v>
      </c>
    </row>
    <row r="2767" spans="1:6" x14ac:dyDescent="0.25">
      <c r="A2767" t="s">
        <v>2822</v>
      </c>
      <c r="B2767" t="s">
        <v>1464</v>
      </c>
      <c r="C2767" t="s">
        <v>34</v>
      </c>
      <c r="D2767">
        <v>3</v>
      </c>
      <c r="E2767" t="s">
        <v>1758</v>
      </c>
      <c r="F2767" t="s">
        <v>2969</v>
      </c>
    </row>
    <row r="2768" spans="1:6" x14ac:dyDescent="0.25">
      <c r="A2768" t="s">
        <v>2823</v>
      </c>
      <c r="B2768" t="s">
        <v>1465</v>
      </c>
      <c r="C2768" t="s">
        <v>94</v>
      </c>
      <c r="D2768">
        <v>1</v>
      </c>
      <c r="E2768" t="s">
        <v>2456</v>
      </c>
      <c r="F2768" t="s">
        <v>2969</v>
      </c>
    </row>
    <row r="2769" spans="1:6" x14ac:dyDescent="0.25">
      <c r="A2769" t="s">
        <v>2824</v>
      </c>
      <c r="B2769" t="s">
        <v>1466</v>
      </c>
      <c r="C2769" t="s">
        <v>46</v>
      </c>
      <c r="D2769">
        <v>1</v>
      </c>
      <c r="E2769" t="s">
        <v>1857</v>
      </c>
      <c r="F2769" t="s">
        <v>2969</v>
      </c>
    </row>
    <row r="2770" spans="1:6" x14ac:dyDescent="0.25">
      <c r="A2770" t="s">
        <v>2825</v>
      </c>
      <c r="B2770" t="s">
        <v>1467</v>
      </c>
      <c r="C2770" t="s">
        <v>37</v>
      </c>
      <c r="D2770">
        <v>1</v>
      </c>
      <c r="E2770" t="s">
        <v>1704</v>
      </c>
      <c r="F2770" t="s">
        <v>2969</v>
      </c>
    </row>
    <row r="2771" spans="1:6" x14ac:dyDescent="0.25">
      <c r="A2771" t="s">
        <v>2825</v>
      </c>
      <c r="B2771" t="s">
        <v>1467</v>
      </c>
      <c r="C2771" t="s">
        <v>37</v>
      </c>
      <c r="D2771">
        <v>2</v>
      </c>
      <c r="E2771" t="s">
        <v>1651</v>
      </c>
      <c r="F2771" t="s">
        <v>2969</v>
      </c>
    </row>
    <row r="2772" spans="1:6" x14ac:dyDescent="0.25">
      <c r="A2772" t="s">
        <v>2826</v>
      </c>
      <c r="B2772" t="s">
        <v>1468</v>
      </c>
      <c r="C2772" t="s">
        <v>103</v>
      </c>
      <c r="D2772">
        <v>1</v>
      </c>
      <c r="E2772" t="s">
        <v>96</v>
      </c>
      <c r="F2772" t="s">
        <v>2969</v>
      </c>
    </row>
    <row r="2773" spans="1:6" x14ac:dyDescent="0.25">
      <c r="A2773" t="s">
        <v>2827</v>
      </c>
      <c r="B2773" t="s">
        <v>1469</v>
      </c>
      <c r="C2773" t="s">
        <v>56</v>
      </c>
      <c r="D2773">
        <v>1</v>
      </c>
      <c r="E2773" t="s">
        <v>22</v>
      </c>
      <c r="F2773" t="s">
        <v>2969</v>
      </c>
    </row>
    <row r="2774" spans="1:6" x14ac:dyDescent="0.25">
      <c r="A2774" t="s">
        <v>2828</v>
      </c>
      <c r="B2774" t="s">
        <v>1470</v>
      </c>
      <c r="C2774" t="s">
        <v>113</v>
      </c>
      <c r="D2774">
        <v>1</v>
      </c>
      <c r="E2774" t="s">
        <v>22</v>
      </c>
      <c r="F2774" t="s">
        <v>2969</v>
      </c>
    </row>
    <row r="2775" spans="1:6" x14ac:dyDescent="0.25">
      <c r="A2775" t="s">
        <v>2828</v>
      </c>
      <c r="B2775" t="s">
        <v>1470</v>
      </c>
      <c r="C2775" t="s">
        <v>113</v>
      </c>
      <c r="D2775">
        <v>2</v>
      </c>
      <c r="E2775" t="s">
        <v>84</v>
      </c>
      <c r="F2775" t="s">
        <v>2969</v>
      </c>
    </row>
    <row r="2776" spans="1:6" x14ac:dyDescent="0.25">
      <c r="A2776" t="s">
        <v>2829</v>
      </c>
      <c r="B2776" t="s">
        <v>1471</v>
      </c>
      <c r="C2776" t="s">
        <v>130</v>
      </c>
      <c r="D2776">
        <v>1</v>
      </c>
      <c r="E2776" t="s">
        <v>1754</v>
      </c>
      <c r="F2776" t="s">
        <v>2969</v>
      </c>
    </row>
    <row r="2777" spans="1:6" x14ac:dyDescent="0.25">
      <c r="A2777" t="s">
        <v>2829</v>
      </c>
      <c r="B2777" t="s">
        <v>1471</v>
      </c>
      <c r="C2777" t="s">
        <v>130</v>
      </c>
      <c r="D2777">
        <v>2</v>
      </c>
      <c r="E2777" t="s">
        <v>1807</v>
      </c>
      <c r="F2777" t="s">
        <v>2969</v>
      </c>
    </row>
    <row r="2778" spans="1:6" x14ac:dyDescent="0.25">
      <c r="A2778" t="s">
        <v>2830</v>
      </c>
      <c r="B2778" t="s">
        <v>1472</v>
      </c>
      <c r="C2778" t="s">
        <v>92</v>
      </c>
      <c r="D2778">
        <v>1</v>
      </c>
      <c r="E2778" t="s">
        <v>1751</v>
      </c>
      <c r="F2778" t="s">
        <v>2969</v>
      </c>
    </row>
    <row r="2779" spans="1:6" x14ac:dyDescent="0.25">
      <c r="A2779" t="s">
        <v>2831</v>
      </c>
      <c r="B2779" t="s">
        <v>1473</v>
      </c>
      <c r="C2779" t="s">
        <v>83</v>
      </c>
      <c r="D2779">
        <v>1</v>
      </c>
      <c r="E2779" t="s">
        <v>1649</v>
      </c>
      <c r="F2779" t="s">
        <v>2969</v>
      </c>
    </row>
    <row r="2780" spans="1:6" x14ac:dyDescent="0.25">
      <c r="A2780" t="s">
        <v>2832</v>
      </c>
      <c r="B2780" t="s">
        <v>1474</v>
      </c>
      <c r="C2780" t="s">
        <v>113</v>
      </c>
      <c r="D2780">
        <v>1</v>
      </c>
      <c r="E2780" t="s">
        <v>84</v>
      </c>
      <c r="F2780" t="s">
        <v>2969</v>
      </c>
    </row>
    <row r="2781" spans="1:6" x14ac:dyDescent="0.25">
      <c r="A2781" t="s">
        <v>2832</v>
      </c>
      <c r="B2781" t="s">
        <v>1474</v>
      </c>
      <c r="C2781" t="s">
        <v>113</v>
      </c>
      <c r="D2781">
        <v>2</v>
      </c>
      <c r="E2781" t="s">
        <v>99</v>
      </c>
      <c r="F2781" t="s">
        <v>2969</v>
      </c>
    </row>
    <row r="2782" spans="1:6" x14ac:dyDescent="0.25">
      <c r="A2782" t="s">
        <v>2832</v>
      </c>
      <c r="B2782" t="s">
        <v>1474</v>
      </c>
      <c r="C2782" t="s">
        <v>113</v>
      </c>
      <c r="D2782">
        <v>3</v>
      </c>
      <c r="E2782" t="s">
        <v>1886</v>
      </c>
      <c r="F2782" t="s">
        <v>2969</v>
      </c>
    </row>
    <row r="2783" spans="1:6" x14ac:dyDescent="0.25">
      <c r="A2783" t="s">
        <v>2832</v>
      </c>
      <c r="B2783" t="s">
        <v>1474</v>
      </c>
      <c r="C2783" t="s">
        <v>113</v>
      </c>
      <c r="D2783">
        <v>4</v>
      </c>
      <c r="E2783" t="s">
        <v>1689</v>
      </c>
      <c r="F2783" t="s">
        <v>2969</v>
      </c>
    </row>
    <row r="2784" spans="1:6" x14ac:dyDescent="0.25">
      <c r="A2784" t="s">
        <v>2832</v>
      </c>
      <c r="B2784" t="s">
        <v>1474</v>
      </c>
      <c r="C2784" t="s">
        <v>113</v>
      </c>
      <c r="D2784">
        <v>5</v>
      </c>
      <c r="E2784" t="s">
        <v>1951</v>
      </c>
      <c r="F2784" t="s">
        <v>2969</v>
      </c>
    </row>
    <row r="2785" spans="1:6" x14ac:dyDescent="0.25">
      <c r="A2785" t="s">
        <v>2833</v>
      </c>
      <c r="B2785" t="s">
        <v>1475</v>
      </c>
      <c r="C2785" t="s">
        <v>134</v>
      </c>
      <c r="D2785">
        <v>1</v>
      </c>
      <c r="E2785" t="s">
        <v>30</v>
      </c>
      <c r="F2785" t="s">
        <v>2969</v>
      </c>
    </row>
    <row r="2786" spans="1:6" x14ac:dyDescent="0.25">
      <c r="A2786" t="s">
        <v>2834</v>
      </c>
      <c r="B2786" t="s">
        <v>1476</v>
      </c>
      <c r="C2786" t="s">
        <v>8</v>
      </c>
      <c r="D2786">
        <v>1</v>
      </c>
      <c r="E2786" t="s">
        <v>1779</v>
      </c>
      <c r="F2786" t="s">
        <v>2969</v>
      </c>
    </row>
    <row r="2787" spans="1:6" x14ac:dyDescent="0.25">
      <c r="A2787" t="s">
        <v>2835</v>
      </c>
      <c r="B2787" t="s">
        <v>1477</v>
      </c>
      <c r="C2787" t="s">
        <v>128</v>
      </c>
      <c r="D2787">
        <v>1</v>
      </c>
      <c r="E2787" t="s">
        <v>2344</v>
      </c>
      <c r="F2787" t="s">
        <v>2969</v>
      </c>
    </row>
    <row r="2788" spans="1:6" x14ac:dyDescent="0.25">
      <c r="A2788" t="s">
        <v>2835</v>
      </c>
      <c r="B2788" t="s">
        <v>1477</v>
      </c>
      <c r="C2788" t="s">
        <v>128</v>
      </c>
      <c r="D2788">
        <v>2</v>
      </c>
      <c r="E2788" t="s">
        <v>22</v>
      </c>
      <c r="F2788" t="s">
        <v>2969</v>
      </c>
    </row>
    <row r="2789" spans="1:6" x14ac:dyDescent="0.25">
      <c r="A2789" t="s">
        <v>2836</v>
      </c>
      <c r="B2789" t="s">
        <v>1478</v>
      </c>
      <c r="C2789" t="s">
        <v>107</v>
      </c>
      <c r="D2789">
        <v>1</v>
      </c>
      <c r="E2789" t="s">
        <v>1704</v>
      </c>
      <c r="F2789" t="s">
        <v>2969</v>
      </c>
    </row>
    <row r="2790" spans="1:6" x14ac:dyDescent="0.25">
      <c r="A2790" t="s">
        <v>2836</v>
      </c>
      <c r="B2790" t="s">
        <v>1478</v>
      </c>
      <c r="C2790" t="s">
        <v>107</v>
      </c>
      <c r="D2790">
        <v>2</v>
      </c>
      <c r="E2790" t="s">
        <v>2081</v>
      </c>
      <c r="F2790" t="s">
        <v>2969</v>
      </c>
    </row>
    <row r="2791" spans="1:6" x14ac:dyDescent="0.25">
      <c r="A2791" t="s">
        <v>2837</v>
      </c>
      <c r="B2791" t="s">
        <v>1479</v>
      </c>
      <c r="C2791" t="s">
        <v>39</v>
      </c>
      <c r="D2791">
        <v>1</v>
      </c>
      <c r="E2791" t="s">
        <v>2042</v>
      </c>
      <c r="F2791" t="s">
        <v>2969</v>
      </c>
    </row>
    <row r="2792" spans="1:6" x14ac:dyDescent="0.25">
      <c r="A2792" t="s">
        <v>2837</v>
      </c>
      <c r="B2792" t="s">
        <v>1479</v>
      </c>
      <c r="C2792" t="s">
        <v>39</v>
      </c>
      <c r="D2792">
        <v>2</v>
      </c>
      <c r="E2792" t="s">
        <v>1797</v>
      </c>
      <c r="F2792" t="s">
        <v>2969</v>
      </c>
    </row>
    <row r="2793" spans="1:6" x14ac:dyDescent="0.25">
      <c r="A2793" t="s">
        <v>2838</v>
      </c>
      <c r="B2793" t="s">
        <v>1480</v>
      </c>
      <c r="C2793" t="s">
        <v>105</v>
      </c>
      <c r="D2793">
        <v>1</v>
      </c>
      <c r="E2793" t="s">
        <v>2751</v>
      </c>
      <c r="F2793" t="s">
        <v>2969</v>
      </c>
    </row>
    <row r="2794" spans="1:6" x14ac:dyDescent="0.25">
      <c r="A2794" t="s">
        <v>2838</v>
      </c>
      <c r="B2794" t="s">
        <v>1480</v>
      </c>
      <c r="C2794" t="s">
        <v>105</v>
      </c>
      <c r="D2794">
        <v>2</v>
      </c>
      <c r="E2794" t="s">
        <v>1634</v>
      </c>
      <c r="F2794" t="s">
        <v>2969</v>
      </c>
    </row>
    <row r="2795" spans="1:6" x14ac:dyDescent="0.25">
      <c r="A2795" t="s">
        <v>2838</v>
      </c>
      <c r="B2795" t="s">
        <v>1480</v>
      </c>
      <c r="C2795" t="s">
        <v>105</v>
      </c>
      <c r="D2795">
        <v>3</v>
      </c>
      <c r="E2795" t="s">
        <v>1643</v>
      </c>
      <c r="F2795" t="s">
        <v>2969</v>
      </c>
    </row>
    <row r="2796" spans="1:6" x14ac:dyDescent="0.25">
      <c r="A2796" t="s">
        <v>2838</v>
      </c>
      <c r="B2796" t="s">
        <v>1480</v>
      </c>
      <c r="C2796" t="s">
        <v>105</v>
      </c>
      <c r="D2796">
        <v>4</v>
      </c>
      <c r="E2796" t="s">
        <v>1751</v>
      </c>
      <c r="F2796" t="s">
        <v>2969</v>
      </c>
    </row>
    <row r="2797" spans="1:6" x14ac:dyDescent="0.25">
      <c r="A2797" t="s">
        <v>2838</v>
      </c>
      <c r="B2797" t="s">
        <v>1480</v>
      </c>
      <c r="C2797" t="s">
        <v>105</v>
      </c>
      <c r="D2797">
        <v>5</v>
      </c>
      <c r="E2797" t="s">
        <v>1923</v>
      </c>
      <c r="F2797" t="s">
        <v>2969</v>
      </c>
    </row>
    <row r="2798" spans="1:6" x14ac:dyDescent="0.25">
      <c r="A2798" t="s">
        <v>2838</v>
      </c>
      <c r="B2798" t="s">
        <v>1480</v>
      </c>
      <c r="C2798" t="s">
        <v>105</v>
      </c>
      <c r="D2798">
        <v>6</v>
      </c>
      <c r="E2798" t="s">
        <v>1828</v>
      </c>
      <c r="F2798" t="s">
        <v>2969</v>
      </c>
    </row>
    <row r="2799" spans="1:6" x14ac:dyDescent="0.25">
      <c r="A2799" t="s">
        <v>2838</v>
      </c>
      <c r="B2799" t="s">
        <v>1480</v>
      </c>
      <c r="C2799" t="s">
        <v>105</v>
      </c>
      <c r="D2799">
        <v>7</v>
      </c>
      <c r="E2799" t="s">
        <v>2088</v>
      </c>
      <c r="F2799" t="s">
        <v>1692</v>
      </c>
    </row>
    <row r="2800" spans="1:6" x14ac:dyDescent="0.25">
      <c r="A2800" t="s">
        <v>2839</v>
      </c>
      <c r="B2800" t="s">
        <v>1481</v>
      </c>
      <c r="C2800" t="s">
        <v>110</v>
      </c>
      <c r="D2800">
        <v>1</v>
      </c>
      <c r="E2800" t="s">
        <v>2786</v>
      </c>
      <c r="F2800" t="s">
        <v>2969</v>
      </c>
    </row>
    <row r="2801" spans="1:6" x14ac:dyDescent="0.25">
      <c r="A2801" t="s">
        <v>2839</v>
      </c>
      <c r="B2801" t="s">
        <v>1481</v>
      </c>
      <c r="C2801" t="s">
        <v>110</v>
      </c>
      <c r="D2801">
        <v>2</v>
      </c>
      <c r="E2801" t="s">
        <v>1983</v>
      </c>
      <c r="F2801" t="s">
        <v>2969</v>
      </c>
    </row>
    <row r="2802" spans="1:6" x14ac:dyDescent="0.25">
      <c r="A2802" t="s">
        <v>2840</v>
      </c>
      <c r="B2802" t="s">
        <v>1482</v>
      </c>
      <c r="C2802" t="s">
        <v>118</v>
      </c>
      <c r="D2802">
        <v>1</v>
      </c>
      <c r="E2802" t="s">
        <v>133</v>
      </c>
      <c r="F2802" t="s">
        <v>2969</v>
      </c>
    </row>
    <row r="2803" spans="1:6" x14ac:dyDescent="0.25">
      <c r="A2803" t="s">
        <v>2841</v>
      </c>
      <c r="B2803" t="s">
        <v>1483</v>
      </c>
      <c r="C2803" t="s">
        <v>59</v>
      </c>
      <c r="D2803">
        <v>1</v>
      </c>
      <c r="E2803" t="s">
        <v>51</v>
      </c>
      <c r="F2803" t="s">
        <v>2969</v>
      </c>
    </row>
    <row r="2804" spans="1:6" x14ac:dyDescent="0.25">
      <c r="A2804" t="s">
        <v>2842</v>
      </c>
      <c r="B2804" t="s">
        <v>1484</v>
      </c>
      <c r="C2804" t="s">
        <v>49</v>
      </c>
      <c r="D2804">
        <v>1</v>
      </c>
      <c r="E2804" t="s">
        <v>1634</v>
      </c>
      <c r="F2804" t="s">
        <v>2969</v>
      </c>
    </row>
    <row r="2805" spans="1:6" x14ac:dyDescent="0.25">
      <c r="A2805" t="s">
        <v>2842</v>
      </c>
      <c r="B2805" t="s">
        <v>1484</v>
      </c>
      <c r="C2805" t="s">
        <v>49</v>
      </c>
      <c r="D2805">
        <v>2</v>
      </c>
      <c r="E2805" t="s">
        <v>1953</v>
      </c>
      <c r="F2805" t="s">
        <v>2969</v>
      </c>
    </row>
    <row r="2806" spans="1:6" x14ac:dyDescent="0.25">
      <c r="A2806" t="s">
        <v>2843</v>
      </c>
      <c r="B2806" t="s">
        <v>1485</v>
      </c>
      <c r="C2806" t="s">
        <v>98</v>
      </c>
      <c r="D2806">
        <v>1</v>
      </c>
      <c r="E2806" t="s">
        <v>1769</v>
      </c>
      <c r="F2806" t="s">
        <v>2969</v>
      </c>
    </row>
    <row r="2807" spans="1:6" x14ac:dyDescent="0.25">
      <c r="A2807" t="s">
        <v>2844</v>
      </c>
      <c r="B2807" t="s">
        <v>1486</v>
      </c>
      <c r="C2807" t="s">
        <v>43</v>
      </c>
      <c r="D2807">
        <v>1</v>
      </c>
      <c r="E2807" t="s">
        <v>120</v>
      </c>
      <c r="F2807" t="s">
        <v>2969</v>
      </c>
    </row>
    <row r="2808" spans="1:6" x14ac:dyDescent="0.25">
      <c r="A2808" t="s">
        <v>2844</v>
      </c>
      <c r="B2808" t="s">
        <v>1486</v>
      </c>
      <c r="C2808" t="s">
        <v>43</v>
      </c>
      <c r="D2808">
        <v>2</v>
      </c>
      <c r="E2808" t="s">
        <v>38</v>
      </c>
      <c r="F2808" t="s">
        <v>2969</v>
      </c>
    </row>
    <row r="2809" spans="1:6" x14ac:dyDescent="0.25">
      <c r="A2809" t="s">
        <v>2844</v>
      </c>
      <c r="B2809" t="s">
        <v>1486</v>
      </c>
      <c r="C2809" t="s">
        <v>43</v>
      </c>
      <c r="D2809">
        <v>3</v>
      </c>
      <c r="E2809" t="s">
        <v>1649</v>
      </c>
      <c r="F2809" t="s">
        <v>2969</v>
      </c>
    </row>
    <row r="2810" spans="1:6" x14ac:dyDescent="0.25">
      <c r="A2810" t="s">
        <v>2844</v>
      </c>
      <c r="B2810" t="s">
        <v>1486</v>
      </c>
      <c r="C2810" t="s">
        <v>43</v>
      </c>
      <c r="D2810">
        <v>4</v>
      </c>
      <c r="E2810" t="s">
        <v>135</v>
      </c>
      <c r="F2810" t="s">
        <v>2969</v>
      </c>
    </row>
    <row r="2811" spans="1:6" x14ac:dyDescent="0.25">
      <c r="A2811" t="s">
        <v>2844</v>
      </c>
      <c r="B2811" t="s">
        <v>1486</v>
      </c>
      <c r="C2811" t="s">
        <v>43</v>
      </c>
      <c r="D2811">
        <v>5</v>
      </c>
      <c r="E2811" t="s">
        <v>1680</v>
      </c>
      <c r="F2811" t="s">
        <v>2969</v>
      </c>
    </row>
    <row r="2812" spans="1:6" x14ac:dyDescent="0.25">
      <c r="A2812" t="s">
        <v>2844</v>
      </c>
      <c r="B2812" t="s">
        <v>1486</v>
      </c>
      <c r="C2812" t="s">
        <v>43</v>
      </c>
      <c r="D2812">
        <v>6</v>
      </c>
      <c r="E2812" t="s">
        <v>109</v>
      </c>
      <c r="F2812" t="s">
        <v>2969</v>
      </c>
    </row>
    <row r="2813" spans="1:6" x14ac:dyDescent="0.25">
      <c r="A2813" t="s">
        <v>2844</v>
      </c>
      <c r="B2813" t="s">
        <v>1486</v>
      </c>
      <c r="C2813" t="s">
        <v>43</v>
      </c>
      <c r="D2813">
        <v>7</v>
      </c>
      <c r="E2813" t="s">
        <v>1809</v>
      </c>
      <c r="F2813" t="s">
        <v>1692</v>
      </c>
    </row>
    <row r="2814" spans="1:6" x14ac:dyDescent="0.25">
      <c r="A2814" t="s">
        <v>2845</v>
      </c>
      <c r="B2814" t="s">
        <v>1487</v>
      </c>
      <c r="C2814" t="s">
        <v>100</v>
      </c>
      <c r="D2814">
        <v>1</v>
      </c>
      <c r="E2814" t="s">
        <v>68</v>
      </c>
      <c r="F2814" t="s">
        <v>2969</v>
      </c>
    </row>
    <row r="2815" spans="1:6" x14ac:dyDescent="0.25">
      <c r="A2815" t="s">
        <v>2845</v>
      </c>
      <c r="B2815" t="s">
        <v>1487</v>
      </c>
      <c r="C2815" t="s">
        <v>100</v>
      </c>
      <c r="D2815">
        <v>2</v>
      </c>
      <c r="E2815" t="s">
        <v>96</v>
      </c>
      <c r="F2815" t="s">
        <v>2969</v>
      </c>
    </row>
    <row r="2816" spans="1:6" x14ac:dyDescent="0.25">
      <c r="A2816" t="s">
        <v>2845</v>
      </c>
      <c r="B2816" t="s">
        <v>1487</v>
      </c>
      <c r="C2816" t="s">
        <v>100</v>
      </c>
      <c r="D2816">
        <v>3</v>
      </c>
      <c r="E2816" t="s">
        <v>1953</v>
      </c>
      <c r="F2816" t="s">
        <v>2969</v>
      </c>
    </row>
    <row r="2817" spans="1:6" x14ac:dyDescent="0.25">
      <c r="A2817" t="s">
        <v>2846</v>
      </c>
      <c r="B2817" t="s">
        <v>1488</v>
      </c>
      <c r="C2817" t="s">
        <v>134</v>
      </c>
      <c r="D2817">
        <v>1</v>
      </c>
      <c r="E2817" t="s">
        <v>1891</v>
      </c>
      <c r="F2817" t="s">
        <v>2969</v>
      </c>
    </row>
    <row r="2818" spans="1:6" x14ac:dyDescent="0.25">
      <c r="A2818" t="s">
        <v>2847</v>
      </c>
      <c r="B2818" t="s">
        <v>1489</v>
      </c>
      <c r="C2818" t="s">
        <v>56</v>
      </c>
      <c r="D2818">
        <v>1</v>
      </c>
      <c r="E2818" t="s">
        <v>120</v>
      </c>
      <c r="F2818" t="s">
        <v>2969</v>
      </c>
    </row>
    <row r="2819" spans="1:6" x14ac:dyDescent="0.25">
      <c r="A2819" t="s">
        <v>2847</v>
      </c>
      <c r="B2819" t="s">
        <v>1489</v>
      </c>
      <c r="C2819" t="s">
        <v>56</v>
      </c>
      <c r="D2819">
        <v>2</v>
      </c>
      <c r="E2819" t="s">
        <v>1833</v>
      </c>
      <c r="F2819" t="s">
        <v>2969</v>
      </c>
    </row>
    <row r="2820" spans="1:6" x14ac:dyDescent="0.25">
      <c r="A2820" t="s">
        <v>2848</v>
      </c>
      <c r="B2820" t="s">
        <v>1490</v>
      </c>
      <c r="C2820" t="s">
        <v>127</v>
      </c>
      <c r="D2820">
        <v>1</v>
      </c>
      <c r="E2820" t="s">
        <v>111</v>
      </c>
      <c r="F2820" t="s">
        <v>2969</v>
      </c>
    </row>
    <row r="2821" spans="1:6" x14ac:dyDescent="0.25">
      <c r="A2821" t="s">
        <v>2848</v>
      </c>
      <c r="B2821" t="s">
        <v>1490</v>
      </c>
      <c r="C2821" t="s">
        <v>127</v>
      </c>
      <c r="D2821">
        <v>2</v>
      </c>
      <c r="E2821" t="s">
        <v>1645</v>
      </c>
      <c r="F2821" t="s">
        <v>2969</v>
      </c>
    </row>
    <row r="2822" spans="1:6" x14ac:dyDescent="0.25">
      <c r="A2822" t="s">
        <v>2848</v>
      </c>
      <c r="B2822" t="s">
        <v>1490</v>
      </c>
      <c r="C2822" t="s">
        <v>127</v>
      </c>
      <c r="D2822">
        <v>3</v>
      </c>
      <c r="E2822" t="s">
        <v>1624</v>
      </c>
      <c r="F2822" t="s">
        <v>2969</v>
      </c>
    </row>
    <row r="2823" spans="1:6" x14ac:dyDescent="0.25">
      <c r="A2823" t="s">
        <v>2848</v>
      </c>
      <c r="B2823" t="s">
        <v>1490</v>
      </c>
      <c r="C2823" t="s">
        <v>127</v>
      </c>
      <c r="D2823">
        <v>4</v>
      </c>
      <c r="E2823" t="s">
        <v>1751</v>
      </c>
      <c r="F2823" t="s">
        <v>2969</v>
      </c>
    </row>
    <row r="2824" spans="1:6" x14ac:dyDescent="0.25">
      <c r="A2824" t="s">
        <v>2848</v>
      </c>
      <c r="B2824" t="s">
        <v>1490</v>
      </c>
      <c r="C2824" t="s">
        <v>127</v>
      </c>
      <c r="D2824">
        <v>5</v>
      </c>
      <c r="E2824" t="s">
        <v>1923</v>
      </c>
      <c r="F2824" t="s">
        <v>2969</v>
      </c>
    </row>
    <row r="2825" spans="1:6" x14ac:dyDescent="0.25">
      <c r="A2825" t="s">
        <v>2848</v>
      </c>
      <c r="B2825" t="s">
        <v>1490</v>
      </c>
      <c r="C2825" t="s">
        <v>127</v>
      </c>
      <c r="D2825">
        <v>6</v>
      </c>
      <c r="E2825" t="s">
        <v>1828</v>
      </c>
      <c r="F2825" t="s">
        <v>2969</v>
      </c>
    </row>
    <row r="2826" spans="1:6" x14ac:dyDescent="0.25">
      <c r="A2826" t="s">
        <v>2848</v>
      </c>
      <c r="B2826" t="s">
        <v>1490</v>
      </c>
      <c r="C2826" t="s">
        <v>127</v>
      </c>
      <c r="D2826">
        <v>7</v>
      </c>
      <c r="E2826" t="s">
        <v>2088</v>
      </c>
      <c r="F2826" t="s">
        <v>1692</v>
      </c>
    </row>
    <row r="2827" spans="1:6" x14ac:dyDescent="0.25">
      <c r="A2827" t="s">
        <v>2849</v>
      </c>
      <c r="B2827" t="s">
        <v>1491</v>
      </c>
      <c r="C2827" t="s">
        <v>79</v>
      </c>
      <c r="D2827">
        <v>1</v>
      </c>
      <c r="E2827" t="s">
        <v>1621</v>
      </c>
      <c r="F2827" t="s">
        <v>2969</v>
      </c>
    </row>
    <row r="2828" spans="1:6" x14ac:dyDescent="0.25">
      <c r="A2828" t="s">
        <v>2849</v>
      </c>
      <c r="B2828" t="s">
        <v>1491</v>
      </c>
      <c r="C2828" t="s">
        <v>79</v>
      </c>
      <c r="D2828">
        <v>2</v>
      </c>
      <c r="E2828" t="s">
        <v>2169</v>
      </c>
      <c r="F2828" t="s">
        <v>2969</v>
      </c>
    </row>
    <row r="2829" spans="1:6" x14ac:dyDescent="0.25">
      <c r="A2829" t="s">
        <v>2850</v>
      </c>
      <c r="B2829" t="s">
        <v>1492</v>
      </c>
      <c r="C2829" t="s">
        <v>52</v>
      </c>
      <c r="D2829">
        <v>1</v>
      </c>
      <c r="E2829" t="s">
        <v>133</v>
      </c>
      <c r="F2829" t="s">
        <v>2969</v>
      </c>
    </row>
    <row r="2830" spans="1:6" x14ac:dyDescent="0.25">
      <c r="A2830" t="s">
        <v>2851</v>
      </c>
      <c r="B2830" t="s">
        <v>1493</v>
      </c>
      <c r="C2830" t="s">
        <v>79</v>
      </c>
      <c r="D2830">
        <v>1</v>
      </c>
      <c r="E2830" t="s">
        <v>1812</v>
      </c>
      <c r="F2830" t="s">
        <v>2969</v>
      </c>
    </row>
    <row r="2831" spans="1:6" x14ac:dyDescent="0.25">
      <c r="A2831" t="s">
        <v>2851</v>
      </c>
      <c r="B2831" t="s">
        <v>1493</v>
      </c>
      <c r="C2831" t="s">
        <v>79</v>
      </c>
      <c r="D2831">
        <v>2</v>
      </c>
      <c r="E2831" t="s">
        <v>1772</v>
      </c>
      <c r="F2831" t="s">
        <v>2969</v>
      </c>
    </row>
    <row r="2832" spans="1:6" x14ac:dyDescent="0.25">
      <c r="A2832" t="s">
        <v>2851</v>
      </c>
      <c r="B2832" t="s">
        <v>1493</v>
      </c>
      <c r="C2832" t="s">
        <v>79</v>
      </c>
      <c r="D2832">
        <v>3</v>
      </c>
      <c r="E2832" t="s">
        <v>1726</v>
      </c>
      <c r="F2832" t="s">
        <v>2969</v>
      </c>
    </row>
    <row r="2833" spans="1:6" x14ac:dyDescent="0.25">
      <c r="A2833" t="s">
        <v>2852</v>
      </c>
      <c r="B2833" t="s">
        <v>1494</v>
      </c>
      <c r="C2833" t="s">
        <v>39</v>
      </c>
      <c r="D2833">
        <v>1</v>
      </c>
      <c r="E2833" t="s">
        <v>45</v>
      </c>
      <c r="F2833" t="s">
        <v>2969</v>
      </c>
    </row>
    <row r="2834" spans="1:6" x14ac:dyDescent="0.25">
      <c r="A2834" t="s">
        <v>2852</v>
      </c>
      <c r="B2834" t="s">
        <v>1494</v>
      </c>
      <c r="C2834" t="s">
        <v>39</v>
      </c>
      <c r="D2834">
        <v>2</v>
      </c>
      <c r="E2834" t="s">
        <v>1663</v>
      </c>
      <c r="F2834" t="s">
        <v>2969</v>
      </c>
    </row>
    <row r="2835" spans="1:6" x14ac:dyDescent="0.25">
      <c r="A2835" t="s">
        <v>2852</v>
      </c>
      <c r="B2835" t="s">
        <v>1494</v>
      </c>
      <c r="C2835" t="s">
        <v>39</v>
      </c>
      <c r="D2835">
        <v>3</v>
      </c>
      <c r="E2835" t="s">
        <v>1833</v>
      </c>
      <c r="F2835" t="s">
        <v>2969</v>
      </c>
    </row>
    <row r="2836" spans="1:6" x14ac:dyDescent="0.25">
      <c r="A2836" t="s">
        <v>2852</v>
      </c>
      <c r="B2836" t="s">
        <v>1494</v>
      </c>
      <c r="C2836" t="s">
        <v>39</v>
      </c>
      <c r="D2836">
        <v>4</v>
      </c>
      <c r="E2836" t="s">
        <v>1713</v>
      </c>
      <c r="F2836" t="s">
        <v>2969</v>
      </c>
    </row>
    <row r="2837" spans="1:6" x14ac:dyDescent="0.25">
      <c r="A2837" t="s">
        <v>2853</v>
      </c>
      <c r="B2837" t="s">
        <v>1495</v>
      </c>
      <c r="C2837" t="s">
        <v>79</v>
      </c>
      <c r="D2837">
        <v>1</v>
      </c>
      <c r="E2837" t="s">
        <v>1953</v>
      </c>
      <c r="F2837" t="s">
        <v>2969</v>
      </c>
    </row>
    <row r="2838" spans="1:6" x14ac:dyDescent="0.25">
      <c r="A2838" t="s">
        <v>2853</v>
      </c>
      <c r="B2838" t="s">
        <v>1495</v>
      </c>
      <c r="C2838" t="s">
        <v>79</v>
      </c>
      <c r="D2838">
        <v>2</v>
      </c>
      <c r="E2838" t="s">
        <v>1917</v>
      </c>
      <c r="F2838" t="s">
        <v>2969</v>
      </c>
    </row>
    <row r="2839" spans="1:6" x14ac:dyDescent="0.25">
      <c r="A2839" t="s">
        <v>2854</v>
      </c>
      <c r="B2839" t="s">
        <v>1496</v>
      </c>
      <c r="C2839" t="s">
        <v>134</v>
      </c>
      <c r="D2839">
        <v>1</v>
      </c>
      <c r="E2839" t="s">
        <v>30</v>
      </c>
      <c r="F2839" t="s">
        <v>2969</v>
      </c>
    </row>
    <row r="2840" spans="1:6" x14ac:dyDescent="0.25">
      <c r="A2840" t="s">
        <v>2854</v>
      </c>
      <c r="B2840" t="s">
        <v>1496</v>
      </c>
      <c r="C2840" t="s">
        <v>134</v>
      </c>
      <c r="D2840">
        <v>2</v>
      </c>
      <c r="E2840" t="s">
        <v>131</v>
      </c>
      <c r="F2840" t="s">
        <v>2969</v>
      </c>
    </row>
    <row r="2841" spans="1:6" x14ac:dyDescent="0.25">
      <c r="A2841" t="s">
        <v>2854</v>
      </c>
      <c r="B2841" t="s">
        <v>1496</v>
      </c>
      <c r="C2841" t="s">
        <v>134</v>
      </c>
      <c r="D2841">
        <v>3</v>
      </c>
      <c r="E2841" t="s">
        <v>13</v>
      </c>
      <c r="F2841" t="s">
        <v>2969</v>
      </c>
    </row>
    <row r="2842" spans="1:6" x14ac:dyDescent="0.25">
      <c r="A2842" t="s">
        <v>2855</v>
      </c>
      <c r="B2842" t="s">
        <v>1497</v>
      </c>
      <c r="C2842" t="s">
        <v>103</v>
      </c>
      <c r="D2842">
        <v>1</v>
      </c>
      <c r="E2842" t="s">
        <v>1624</v>
      </c>
      <c r="F2842" t="s">
        <v>2969</v>
      </c>
    </row>
    <row r="2843" spans="1:6" x14ac:dyDescent="0.25">
      <c r="A2843" t="s">
        <v>2855</v>
      </c>
      <c r="B2843" t="s">
        <v>1497</v>
      </c>
      <c r="C2843" t="s">
        <v>103</v>
      </c>
      <c r="D2843">
        <v>2</v>
      </c>
      <c r="E2843" t="s">
        <v>1643</v>
      </c>
      <c r="F2843" t="s">
        <v>2969</v>
      </c>
    </row>
    <row r="2844" spans="1:6" x14ac:dyDescent="0.25">
      <c r="A2844" t="s">
        <v>2856</v>
      </c>
      <c r="B2844" t="s">
        <v>1498</v>
      </c>
      <c r="C2844" t="s">
        <v>92</v>
      </c>
      <c r="D2844">
        <v>1</v>
      </c>
      <c r="E2844" t="s">
        <v>1781</v>
      </c>
      <c r="F2844" t="s">
        <v>2969</v>
      </c>
    </row>
    <row r="2845" spans="1:6" x14ac:dyDescent="0.25">
      <c r="A2845" t="s">
        <v>2856</v>
      </c>
      <c r="B2845" t="s">
        <v>1498</v>
      </c>
      <c r="C2845" t="s">
        <v>92</v>
      </c>
      <c r="D2845">
        <v>2</v>
      </c>
      <c r="E2845" t="s">
        <v>1815</v>
      </c>
      <c r="F2845" t="s">
        <v>2969</v>
      </c>
    </row>
    <row r="2846" spans="1:6" x14ac:dyDescent="0.25">
      <c r="A2846" t="s">
        <v>2856</v>
      </c>
      <c r="B2846" t="s">
        <v>1498</v>
      </c>
      <c r="C2846" t="s">
        <v>92</v>
      </c>
      <c r="D2846">
        <v>3</v>
      </c>
      <c r="E2846" t="s">
        <v>2088</v>
      </c>
      <c r="F2846" t="s">
        <v>2969</v>
      </c>
    </row>
    <row r="2847" spans="1:6" x14ac:dyDescent="0.25">
      <c r="A2847" t="s">
        <v>2856</v>
      </c>
      <c r="B2847" t="s">
        <v>1498</v>
      </c>
      <c r="C2847" t="s">
        <v>92</v>
      </c>
      <c r="D2847">
        <v>4</v>
      </c>
      <c r="E2847" t="s">
        <v>2128</v>
      </c>
      <c r="F2847" t="s">
        <v>2969</v>
      </c>
    </row>
    <row r="2848" spans="1:6" x14ac:dyDescent="0.25">
      <c r="A2848" t="s">
        <v>2856</v>
      </c>
      <c r="B2848" t="s">
        <v>1498</v>
      </c>
      <c r="C2848" t="s">
        <v>92</v>
      </c>
      <c r="D2848">
        <v>5</v>
      </c>
      <c r="E2848" t="s">
        <v>1775</v>
      </c>
      <c r="F2848" t="s">
        <v>2969</v>
      </c>
    </row>
    <row r="2849" spans="1:6" x14ac:dyDescent="0.25">
      <c r="A2849" t="s">
        <v>2856</v>
      </c>
      <c r="B2849" t="s">
        <v>1498</v>
      </c>
      <c r="C2849" t="s">
        <v>92</v>
      </c>
      <c r="D2849">
        <v>6</v>
      </c>
      <c r="E2849" t="s">
        <v>2029</v>
      </c>
      <c r="F2849" t="s">
        <v>2969</v>
      </c>
    </row>
    <row r="2850" spans="1:6" x14ac:dyDescent="0.25">
      <c r="A2850" t="s">
        <v>2856</v>
      </c>
      <c r="B2850" t="s">
        <v>1498</v>
      </c>
      <c r="C2850" t="s">
        <v>92</v>
      </c>
      <c r="D2850">
        <v>7</v>
      </c>
      <c r="E2850" t="s">
        <v>1956</v>
      </c>
      <c r="F2850" t="s">
        <v>1692</v>
      </c>
    </row>
    <row r="2851" spans="1:6" x14ac:dyDescent="0.25">
      <c r="A2851" t="s">
        <v>2857</v>
      </c>
      <c r="B2851" t="s">
        <v>1499</v>
      </c>
      <c r="C2851" t="s">
        <v>27</v>
      </c>
      <c r="D2851">
        <v>1</v>
      </c>
      <c r="E2851" t="s">
        <v>1891</v>
      </c>
      <c r="F2851" t="s">
        <v>2969</v>
      </c>
    </row>
    <row r="2852" spans="1:6" x14ac:dyDescent="0.25">
      <c r="A2852" t="s">
        <v>2857</v>
      </c>
      <c r="B2852" t="s">
        <v>1499</v>
      </c>
      <c r="C2852" t="s">
        <v>27</v>
      </c>
      <c r="D2852">
        <v>2</v>
      </c>
      <c r="E2852" t="s">
        <v>2046</v>
      </c>
      <c r="F2852" t="s">
        <v>2969</v>
      </c>
    </row>
    <row r="2853" spans="1:6" x14ac:dyDescent="0.25">
      <c r="A2853" t="s">
        <v>2858</v>
      </c>
      <c r="B2853" t="s">
        <v>1500</v>
      </c>
      <c r="C2853" t="s">
        <v>97</v>
      </c>
      <c r="D2853">
        <v>1</v>
      </c>
      <c r="E2853" t="s">
        <v>89</v>
      </c>
      <c r="F2853" t="s">
        <v>2969</v>
      </c>
    </row>
    <row r="2854" spans="1:6" x14ac:dyDescent="0.25">
      <c r="A2854" t="s">
        <v>2858</v>
      </c>
      <c r="B2854" t="s">
        <v>1500</v>
      </c>
      <c r="C2854" t="s">
        <v>97</v>
      </c>
      <c r="D2854">
        <v>2</v>
      </c>
      <c r="E2854" t="s">
        <v>1772</v>
      </c>
      <c r="F2854" t="s">
        <v>2969</v>
      </c>
    </row>
    <row r="2855" spans="1:6" x14ac:dyDescent="0.25">
      <c r="A2855" t="s">
        <v>2858</v>
      </c>
      <c r="B2855" t="s">
        <v>1500</v>
      </c>
      <c r="C2855" t="s">
        <v>97</v>
      </c>
      <c r="D2855">
        <v>3</v>
      </c>
      <c r="E2855" t="s">
        <v>1657</v>
      </c>
      <c r="F2855" t="s">
        <v>2969</v>
      </c>
    </row>
    <row r="2856" spans="1:6" x14ac:dyDescent="0.25">
      <c r="A2856" t="s">
        <v>2859</v>
      </c>
      <c r="B2856" t="s">
        <v>1501</v>
      </c>
      <c r="C2856" t="s">
        <v>20</v>
      </c>
      <c r="D2856">
        <v>1</v>
      </c>
      <c r="E2856" t="s">
        <v>1739</v>
      </c>
      <c r="F2856" t="s">
        <v>2969</v>
      </c>
    </row>
    <row r="2857" spans="1:6" x14ac:dyDescent="0.25">
      <c r="A2857" t="s">
        <v>2860</v>
      </c>
      <c r="B2857" t="s">
        <v>1502</v>
      </c>
      <c r="C2857" t="s">
        <v>132</v>
      </c>
      <c r="D2857">
        <v>1</v>
      </c>
      <c r="E2857" t="s">
        <v>2230</v>
      </c>
      <c r="F2857" t="s">
        <v>2969</v>
      </c>
    </row>
    <row r="2858" spans="1:6" x14ac:dyDescent="0.25">
      <c r="A2858" t="s">
        <v>2861</v>
      </c>
      <c r="B2858" t="s">
        <v>1503</v>
      </c>
      <c r="C2858" t="s">
        <v>98</v>
      </c>
      <c r="D2858">
        <v>1</v>
      </c>
      <c r="E2858" t="s">
        <v>1859</v>
      </c>
      <c r="F2858" t="s">
        <v>2969</v>
      </c>
    </row>
    <row r="2859" spans="1:6" x14ac:dyDescent="0.25">
      <c r="A2859" t="s">
        <v>2861</v>
      </c>
      <c r="B2859" t="s">
        <v>1503</v>
      </c>
      <c r="C2859" t="s">
        <v>98</v>
      </c>
      <c r="D2859">
        <v>2</v>
      </c>
      <c r="E2859" t="s">
        <v>1850</v>
      </c>
      <c r="F2859" t="s">
        <v>2969</v>
      </c>
    </row>
    <row r="2860" spans="1:6" x14ac:dyDescent="0.25">
      <c r="A2860" t="s">
        <v>2862</v>
      </c>
      <c r="B2860" t="s">
        <v>1504</v>
      </c>
      <c r="C2860" t="s">
        <v>130</v>
      </c>
      <c r="D2860">
        <v>1</v>
      </c>
      <c r="E2860" t="s">
        <v>1785</v>
      </c>
      <c r="F2860" t="s">
        <v>2969</v>
      </c>
    </row>
    <row r="2861" spans="1:6" x14ac:dyDescent="0.25">
      <c r="A2861" t="s">
        <v>2862</v>
      </c>
      <c r="B2861" t="s">
        <v>1504</v>
      </c>
      <c r="C2861" t="s">
        <v>130</v>
      </c>
      <c r="D2861">
        <v>2</v>
      </c>
      <c r="E2861" t="s">
        <v>2081</v>
      </c>
      <c r="F2861" t="s">
        <v>2969</v>
      </c>
    </row>
    <row r="2862" spans="1:6" x14ac:dyDescent="0.25">
      <c r="A2862" t="s">
        <v>2862</v>
      </c>
      <c r="B2862" t="s">
        <v>1504</v>
      </c>
      <c r="C2862" t="s">
        <v>130</v>
      </c>
      <c r="D2862">
        <v>3</v>
      </c>
      <c r="E2862" t="s">
        <v>1673</v>
      </c>
      <c r="F2862" t="s">
        <v>2969</v>
      </c>
    </row>
    <row r="2863" spans="1:6" x14ac:dyDescent="0.25">
      <c r="A2863" t="s">
        <v>2863</v>
      </c>
      <c r="B2863" t="s">
        <v>1505</v>
      </c>
      <c r="C2863" t="s">
        <v>83</v>
      </c>
      <c r="D2863">
        <v>1</v>
      </c>
      <c r="E2863" t="s">
        <v>99</v>
      </c>
      <c r="F2863" t="s">
        <v>2969</v>
      </c>
    </row>
    <row r="2864" spans="1:6" x14ac:dyDescent="0.25">
      <c r="A2864" t="s">
        <v>2864</v>
      </c>
      <c r="B2864" t="s">
        <v>1506</v>
      </c>
      <c r="C2864" t="s">
        <v>118</v>
      </c>
      <c r="D2864">
        <v>1</v>
      </c>
      <c r="E2864" t="s">
        <v>1769</v>
      </c>
      <c r="F2864" t="s">
        <v>2969</v>
      </c>
    </row>
    <row r="2865" spans="1:6" x14ac:dyDescent="0.25">
      <c r="A2865" t="s">
        <v>2864</v>
      </c>
      <c r="B2865" t="s">
        <v>1506</v>
      </c>
      <c r="C2865" t="s">
        <v>118</v>
      </c>
      <c r="D2865">
        <v>2</v>
      </c>
      <c r="E2865" t="s">
        <v>1915</v>
      </c>
      <c r="F2865" t="s">
        <v>2969</v>
      </c>
    </row>
    <row r="2866" spans="1:6" x14ac:dyDescent="0.25">
      <c r="A2866" t="s">
        <v>2864</v>
      </c>
      <c r="B2866" t="s">
        <v>1506</v>
      </c>
      <c r="C2866" t="s">
        <v>118</v>
      </c>
      <c r="D2866">
        <v>3</v>
      </c>
      <c r="E2866" t="s">
        <v>1661</v>
      </c>
      <c r="F2866" t="s">
        <v>2969</v>
      </c>
    </row>
    <row r="2867" spans="1:6" x14ac:dyDescent="0.25">
      <c r="A2867" t="s">
        <v>2864</v>
      </c>
      <c r="B2867" t="s">
        <v>1506</v>
      </c>
      <c r="C2867" t="s">
        <v>118</v>
      </c>
      <c r="D2867">
        <v>4</v>
      </c>
      <c r="E2867" t="s">
        <v>2017</v>
      </c>
      <c r="F2867" t="s">
        <v>2969</v>
      </c>
    </row>
    <row r="2868" spans="1:6" x14ac:dyDescent="0.25">
      <c r="A2868" t="s">
        <v>2865</v>
      </c>
      <c r="B2868" t="s">
        <v>1507</v>
      </c>
      <c r="C2868" t="s">
        <v>27</v>
      </c>
      <c r="D2868">
        <v>1</v>
      </c>
      <c r="E2868" t="s">
        <v>2017</v>
      </c>
      <c r="F2868" t="s">
        <v>2969</v>
      </c>
    </row>
    <row r="2869" spans="1:6" x14ac:dyDescent="0.25">
      <c r="A2869" t="s">
        <v>2865</v>
      </c>
      <c r="B2869" t="s">
        <v>1507</v>
      </c>
      <c r="C2869" t="s">
        <v>27</v>
      </c>
      <c r="D2869">
        <v>2</v>
      </c>
      <c r="E2869" t="s">
        <v>2230</v>
      </c>
      <c r="F2869" t="s">
        <v>2969</v>
      </c>
    </row>
    <row r="2870" spans="1:6" x14ac:dyDescent="0.25">
      <c r="A2870" t="s">
        <v>2865</v>
      </c>
      <c r="B2870" t="s">
        <v>1507</v>
      </c>
      <c r="C2870" t="s">
        <v>27</v>
      </c>
      <c r="D2870">
        <v>3</v>
      </c>
      <c r="E2870" t="s">
        <v>2078</v>
      </c>
      <c r="F2870" t="s">
        <v>2969</v>
      </c>
    </row>
    <row r="2871" spans="1:6" x14ac:dyDescent="0.25">
      <c r="A2871" t="s">
        <v>2865</v>
      </c>
      <c r="B2871" t="s">
        <v>1507</v>
      </c>
      <c r="C2871" t="s">
        <v>27</v>
      </c>
      <c r="D2871">
        <v>4</v>
      </c>
      <c r="E2871" t="s">
        <v>1721</v>
      </c>
      <c r="F2871" t="s">
        <v>2969</v>
      </c>
    </row>
    <row r="2872" spans="1:6" x14ac:dyDescent="0.25">
      <c r="A2872" t="s">
        <v>2865</v>
      </c>
      <c r="B2872" t="s">
        <v>1507</v>
      </c>
      <c r="C2872" t="s">
        <v>27</v>
      </c>
      <c r="D2872">
        <v>5</v>
      </c>
      <c r="E2872" t="s">
        <v>1655</v>
      </c>
      <c r="F2872" t="s">
        <v>2969</v>
      </c>
    </row>
    <row r="2873" spans="1:6" x14ac:dyDescent="0.25">
      <c r="A2873" t="s">
        <v>2865</v>
      </c>
      <c r="B2873" t="s">
        <v>1507</v>
      </c>
      <c r="C2873" t="s">
        <v>27</v>
      </c>
      <c r="D2873">
        <v>6</v>
      </c>
      <c r="E2873" t="s">
        <v>1709</v>
      </c>
      <c r="F2873" t="s">
        <v>2969</v>
      </c>
    </row>
    <row r="2874" spans="1:6" x14ac:dyDescent="0.25">
      <c r="A2874" t="s">
        <v>2865</v>
      </c>
      <c r="B2874" t="s">
        <v>1507</v>
      </c>
      <c r="C2874" t="s">
        <v>27</v>
      </c>
      <c r="D2874">
        <v>7</v>
      </c>
      <c r="E2874" t="s">
        <v>1676</v>
      </c>
      <c r="F2874" t="s">
        <v>1692</v>
      </c>
    </row>
    <row r="2875" spans="1:6" x14ac:dyDescent="0.25">
      <c r="A2875" t="s">
        <v>2866</v>
      </c>
      <c r="B2875" t="s">
        <v>1508</v>
      </c>
      <c r="C2875" t="s">
        <v>100</v>
      </c>
      <c r="D2875">
        <v>1</v>
      </c>
      <c r="E2875" t="s">
        <v>68</v>
      </c>
      <c r="F2875" t="s">
        <v>2969</v>
      </c>
    </row>
    <row r="2876" spans="1:6" x14ac:dyDescent="0.25">
      <c r="A2876" t="s">
        <v>2866</v>
      </c>
      <c r="B2876" t="s">
        <v>1508</v>
      </c>
      <c r="C2876" t="s">
        <v>100</v>
      </c>
      <c r="D2876">
        <v>2</v>
      </c>
      <c r="E2876" t="s">
        <v>111</v>
      </c>
      <c r="F2876" t="s">
        <v>2969</v>
      </c>
    </row>
    <row r="2877" spans="1:6" x14ac:dyDescent="0.25">
      <c r="A2877" t="s">
        <v>2867</v>
      </c>
      <c r="B2877" t="s">
        <v>1509</v>
      </c>
      <c r="C2877" t="s">
        <v>56</v>
      </c>
      <c r="D2877">
        <v>1</v>
      </c>
      <c r="E2877" t="s">
        <v>99</v>
      </c>
      <c r="F2877" t="s">
        <v>2969</v>
      </c>
    </row>
    <row r="2878" spans="1:6" x14ac:dyDescent="0.25">
      <c r="A2878" t="s">
        <v>2867</v>
      </c>
      <c r="B2878" t="s">
        <v>1509</v>
      </c>
      <c r="C2878" t="s">
        <v>56</v>
      </c>
      <c r="D2878">
        <v>2</v>
      </c>
      <c r="E2878" t="s">
        <v>1663</v>
      </c>
      <c r="F2878" t="s">
        <v>2969</v>
      </c>
    </row>
    <row r="2879" spans="1:6" x14ac:dyDescent="0.25">
      <c r="A2879" t="s">
        <v>2867</v>
      </c>
      <c r="B2879" t="s">
        <v>1509</v>
      </c>
      <c r="C2879" t="s">
        <v>56</v>
      </c>
      <c r="D2879">
        <v>3</v>
      </c>
      <c r="E2879" t="s">
        <v>38</v>
      </c>
      <c r="F2879" t="s">
        <v>2969</v>
      </c>
    </row>
    <row r="2880" spans="1:6" x14ac:dyDescent="0.25">
      <c r="A2880" t="s">
        <v>2868</v>
      </c>
      <c r="B2880" t="s">
        <v>1510</v>
      </c>
      <c r="C2880" t="s">
        <v>123</v>
      </c>
      <c r="D2880">
        <v>1</v>
      </c>
      <c r="E2880" t="s">
        <v>1728</v>
      </c>
      <c r="F2880" t="s">
        <v>2969</v>
      </c>
    </row>
    <row r="2881" spans="1:6" x14ac:dyDescent="0.25">
      <c r="A2881" t="s">
        <v>2868</v>
      </c>
      <c r="B2881" t="s">
        <v>1510</v>
      </c>
      <c r="C2881" t="s">
        <v>123</v>
      </c>
      <c r="D2881">
        <v>2</v>
      </c>
      <c r="E2881" t="s">
        <v>1857</v>
      </c>
      <c r="F2881" t="s">
        <v>2969</v>
      </c>
    </row>
    <row r="2882" spans="1:6" x14ac:dyDescent="0.25">
      <c r="A2882" t="s">
        <v>2869</v>
      </c>
      <c r="B2882" t="s">
        <v>1511</v>
      </c>
      <c r="C2882" t="s">
        <v>132</v>
      </c>
      <c r="D2882">
        <v>1</v>
      </c>
      <c r="E2882" t="s">
        <v>2017</v>
      </c>
      <c r="F2882" t="s">
        <v>2969</v>
      </c>
    </row>
    <row r="2883" spans="1:6" x14ac:dyDescent="0.25">
      <c r="A2883" t="s">
        <v>2869</v>
      </c>
      <c r="B2883" t="s">
        <v>1511</v>
      </c>
      <c r="C2883" t="s">
        <v>132</v>
      </c>
      <c r="D2883">
        <v>2</v>
      </c>
      <c r="E2883" t="s">
        <v>2038</v>
      </c>
      <c r="F2883" t="s">
        <v>2969</v>
      </c>
    </row>
    <row r="2884" spans="1:6" x14ac:dyDescent="0.25">
      <c r="A2884" t="s">
        <v>2869</v>
      </c>
      <c r="B2884" t="s">
        <v>1511</v>
      </c>
      <c r="C2884" t="s">
        <v>132</v>
      </c>
      <c r="D2884">
        <v>3</v>
      </c>
      <c r="E2884" t="s">
        <v>2130</v>
      </c>
      <c r="F2884" t="s">
        <v>2969</v>
      </c>
    </row>
    <row r="2885" spans="1:6" x14ac:dyDescent="0.25">
      <c r="A2885" t="s">
        <v>2870</v>
      </c>
      <c r="B2885" t="s">
        <v>1512</v>
      </c>
      <c r="C2885" t="s">
        <v>87</v>
      </c>
      <c r="D2885">
        <v>1</v>
      </c>
      <c r="E2885" t="s">
        <v>1751</v>
      </c>
      <c r="F2885" t="s">
        <v>2969</v>
      </c>
    </row>
    <row r="2886" spans="1:6" x14ac:dyDescent="0.25">
      <c r="A2886" t="s">
        <v>2870</v>
      </c>
      <c r="B2886" t="s">
        <v>1512</v>
      </c>
      <c r="C2886" t="s">
        <v>87</v>
      </c>
      <c r="D2886">
        <v>2</v>
      </c>
      <c r="E2886" t="s">
        <v>1781</v>
      </c>
      <c r="F2886" t="s">
        <v>2969</v>
      </c>
    </row>
    <row r="2887" spans="1:6" x14ac:dyDescent="0.25">
      <c r="A2887" t="s">
        <v>2870</v>
      </c>
      <c r="B2887" t="s">
        <v>1512</v>
      </c>
      <c r="C2887" t="s">
        <v>87</v>
      </c>
      <c r="D2887">
        <v>3</v>
      </c>
      <c r="E2887" t="s">
        <v>1923</v>
      </c>
      <c r="F2887" t="s">
        <v>2969</v>
      </c>
    </row>
    <row r="2888" spans="1:6" x14ac:dyDescent="0.25">
      <c r="A2888" t="s">
        <v>2870</v>
      </c>
      <c r="B2888" t="s">
        <v>1512</v>
      </c>
      <c r="C2888" t="s">
        <v>87</v>
      </c>
      <c r="D2888">
        <v>4</v>
      </c>
      <c r="E2888" t="s">
        <v>2516</v>
      </c>
      <c r="F2888" t="s">
        <v>2969</v>
      </c>
    </row>
    <row r="2889" spans="1:6" x14ac:dyDescent="0.25">
      <c r="A2889" t="s">
        <v>2870</v>
      </c>
      <c r="B2889" t="s">
        <v>1512</v>
      </c>
      <c r="C2889" t="s">
        <v>87</v>
      </c>
      <c r="D2889">
        <v>5</v>
      </c>
      <c r="E2889" t="s">
        <v>2460</v>
      </c>
      <c r="F2889" t="s">
        <v>2969</v>
      </c>
    </row>
    <row r="2890" spans="1:6" x14ac:dyDescent="0.25">
      <c r="A2890" t="s">
        <v>2870</v>
      </c>
      <c r="B2890" t="s">
        <v>1512</v>
      </c>
      <c r="C2890" t="s">
        <v>87</v>
      </c>
      <c r="D2890">
        <v>6</v>
      </c>
      <c r="E2890" t="s">
        <v>2273</v>
      </c>
      <c r="F2890" t="s">
        <v>2969</v>
      </c>
    </row>
    <row r="2891" spans="1:6" x14ac:dyDescent="0.25">
      <c r="A2891" t="s">
        <v>2870</v>
      </c>
      <c r="B2891" t="s">
        <v>1512</v>
      </c>
      <c r="C2891" t="s">
        <v>87</v>
      </c>
      <c r="D2891">
        <v>7</v>
      </c>
      <c r="E2891" t="s">
        <v>1775</v>
      </c>
      <c r="F2891" t="s">
        <v>1692</v>
      </c>
    </row>
    <row r="2892" spans="1:6" x14ac:dyDescent="0.25">
      <c r="A2892" t="s">
        <v>2871</v>
      </c>
      <c r="B2892" t="s">
        <v>1513</v>
      </c>
      <c r="C2892" t="s">
        <v>128</v>
      </c>
      <c r="D2892">
        <v>1</v>
      </c>
      <c r="E2892" t="s">
        <v>126</v>
      </c>
      <c r="F2892" t="s">
        <v>2969</v>
      </c>
    </row>
    <row r="2893" spans="1:6" x14ac:dyDescent="0.25">
      <c r="A2893" t="s">
        <v>2871</v>
      </c>
      <c r="B2893" t="s">
        <v>1513</v>
      </c>
      <c r="C2893" t="s">
        <v>128</v>
      </c>
      <c r="D2893">
        <v>2</v>
      </c>
      <c r="E2893" t="s">
        <v>1908</v>
      </c>
      <c r="F2893" t="s">
        <v>2969</v>
      </c>
    </row>
    <row r="2894" spans="1:6" x14ac:dyDescent="0.25">
      <c r="A2894" t="s">
        <v>2871</v>
      </c>
      <c r="B2894" t="s">
        <v>1513</v>
      </c>
      <c r="C2894" t="s">
        <v>128</v>
      </c>
      <c r="D2894">
        <v>3</v>
      </c>
      <c r="E2894" t="s">
        <v>2344</v>
      </c>
      <c r="F2894" t="s">
        <v>2969</v>
      </c>
    </row>
    <row r="2895" spans="1:6" x14ac:dyDescent="0.25">
      <c r="A2895" t="s">
        <v>2871</v>
      </c>
      <c r="B2895" t="s">
        <v>1513</v>
      </c>
      <c r="C2895" t="s">
        <v>128</v>
      </c>
      <c r="D2895">
        <v>4</v>
      </c>
      <c r="E2895" t="s">
        <v>120</v>
      </c>
      <c r="F2895" t="s">
        <v>2969</v>
      </c>
    </row>
    <row r="2896" spans="1:6" x14ac:dyDescent="0.25">
      <c r="A2896" t="s">
        <v>2872</v>
      </c>
      <c r="B2896" t="s">
        <v>1514</v>
      </c>
      <c r="C2896" t="s">
        <v>8</v>
      </c>
      <c r="D2896">
        <v>1</v>
      </c>
      <c r="E2896" t="s">
        <v>1673</v>
      </c>
      <c r="F2896" t="s">
        <v>2969</v>
      </c>
    </row>
    <row r="2897" spans="1:6" x14ac:dyDescent="0.25">
      <c r="A2897" t="s">
        <v>2873</v>
      </c>
      <c r="B2897" t="s">
        <v>1515</v>
      </c>
      <c r="C2897" t="s">
        <v>46</v>
      </c>
      <c r="D2897">
        <v>1</v>
      </c>
      <c r="E2897" t="s">
        <v>1639</v>
      </c>
      <c r="F2897" t="s">
        <v>2969</v>
      </c>
    </row>
    <row r="2898" spans="1:6" x14ac:dyDescent="0.25">
      <c r="A2898" t="s">
        <v>2873</v>
      </c>
      <c r="B2898" t="s">
        <v>1515</v>
      </c>
      <c r="C2898" t="s">
        <v>46</v>
      </c>
      <c r="D2898">
        <v>2</v>
      </c>
      <c r="E2898" t="s">
        <v>1629</v>
      </c>
      <c r="F2898" t="s">
        <v>2969</v>
      </c>
    </row>
    <row r="2899" spans="1:6" x14ac:dyDescent="0.25">
      <c r="A2899" t="s">
        <v>2873</v>
      </c>
      <c r="B2899" t="s">
        <v>1515</v>
      </c>
      <c r="C2899" t="s">
        <v>46</v>
      </c>
      <c r="D2899">
        <v>3</v>
      </c>
      <c r="E2899" t="s">
        <v>1960</v>
      </c>
      <c r="F2899" t="s">
        <v>2969</v>
      </c>
    </row>
    <row r="2900" spans="1:6" x14ac:dyDescent="0.25">
      <c r="A2900" t="s">
        <v>2874</v>
      </c>
      <c r="B2900" t="s">
        <v>1516</v>
      </c>
      <c r="C2900" t="s">
        <v>97</v>
      </c>
      <c r="D2900">
        <v>1</v>
      </c>
      <c r="E2900" t="s">
        <v>2130</v>
      </c>
      <c r="F2900" t="s">
        <v>2969</v>
      </c>
    </row>
    <row r="2901" spans="1:6" x14ac:dyDescent="0.25">
      <c r="A2901" t="s">
        <v>2874</v>
      </c>
      <c r="B2901" t="s">
        <v>1516</v>
      </c>
      <c r="C2901" t="s">
        <v>97</v>
      </c>
      <c r="D2901">
        <v>2</v>
      </c>
      <c r="E2901" t="s">
        <v>1822</v>
      </c>
      <c r="F2901" t="s">
        <v>2969</v>
      </c>
    </row>
    <row r="2902" spans="1:6" x14ac:dyDescent="0.25">
      <c r="A2902" t="s">
        <v>2874</v>
      </c>
      <c r="B2902" t="s">
        <v>1516</v>
      </c>
      <c r="C2902" t="s">
        <v>97</v>
      </c>
      <c r="D2902">
        <v>3</v>
      </c>
      <c r="E2902" t="s">
        <v>1904</v>
      </c>
      <c r="F2902" t="s">
        <v>2969</v>
      </c>
    </row>
    <row r="2903" spans="1:6" x14ac:dyDescent="0.25">
      <c r="A2903" t="s">
        <v>2875</v>
      </c>
      <c r="B2903" t="s">
        <v>1517</v>
      </c>
      <c r="C2903" t="s">
        <v>107</v>
      </c>
      <c r="D2903">
        <v>1</v>
      </c>
      <c r="E2903" t="s">
        <v>2130</v>
      </c>
      <c r="F2903" t="s">
        <v>2969</v>
      </c>
    </row>
    <row r="2904" spans="1:6" x14ac:dyDescent="0.25">
      <c r="A2904" t="s">
        <v>2875</v>
      </c>
      <c r="B2904" t="s">
        <v>1517</v>
      </c>
      <c r="C2904" t="s">
        <v>107</v>
      </c>
      <c r="D2904">
        <v>2</v>
      </c>
      <c r="E2904" t="s">
        <v>2078</v>
      </c>
      <c r="F2904" t="s">
        <v>2969</v>
      </c>
    </row>
    <row r="2905" spans="1:6" x14ac:dyDescent="0.25">
      <c r="A2905" t="s">
        <v>2875</v>
      </c>
      <c r="B2905" t="s">
        <v>1517</v>
      </c>
      <c r="C2905" t="s">
        <v>107</v>
      </c>
      <c r="D2905">
        <v>3</v>
      </c>
      <c r="E2905" t="s">
        <v>1721</v>
      </c>
      <c r="F2905" t="s">
        <v>2969</v>
      </c>
    </row>
    <row r="2906" spans="1:6" x14ac:dyDescent="0.25">
      <c r="A2906" t="s">
        <v>2875</v>
      </c>
      <c r="B2906" t="s">
        <v>1517</v>
      </c>
      <c r="C2906" t="s">
        <v>107</v>
      </c>
      <c r="D2906">
        <v>4</v>
      </c>
      <c r="E2906" t="s">
        <v>1709</v>
      </c>
      <c r="F2906" t="s">
        <v>2969</v>
      </c>
    </row>
    <row r="2907" spans="1:6" x14ac:dyDescent="0.25">
      <c r="A2907" t="s">
        <v>2876</v>
      </c>
      <c r="B2907" t="s">
        <v>1518</v>
      </c>
      <c r="C2907" t="s">
        <v>97</v>
      </c>
      <c r="D2907">
        <v>1</v>
      </c>
      <c r="E2907" t="s">
        <v>1709</v>
      </c>
      <c r="F2907" t="s">
        <v>2969</v>
      </c>
    </row>
    <row r="2908" spans="1:6" x14ac:dyDescent="0.25">
      <c r="A2908" t="s">
        <v>2877</v>
      </c>
      <c r="B2908" t="s">
        <v>1519</v>
      </c>
      <c r="C2908" t="s">
        <v>136</v>
      </c>
      <c r="D2908">
        <v>1</v>
      </c>
      <c r="E2908" t="s">
        <v>1653</v>
      </c>
      <c r="F2908" t="s">
        <v>2969</v>
      </c>
    </row>
    <row r="2909" spans="1:6" x14ac:dyDescent="0.25">
      <c r="A2909" t="s">
        <v>2877</v>
      </c>
      <c r="B2909" t="s">
        <v>1519</v>
      </c>
      <c r="C2909" t="s">
        <v>136</v>
      </c>
      <c r="D2909">
        <v>2</v>
      </c>
      <c r="E2909" t="s">
        <v>75</v>
      </c>
      <c r="F2909" t="s">
        <v>2969</v>
      </c>
    </row>
    <row r="2910" spans="1:6" x14ac:dyDescent="0.25">
      <c r="A2910" t="s">
        <v>2877</v>
      </c>
      <c r="B2910" t="s">
        <v>1519</v>
      </c>
      <c r="C2910" t="s">
        <v>136</v>
      </c>
      <c r="D2910">
        <v>3</v>
      </c>
      <c r="E2910" t="s">
        <v>1772</v>
      </c>
      <c r="F2910" t="s">
        <v>2969</v>
      </c>
    </row>
    <row r="2911" spans="1:6" x14ac:dyDescent="0.25">
      <c r="A2911" t="s">
        <v>2877</v>
      </c>
      <c r="B2911" t="s">
        <v>1519</v>
      </c>
      <c r="C2911" t="s">
        <v>136</v>
      </c>
      <c r="D2911">
        <v>4</v>
      </c>
      <c r="E2911" t="s">
        <v>1801</v>
      </c>
      <c r="F2911" t="s">
        <v>2969</v>
      </c>
    </row>
    <row r="2912" spans="1:6" x14ac:dyDescent="0.25">
      <c r="A2912" t="s">
        <v>2878</v>
      </c>
      <c r="B2912" t="s">
        <v>1520</v>
      </c>
      <c r="C2912" t="s">
        <v>113</v>
      </c>
      <c r="D2912">
        <v>1</v>
      </c>
      <c r="E2912" t="s">
        <v>1908</v>
      </c>
      <c r="F2912" t="s">
        <v>2969</v>
      </c>
    </row>
    <row r="2913" spans="1:6" x14ac:dyDescent="0.25">
      <c r="A2913" t="s">
        <v>2878</v>
      </c>
      <c r="B2913" t="s">
        <v>1520</v>
      </c>
      <c r="C2913" t="s">
        <v>113</v>
      </c>
      <c r="D2913">
        <v>2</v>
      </c>
      <c r="E2913" t="s">
        <v>2344</v>
      </c>
      <c r="F2913" t="s">
        <v>2969</v>
      </c>
    </row>
    <row r="2914" spans="1:6" x14ac:dyDescent="0.25">
      <c r="A2914" t="s">
        <v>2878</v>
      </c>
      <c r="B2914" t="s">
        <v>1520</v>
      </c>
      <c r="C2914" t="s">
        <v>113</v>
      </c>
      <c r="D2914">
        <v>3</v>
      </c>
      <c r="E2914" t="s">
        <v>1731</v>
      </c>
      <c r="F2914" t="s">
        <v>2969</v>
      </c>
    </row>
    <row r="2915" spans="1:6" x14ac:dyDescent="0.25">
      <c r="A2915" t="s">
        <v>2878</v>
      </c>
      <c r="B2915" t="s">
        <v>1520</v>
      </c>
      <c r="C2915" t="s">
        <v>113</v>
      </c>
      <c r="D2915">
        <v>4</v>
      </c>
      <c r="E2915" t="s">
        <v>1627</v>
      </c>
      <c r="F2915" t="s">
        <v>2969</v>
      </c>
    </row>
    <row r="2916" spans="1:6" x14ac:dyDescent="0.25">
      <c r="A2916" t="s">
        <v>2879</v>
      </c>
      <c r="B2916" t="s">
        <v>1521</v>
      </c>
      <c r="C2916" t="s">
        <v>90</v>
      </c>
      <c r="D2916">
        <v>1</v>
      </c>
      <c r="E2916" t="s">
        <v>1758</v>
      </c>
      <c r="F2916" t="s">
        <v>2969</v>
      </c>
    </row>
    <row r="2917" spans="1:6" x14ac:dyDescent="0.25">
      <c r="A2917" t="s">
        <v>2880</v>
      </c>
      <c r="B2917" t="s">
        <v>1522</v>
      </c>
      <c r="C2917" t="s">
        <v>121</v>
      </c>
      <c r="D2917">
        <v>1</v>
      </c>
      <c r="E2917" t="s">
        <v>1629</v>
      </c>
      <c r="F2917" t="s">
        <v>2969</v>
      </c>
    </row>
    <row r="2918" spans="1:6" x14ac:dyDescent="0.25">
      <c r="A2918" t="s">
        <v>2880</v>
      </c>
      <c r="B2918" t="s">
        <v>1522</v>
      </c>
      <c r="C2918" t="s">
        <v>121</v>
      </c>
      <c r="D2918">
        <v>2</v>
      </c>
      <c r="E2918" t="s">
        <v>1643</v>
      </c>
      <c r="F2918" t="s">
        <v>2969</v>
      </c>
    </row>
    <row r="2919" spans="1:6" x14ac:dyDescent="0.25">
      <c r="A2919" t="s">
        <v>2881</v>
      </c>
      <c r="B2919" t="s">
        <v>1523</v>
      </c>
      <c r="C2919" t="s">
        <v>94</v>
      </c>
      <c r="D2919">
        <v>1</v>
      </c>
      <c r="E2919" t="s">
        <v>2032</v>
      </c>
      <c r="F2919" t="s">
        <v>2969</v>
      </c>
    </row>
    <row r="2920" spans="1:6" x14ac:dyDescent="0.25">
      <c r="A2920" t="s">
        <v>2881</v>
      </c>
      <c r="B2920" t="s">
        <v>1523</v>
      </c>
      <c r="C2920" t="s">
        <v>94</v>
      </c>
      <c r="D2920">
        <v>2</v>
      </c>
      <c r="E2920" t="s">
        <v>1828</v>
      </c>
      <c r="F2920" t="s">
        <v>2969</v>
      </c>
    </row>
    <row r="2921" spans="1:6" x14ac:dyDescent="0.25">
      <c r="A2921" t="s">
        <v>2881</v>
      </c>
      <c r="B2921" t="s">
        <v>1523</v>
      </c>
      <c r="C2921" t="s">
        <v>94</v>
      </c>
      <c r="D2921">
        <v>3</v>
      </c>
      <c r="E2921" t="s">
        <v>1683</v>
      </c>
      <c r="F2921" t="s">
        <v>2969</v>
      </c>
    </row>
    <row r="2922" spans="1:6" x14ac:dyDescent="0.25">
      <c r="A2922" t="s">
        <v>2882</v>
      </c>
      <c r="B2922" t="s">
        <v>1524</v>
      </c>
      <c r="C2922" t="s">
        <v>79</v>
      </c>
      <c r="D2922">
        <v>1</v>
      </c>
      <c r="E2922" t="s">
        <v>1960</v>
      </c>
      <c r="F2922" t="s">
        <v>2969</v>
      </c>
    </row>
    <row r="2923" spans="1:6" x14ac:dyDescent="0.25">
      <c r="A2923" t="s">
        <v>2882</v>
      </c>
      <c r="B2923" t="s">
        <v>1524</v>
      </c>
      <c r="C2923" t="s">
        <v>79</v>
      </c>
      <c r="D2923">
        <v>2</v>
      </c>
      <c r="E2923" t="s">
        <v>1621</v>
      </c>
      <c r="F2923" t="s">
        <v>2969</v>
      </c>
    </row>
    <row r="2924" spans="1:6" x14ac:dyDescent="0.25">
      <c r="A2924" t="s">
        <v>2883</v>
      </c>
      <c r="B2924" t="s">
        <v>1525</v>
      </c>
      <c r="C2924" t="s">
        <v>121</v>
      </c>
      <c r="D2924">
        <v>1</v>
      </c>
      <c r="E2924" t="s">
        <v>89</v>
      </c>
      <c r="F2924" t="s">
        <v>2969</v>
      </c>
    </row>
    <row r="2925" spans="1:6" x14ac:dyDescent="0.25">
      <c r="A2925" t="s">
        <v>2883</v>
      </c>
      <c r="B2925" t="s">
        <v>1525</v>
      </c>
      <c r="C2925" t="s">
        <v>121</v>
      </c>
      <c r="D2925">
        <v>2</v>
      </c>
      <c r="E2925" t="s">
        <v>1812</v>
      </c>
      <c r="F2925" t="s">
        <v>2969</v>
      </c>
    </row>
    <row r="2926" spans="1:6" x14ac:dyDescent="0.25">
      <c r="A2926" t="s">
        <v>2884</v>
      </c>
      <c r="B2926" t="s">
        <v>1526</v>
      </c>
      <c r="C2926" t="s">
        <v>134</v>
      </c>
      <c r="D2926">
        <v>1</v>
      </c>
      <c r="E2926" t="s">
        <v>131</v>
      </c>
      <c r="F2926" t="s">
        <v>2969</v>
      </c>
    </row>
    <row r="2927" spans="1:6" x14ac:dyDescent="0.25">
      <c r="A2927" t="s">
        <v>2884</v>
      </c>
      <c r="B2927" t="s">
        <v>1526</v>
      </c>
      <c r="C2927" t="s">
        <v>134</v>
      </c>
      <c r="D2927">
        <v>2</v>
      </c>
      <c r="E2927" t="s">
        <v>133</v>
      </c>
      <c r="F2927" t="s">
        <v>2969</v>
      </c>
    </row>
    <row r="2928" spans="1:6" x14ac:dyDescent="0.25">
      <c r="A2928" t="s">
        <v>2884</v>
      </c>
      <c r="B2928" t="s">
        <v>1526</v>
      </c>
      <c r="C2928" t="s">
        <v>134</v>
      </c>
      <c r="D2928">
        <v>3</v>
      </c>
      <c r="E2928" t="s">
        <v>1704</v>
      </c>
      <c r="F2928" t="s">
        <v>2969</v>
      </c>
    </row>
    <row r="2929" spans="1:6" x14ac:dyDescent="0.25">
      <c r="A2929" t="s">
        <v>2885</v>
      </c>
      <c r="B2929" t="s">
        <v>1527</v>
      </c>
      <c r="C2929" t="s">
        <v>121</v>
      </c>
      <c r="D2929">
        <v>1</v>
      </c>
      <c r="E2929" t="s">
        <v>1634</v>
      </c>
      <c r="F2929" t="s">
        <v>2969</v>
      </c>
    </row>
    <row r="2930" spans="1:6" x14ac:dyDescent="0.25">
      <c r="A2930" t="s">
        <v>2885</v>
      </c>
      <c r="B2930" t="s">
        <v>1527</v>
      </c>
      <c r="C2930" t="s">
        <v>121</v>
      </c>
      <c r="D2930">
        <v>2</v>
      </c>
      <c r="E2930" t="s">
        <v>1953</v>
      </c>
      <c r="F2930" t="s">
        <v>2969</v>
      </c>
    </row>
    <row r="2931" spans="1:6" x14ac:dyDescent="0.25">
      <c r="A2931" t="s">
        <v>2886</v>
      </c>
      <c r="B2931" t="s">
        <v>1528</v>
      </c>
      <c r="C2931" t="s">
        <v>59</v>
      </c>
      <c r="D2931">
        <v>1</v>
      </c>
      <c r="E2931" t="s">
        <v>1657</v>
      </c>
      <c r="F2931" t="s">
        <v>2969</v>
      </c>
    </row>
    <row r="2932" spans="1:6" x14ac:dyDescent="0.25">
      <c r="A2932" t="s">
        <v>2887</v>
      </c>
      <c r="B2932" t="s">
        <v>1529</v>
      </c>
      <c r="C2932" t="s">
        <v>79</v>
      </c>
      <c r="D2932">
        <v>1</v>
      </c>
      <c r="E2932" t="s">
        <v>68</v>
      </c>
      <c r="F2932" t="s">
        <v>2969</v>
      </c>
    </row>
    <row r="2933" spans="1:6" x14ac:dyDescent="0.25">
      <c r="A2933" t="s">
        <v>2888</v>
      </c>
      <c r="B2933" t="s">
        <v>1530</v>
      </c>
      <c r="C2933" t="s">
        <v>60</v>
      </c>
      <c r="D2933">
        <v>1</v>
      </c>
      <c r="E2933" t="s">
        <v>1960</v>
      </c>
      <c r="F2933" t="s">
        <v>2969</v>
      </c>
    </row>
    <row r="2934" spans="1:6" x14ac:dyDescent="0.25">
      <c r="A2934" t="s">
        <v>2888</v>
      </c>
      <c r="B2934" t="s">
        <v>1530</v>
      </c>
      <c r="C2934" t="s">
        <v>60</v>
      </c>
      <c r="D2934">
        <v>2</v>
      </c>
      <c r="E2934" t="s">
        <v>1751</v>
      </c>
      <c r="F2934" t="s">
        <v>2969</v>
      </c>
    </row>
    <row r="2935" spans="1:6" x14ac:dyDescent="0.25">
      <c r="A2935" t="s">
        <v>2888</v>
      </c>
      <c r="B2935" t="s">
        <v>1530</v>
      </c>
      <c r="C2935" t="s">
        <v>60</v>
      </c>
      <c r="D2935">
        <v>3</v>
      </c>
      <c r="E2935" t="s">
        <v>1678</v>
      </c>
      <c r="F2935" t="s">
        <v>2969</v>
      </c>
    </row>
    <row r="2936" spans="1:6" x14ac:dyDescent="0.25">
      <c r="A2936" t="s">
        <v>2889</v>
      </c>
      <c r="B2936" t="s">
        <v>1531</v>
      </c>
      <c r="C2936" t="s">
        <v>56</v>
      </c>
      <c r="D2936">
        <v>1</v>
      </c>
      <c r="E2936" t="s">
        <v>1908</v>
      </c>
      <c r="F2936" t="s">
        <v>2969</v>
      </c>
    </row>
    <row r="2937" spans="1:6" x14ac:dyDescent="0.25">
      <c r="A2937" t="s">
        <v>2889</v>
      </c>
      <c r="B2937" t="s">
        <v>1531</v>
      </c>
      <c r="C2937" t="s">
        <v>56</v>
      </c>
      <c r="D2937">
        <v>2</v>
      </c>
      <c r="E2937" t="s">
        <v>2344</v>
      </c>
      <c r="F2937" t="s">
        <v>2969</v>
      </c>
    </row>
    <row r="2938" spans="1:6" x14ac:dyDescent="0.25">
      <c r="A2938" t="s">
        <v>2889</v>
      </c>
      <c r="B2938" t="s">
        <v>1531</v>
      </c>
      <c r="C2938" t="s">
        <v>56</v>
      </c>
      <c r="D2938">
        <v>3</v>
      </c>
      <c r="E2938" t="s">
        <v>99</v>
      </c>
      <c r="F2938" t="s">
        <v>2969</v>
      </c>
    </row>
    <row r="2939" spans="1:6" x14ac:dyDescent="0.25">
      <c r="A2939" t="s">
        <v>2889</v>
      </c>
      <c r="B2939" t="s">
        <v>1531</v>
      </c>
      <c r="C2939" t="s">
        <v>56</v>
      </c>
      <c r="D2939">
        <v>4</v>
      </c>
      <c r="E2939" t="s">
        <v>1886</v>
      </c>
      <c r="F2939" t="s">
        <v>2969</v>
      </c>
    </row>
    <row r="2940" spans="1:6" x14ac:dyDescent="0.25">
      <c r="A2940" t="s">
        <v>2890</v>
      </c>
      <c r="B2940" t="s">
        <v>1532</v>
      </c>
      <c r="C2940" t="s">
        <v>132</v>
      </c>
      <c r="D2940">
        <v>1</v>
      </c>
      <c r="E2940" t="s">
        <v>1769</v>
      </c>
      <c r="F2940" t="s">
        <v>2969</v>
      </c>
    </row>
    <row r="2941" spans="1:6" x14ac:dyDescent="0.25">
      <c r="A2941" t="s">
        <v>2890</v>
      </c>
      <c r="B2941" t="s">
        <v>1532</v>
      </c>
      <c r="C2941" t="s">
        <v>132</v>
      </c>
      <c r="D2941">
        <v>2</v>
      </c>
      <c r="E2941" t="s">
        <v>1687</v>
      </c>
      <c r="F2941" t="s">
        <v>2969</v>
      </c>
    </row>
    <row r="2942" spans="1:6" x14ac:dyDescent="0.25">
      <c r="A2942" t="s">
        <v>2890</v>
      </c>
      <c r="B2942" t="s">
        <v>1532</v>
      </c>
      <c r="C2942" t="s">
        <v>132</v>
      </c>
      <c r="D2942">
        <v>3</v>
      </c>
      <c r="E2942" t="s">
        <v>1891</v>
      </c>
      <c r="F2942" t="s">
        <v>2969</v>
      </c>
    </row>
    <row r="2943" spans="1:6" x14ac:dyDescent="0.25">
      <c r="A2943" t="s">
        <v>2890</v>
      </c>
      <c r="B2943" t="s">
        <v>1532</v>
      </c>
      <c r="C2943" t="s">
        <v>132</v>
      </c>
      <c r="D2943">
        <v>4</v>
      </c>
      <c r="E2943" t="s">
        <v>2122</v>
      </c>
      <c r="F2943" t="s">
        <v>2969</v>
      </c>
    </row>
    <row r="2944" spans="1:6" x14ac:dyDescent="0.25">
      <c r="A2944" t="s">
        <v>2890</v>
      </c>
      <c r="B2944" t="s">
        <v>1532</v>
      </c>
      <c r="C2944" t="s">
        <v>132</v>
      </c>
      <c r="D2944">
        <v>5</v>
      </c>
      <c r="E2944" t="s">
        <v>1807</v>
      </c>
      <c r="F2944" t="s">
        <v>2969</v>
      </c>
    </row>
    <row r="2945" spans="1:6" x14ac:dyDescent="0.25">
      <c r="A2945" t="s">
        <v>2891</v>
      </c>
      <c r="B2945" t="s">
        <v>1533</v>
      </c>
      <c r="C2945" t="s">
        <v>8</v>
      </c>
      <c r="D2945">
        <v>1</v>
      </c>
      <c r="E2945" t="s">
        <v>1673</v>
      </c>
      <c r="F2945" t="s">
        <v>2969</v>
      </c>
    </row>
    <row r="2946" spans="1:6" x14ac:dyDescent="0.25">
      <c r="A2946" t="s">
        <v>2891</v>
      </c>
      <c r="B2946" t="s">
        <v>1533</v>
      </c>
      <c r="C2946" t="s">
        <v>8</v>
      </c>
      <c r="D2946">
        <v>2</v>
      </c>
      <c r="E2946" t="s">
        <v>1859</v>
      </c>
      <c r="F2946" t="s">
        <v>2969</v>
      </c>
    </row>
    <row r="2947" spans="1:6" x14ac:dyDescent="0.25">
      <c r="A2947" t="s">
        <v>2891</v>
      </c>
      <c r="B2947" t="s">
        <v>1533</v>
      </c>
      <c r="C2947" t="s">
        <v>8</v>
      </c>
      <c r="D2947">
        <v>3</v>
      </c>
      <c r="E2947" t="s">
        <v>36</v>
      </c>
      <c r="F2947" t="s">
        <v>2969</v>
      </c>
    </row>
    <row r="2948" spans="1:6" x14ac:dyDescent="0.25">
      <c r="A2948" t="s">
        <v>2892</v>
      </c>
      <c r="B2948" t="s">
        <v>1534</v>
      </c>
      <c r="C2948" t="s">
        <v>134</v>
      </c>
      <c r="D2948">
        <v>1</v>
      </c>
      <c r="E2948" t="s">
        <v>1754</v>
      </c>
      <c r="F2948" t="s">
        <v>2969</v>
      </c>
    </row>
    <row r="2949" spans="1:6" x14ac:dyDescent="0.25">
      <c r="A2949" t="s">
        <v>2892</v>
      </c>
      <c r="B2949" t="s">
        <v>1534</v>
      </c>
      <c r="C2949" t="s">
        <v>134</v>
      </c>
      <c r="D2949">
        <v>2</v>
      </c>
      <c r="E2949" t="s">
        <v>1764</v>
      </c>
      <c r="F2949" t="s">
        <v>2969</v>
      </c>
    </row>
    <row r="2950" spans="1:6" x14ac:dyDescent="0.25">
      <c r="A2950" t="s">
        <v>2892</v>
      </c>
      <c r="B2950" t="s">
        <v>1534</v>
      </c>
      <c r="C2950" t="s">
        <v>134</v>
      </c>
      <c r="D2950">
        <v>3</v>
      </c>
      <c r="E2950" t="s">
        <v>1779</v>
      </c>
      <c r="F2950" t="s">
        <v>2969</v>
      </c>
    </row>
    <row r="2951" spans="1:6" x14ac:dyDescent="0.25">
      <c r="A2951" t="s">
        <v>2893</v>
      </c>
      <c r="B2951" t="s">
        <v>1535</v>
      </c>
      <c r="C2951" t="s">
        <v>116</v>
      </c>
      <c r="D2951">
        <v>1</v>
      </c>
      <c r="E2951" t="s">
        <v>129</v>
      </c>
      <c r="F2951" t="s">
        <v>2969</v>
      </c>
    </row>
    <row r="2952" spans="1:6" x14ac:dyDescent="0.25">
      <c r="A2952" t="s">
        <v>2893</v>
      </c>
      <c r="B2952" t="s">
        <v>1535</v>
      </c>
      <c r="C2952" t="s">
        <v>116</v>
      </c>
      <c r="D2952">
        <v>2</v>
      </c>
      <c r="E2952" t="s">
        <v>26</v>
      </c>
      <c r="F2952" t="s">
        <v>2969</v>
      </c>
    </row>
    <row r="2953" spans="1:6" x14ac:dyDescent="0.25">
      <c r="A2953" t="s">
        <v>2894</v>
      </c>
      <c r="B2953" t="s">
        <v>1536</v>
      </c>
      <c r="C2953" t="s">
        <v>132</v>
      </c>
      <c r="D2953">
        <v>1</v>
      </c>
      <c r="E2953" t="s">
        <v>2017</v>
      </c>
      <c r="F2953" t="s">
        <v>2969</v>
      </c>
    </row>
    <row r="2954" spans="1:6" x14ac:dyDescent="0.25">
      <c r="A2954" t="s">
        <v>2895</v>
      </c>
      <c r="B2954" t="s">
        <v>1537</v>
      </c>
      <c r="C2954" t="s">
        <v>98</v>
      </c>
      <c r="D2954">
        <v>1</v>
      </c>
      <c r="E2954" t="s">
        <v>2470</v>
      </c>
      <c r="F2954" t="s">
        <v>2969</v>
      </c>
    </row>
    <row r="2955" spans="1:6" x14ac:dyDescent="0.25">
      <c r="A2955" t="s">
        <v>2895</v>
      </c>
      <c r="B2955" t="s">
        <v>1537</v>
      </c>
      <c r="C2955" t="s">
        <v>98</v>
      </c>
      <c r="D2955">
        <v>2</v>
      </c>
      <c r="E2955" t="s">
        <v>1859</v>
      </c>
      <c r="F2955" t="s">
        <v>2969</v>
      </c>
    </row>
    <row r="2956" spans="1:6" x14ac:dyDescent="0.25">
      <c r="A2956" t="s">
        <v>2895</v>
      </c>
      <c r="B2956" t="s">
        <v>1537</v>
      </c>
      <c r="C2956" t="s">
        <v>98</v>
      </c>
      <c r="D2956">
        <v>3</v>
      </c>
      <c r="E2956" t="s">
        <v>36</v>
      </c>
      <c r="F2956" t="s">
        <v>2969</v>
      </c>
    </row>
    <row r="2957" spans="1:6" x14ac:dyDescent="0.25">
      <c r="A2957" t="s">
        <v>2896</v>
      </c>
      <c r="B2957" t="s">
        <v>1538</v>
      </c>
      <c r="C2957" t="s">
        <v>83</v>
      </c>
      <c r="D2957">
        <v>1</v>
      </c>
      <c r="E2957" t="s">
        <v>1673</v>
      </c>
      <c r="F2957" t="s">
        <v>2969</v>
      </c>
    </row>
    <row r="2958" spans="1:6" x14ac:dyDescent="0.25">
      <c r="A2958" t="s">
        <v>2896</v>
      </c>
      <c r="B2958" t="s">
        <v>1538</v>
      </c>
      <c r="C2958" t="s">
        <v>83</v>
      </c>
      <c r="D2958">
        <v>2</v>
      </c>
      <c r="E2958" t="s">
        <v>2470</v>
      </c>
      <c r="F2958" t="s">
        <v>2969</v>
      </c>
    </row>
    <row r="2959" spans="1:6" x14ac:dyDescent="0.25">
      <c r="A2959" t="s">
        <v>2896</v>
      </c>
      <c r="B2959" t="s">
        <v>1538</v>
      </c>
      <c r="C2959" t="s">
        <v>83</v>
      </c>
      <c r="D2959">
        <v>3</v>
      </c>
      <c r="E2959" t="s">
        <v>1687</v>
      </c>
      <c r="F2959" t="s">
        <v>2969</v>
      </c>
    </row>
    <row r="2960" spans="1:6" x14ac:dyDescent="0.25">
      <c r="A2960" t="s">
        <v>2896</v>
      </c>
      <c r="B2960" t="s">
        <v>1538</v>
      </c>
      <c r="C2960" t="s">
        <v>83</v>
      </c>
      <c r="D2960">
        <v>4</v>
      </c>
      <c r="E2960" t="s">
        <v>1685</v>
      </c>
      <c r="F2960" t="s">
        <v>2969</v>
      </c>
    </row>
    <row r="2961" spans="1:6" x14ac:dyDescent="0.25">
      <c r="A2961" t="s">
        <v>2897</v>
      </c>
      <c r="B2961" t="s">
        <v>1539</v>
      </c>
      <c r="C2961" t="s">
        <v>66</v>
      </c>
      <c r="D2961">
        <v>1</v>
      </c>
      <c r="E2961" t="s">
        <v>1639</v>
      </c>
      <c r="F2961" t="s">
        <v>2969</v>
      </c>
    </row>
    <row r="2962" spans="1:6" x14ac:dyDescent="0.25">
      <c r="A2962" t="s">
        <v>2897</v>
      </c>
      <c r="B2962" t="s">
        <v>1539</v>
      </c>
      <c r="C2962" t="s">
        <v>66</v>
      </c>
      <c r="D2962">
        <v>2</v>
      </c>
      <c r="E2962" t="s">
        <v>1719</v>
      </c>
      <c r="F2962" t="s">
        <v>2969</v>
      </c>
    </row>
    <row r="2963" spans="1:6" x14ac:dyDescent="0.25">
      <c r="A2963" t="s">
        <v>2898</v>
      </c>
      <c r="B2963" t="s">
        <v>1540</v>
      </c>
      <c r="C2963" t="s">
        <v>49</v>
      </c>
      <c r="D2963">
        <v>1</v>
      </c>
      <c r="E2963" t="s">
        <v>1624</v>
      </c>
      <c r="F2963" t="s">
        <v>2969</v>
      </c>
    </row>
    <row r="2964" spans="1:6" x14ac:dyDescent="0.25">
      <c r="A2964" t="s">
        <v>2899</v>
      </c>
      <c r="B2964" t="s">
        <v>1541</v>
      </c>
      <c r="C2964" t="s">
        <v>52</v>
      </c>
      <c r="D2964">
        <v>1</v>
      </c>
      <c r="E2964" t="s">
        <v>72</v>
      </c>
      <c r="F2964" t="s">
        <v>2969</v>
      </c>
    </row>
    <row r="2965" spans="1:6" x14ac:dyDescent="0.25">
      <c r="A2965" t="s">
        <v>2899</v>
      </c>
      <c r="B2965" t="s">
        <v>1541</v>
      </c>
      <c r="C2965" t="s">
        <v>52</v>
      </c>
      <c r="D2965">
        <v>2</v>
      </c>
      <c r="E2965" t="s">
        <v>2336</v>
      </c>
      <c r="F2965" t="s">
        <v>2969</v>
      </c>
    </row>
    <row r="2966" spans="1:6" x14ac:dyDescent="0.25">
      <c r="A2966" t="s">
        <v>2899</v>
      </c>
      <c r="B2966" t="s">
        <v>1541</v>
      </c>
      <c r="C2966" t="s">
        <v>52</v>
      </c>
      <c r="D2966">
        <v>3</v>
      </c>
      <c r="E2966" t="s">
        <v>1627</v>
      </c>
      <c r="F2966" t="s">
        <v>2969</v>
      </c>
    </row>
    <row r="2967" spans="1:6" x14ac:dyDescent="0.25">
      <c r="A2967" t="s">
        <v>2899</v>
      </c>
      <c r="B2967" t="s">
        <v>1541</v>
      </c>
      <c r="C2967" t="s">
        <v>52</v>
      </c>
      <c r="D2967">
        <v>4</v>
      </c>
      <c r="E2967" t="s">
        <v>1951</v>
      </c>
      <c r="F2967" t="s">
        <v>2969</v>
      </c>
    </row>
    <row r="2968" spans="1:6" x14ac:dyDescent="0.25">
      <c r="A2968" t="s">
        <v>2900</v>
      </c>
      <c r="B2968" t="s">
        <v>1542</v>
      </c>
      <c r="C2968" t="s">
        <v>121</v>
      </c>
      <c r="D2968">
        <v>1</v>
      </c>
      <c r="E2968" t="s">
        <v>48</v>
      </c>
      <c r="F2968" t="s">
        <v>2969</v>
      </c>
    </row>
    <row r="2969" spans="1:6" x14ac:dyDescent="0.25">
      <c r="A2969" t="s">
        <v>2900</v>
      </c>
      <c r="B2969" t="s">
        <v>1542</v>
      </c>
      <c r="C2969" t="s">
        <v>121</v>
      </c>
      <c r="D2969">
        <v>2</v>
      </c>
      <c r="E2969" t="s">
        <v>1653</v>
      </c>
      <c r="F2969" t="s">
        <v>2969</v>
      </c>
    </row>
    <row r="2970" spans="1:6" x14ac:dyDescent="0.25">
      <c r="A2970" t="s">
        <v>2900</v>
      </c>
      <c r="B2970" t="s">
        <v>1542</v>
      </c>
      <c r="C2970" t="s">
        <v>121</v>
      </c>
      <c r="D2970">
        <v>3</v>
      </c>
      <c r="E2970" t="s">
        <v>124</v>
      </c>
      <c r="F2970" t="s">
        <v>2969</v>
      </c>
    </row>
    <row r="2971" spans="1:6" x14ac:dyDescent="0.25">
      <c r="A2971" t="s">
        <v>2901</v>
      </c>
      <c r="B2971" t="s">
        <v>1543</v>
      </c>
      <c r="C2971" t="s">
        <v>79</v>
      </c>
      <c r="D2971">
        <v>1</v>
      </c>
      <c r="E2971" t="s">
        <v>78</v>
      </c>
      <c r="F2971" t="s">
        <v>2969</v>
      </c>
    </row>
    <row r="2972" spans="1:6" x14ac:dyDescent="0.25">
      <c r="A2972" t="s">
        <v>2901</v>
      </c>
      <c r="B2972" t="s">
        <v>1543</v>
      </c>
      <c r="C2972" t="s">
        <v>79</v>
      </c>
      <c r="D2972">
        <v>2</v>
      </c>
      <c r="E2972" t="s">
        <v>1657</v>
      </c>
      <c r="F2972" t="s">
        <v>2969</v>
      </c>
    </row>
    <row r="2973" spans="1:6" x14ac:dyDescent="0.25">
      <c r="A2973" t="s">
        <v>2902</v>
      </c>
      <c r="B2973" t="s">
        <v>1544</v>
      </c>
      <c r="C2973" t="s">
        <v>107</v>
      </c>
      <c r="D2973">
        <v>1</v>
      </c>
      <c r="E2973" t="s">
        <v>1779</v>
      </c>
      <c r="F2973" t="s">
        <v>2969</v>
      </c>
    </row>
    <row r="2974" spans="1:6" x14ac:dyDescent="0.25">
      <c r="A2974" t="s">
        <v>2902</v>
      </c>
      <c r="B2974" t="s">
        <v>1544</v>
      </c>
      <c r="C2974" t="s">
        <v>107</v>
      </c>
      <c r="D2974">
        <v>2</v>
      </c>
      <c r="E2974" t="s">
        <v>2230</v>
      </c>
      <c r="F2974" t="s">
        <v>2969</v>
      </c>
    </row>
    <row r="2975" spans="1:6" x14ac:dyDescent="0.25">
      <c r="A2975" t="s">
        <v>2902</v>
      </c>
      <c r="B2975" t="s">
        <v>1544</v>
      </c>
      <c r="C2975" t="s">
        <v>107</v>
      </c>
      <c r="D2975">
        <v>3</v>
      </c>
      <c r="E2975" t="s">
        <v>1822</v>
      </c>
      <c r="F2975" t="s">
        <v>2969</v>
      </c>
    </row>
    <row r="2976" spans="1:6" x14ac:dyDescent="0.25">
      <c r="A2976" t="s">
        <v>2902</v>
      </c>
      <c r="B2976" t="s">
        <v>1544</v>
      </c>
      <c r="C2976" t="s">
        <v>107</v>
      </c>
      <c r="D2976">
        <v>4</v>
      </c>
      <c r="E2976" t="s">
        <v>104</v>
      </c>
      <c r="F2976" t="s">
        <v>2969</v>
      </c>
    </row>
    <row r="2977" spans="1:6" x14ac:dyDescent="0.25">
      <c r="A2977" t="s">
        <v>2903</v>
      </c>
      <c r="B2977" t="s">
        <v>1545</v>
      </c>
      <c r="C2977" t="s">
        <v>100</v>
      </c>
      <c r="D2977">
        <v>1</v>
      </c>
      <c r="E2977" t="s">
        <v>1634</v>
      </c>
      <c r="F2977" t="s">
        <v>2969</v>
      </c>
    </row>
    <row r="2978" spans="1:6" x14ac:dyDescent="0.25">
      <c r="A2978" t="s">
        <v>2904</v>
      </c>
      <c r="B2978" t="s">
        <v>1546</v>
      </c>
      <c r="C2978" t="s">
        <v>94</v>
      </c>
      <c r="D2978">
        <v>1</v>
      </c>
      <c r="E2978" t="s">
        <v>1956</v>
      </c>
      <c r="F2978" t="s">
        <v>2969</v>
      </c>
    </row>
    <row r="2979" spans="1:6" x14ac:dyDescent="0.25">
      <c r="A2979" t="s">
        <v>2905</v>
      </c>
      <c r="B2979" t="s">
        <v>1547</v>
      </c>
      <c r="C2979" t="s">
        <v>110</v>
      </c>
      <c r="D2979">
        <v>1</v>
      </c>
      <c r="E2979" t="s">
        <v>1629</v>
      </c>
      <c r="F2979" t="s">
        <v>2969</v>
      </c>
    </row>
    <row r="2980" spans="1:6" x14ac:dyDescent="0.25">
      <c r="A2980" t="s">
        <v>2906</v>
      </c>
      <c r="B2980" t="s">
        <v>1548</v>
      </c>
      <c r="C2980" t="s">
        <v>92</v>
      </c>
      <c r="D2980">
        <v>1</v>
      </c>
      <c r="E2980" t="s">
        <v>1634</v>
      </c>
      <c r="F2980" t="s">
        <v>2969</v>
      </c>
    </row>
    <row r="2981" spans="1:6" x14ac:dyDescent="0.25">
      <c r="A2981" t="s">
        <v>2906</v>
      </c>
      <c r="B2981" t="s">
        <v>1548</v>
      </c>
      <c r="C2981" t="s">
        <v>92</v>
      </c>
      <c r="D2981">
        <v>2</v>
      </c>
      <c r="E2981" t="s">
        <v>1629</v>
      </c>
      <c r="F2981" t="s">
        <v>2969</v>
      </c>
    </row>
    <row r="2982" spans="1:6" x14ac:dyDescent="0.25">
      <c r="A2982" t="s">
        <v>2906</v>
      </c>
      <c r="B2982" t="s">
        <v>1548</v>
      </c>
      <c r="C2982" t="s">
        <v>92</v>
      </c>
      <c r="D2982">
        <v>3</v>
      </c>
      <c r="E2982" t="s">
        <v>1917</v>
      </c>
      <c r="F2982" t="s">
        <v>2969</v>
      </c>
    </row>
    <row r="2983" spans="1:6" x14ac:dyDescent="0.25">
      <c r="A2983" t="s">
        <v>2906</v>
      </c>
      <c r="B2983" t="s">
        <v>1548</v>
      </c>
      <c r="C2983" t="s">
        <v>92</v>
      </c>
      <c r="D2983">
        <v>4</v>
      </c>
      <c r="E2983" t="s">
        <v>1815</v>
      </c>
      <c r="F2983" t="s">
        <v>2969</v>
      </c>
    </row>
    <row r="2984" spans="1:6" x14ac:dyDescent="0.25">
      <c r="A2984" t="s">
        <v>2907</v>
      </c>
      <c r="B2984" t="s">
        <v>1549</v>
      </c>
      <c r="C2984" t="s">
        <v>134</v>
      </c>
      <c r="D2984">
        <v>1</v>
      </c>
      <c r="E2984" t="s">
        <v>1739</v>
      </c>
      <c r="F2984" t="s">
        <v>2969</v>
      </c>
    </row>
    <row r="2985" spans="1:6" x14ac:dyDescent="0.25">
      <c r="A2985" t="s">
        <v>2907</v>
      </c>
      <c r="B2985" t="s">
        <v>1549</v>
      </c>
      <c r="C2985" t="s">
        <v>134</v>
      </c>
      <c r="D2985">
        <v>2</v>
      </c>
      <c r="E2985" t="s">
        <v>2470</v>
      </c>
      <c r="F2985" t="s">
        <v>2969</v>
      </c>
    </row>
    <row r="2986" spans="1:6" x14ac:dyDescent="0.25">
      <c r="A2986" t="s">
        <v>2907</v>
      </c>
      <c r="B2986" t="s">
        <v>1549</v>
      </c>
      <c r="C2986" t="s">
        <v>134</v>
      </c>
      <c r="D2986">
        <v>3</v>
      </c>
      <c r="E2986" t="s">
        <v>36</v>
      </c>
      <c r="F2986" t="s">
        <v>2969</v>
      </c>
    </row>
    <row r="2987" spans="1:6" x14ac:dyDescent="0.25">
      <c r="A2987" t="s">
        <v>2907</v>
      </c>
      <c r="B2987" t="s">
        <v>1549</v>
      </c>
      <c r="C2987" t="s">
        <v>134</v>
      </c>
      <c r="D2987">
        <v>4</v>
      </c>
      <c r="E2987" t="s">
        <v>2046</v>
      </c>
      <c r="F2987" t="s">
        <v>2969</v>
      </c>
    </row>
    <row r="2988" spans="1:6" x14ac:dyDescent="0.25">
      <c r="A2988" t="s">
        <v>2907</v>
      </c>
      <c r="B2988" t="s">
        <v>1549</v>
      </c>
      <c r="C2988" t="s">
        <v>134</v>
      </c>
      <c r="D2988">
        <v>5</v>
      </c>
      <c r="E2988" t="s">
        <v>1754</v>
      </c>
      <c r="F2988" t="s">
        <v>2969</v>
      </c>
    </row>
    <row r="2989" spans="1:6" x14ac:dyDescent="0.25">
      <c r="A2989" t="s">
        <v>2907</v>
      </c>
      <c r="B2989" t="s">
        <v>1549</v>
      </c>
      <c r="C2989" t="s">
        <v>134</v>
      </c>
      <c r="D2989">
        <v>6</v>
      </c>
      <c r="E2989" t="s">
        <v>1764</v>
      </c>
      <c r="F2989" t="s">
        <v>2969</v>
      </c>
    </row>
    <row r="2990" spans="1:6" x14ac:dyDescent="0.25">
      <c r="A2990" t="s">
        <v>2907</v>
      </c>
      <c r="B2990" t="s">
        <v>1549</v>
      </c>
      <c r="C2990" t="s">
        <v>134</v>
      </c>
      <c r="D2990">
        <v>7</v>
      </c>
      <c r="E2990" t="s">
        <v>1760</v>
      </c>
      <c r="F2990" t="s">
        <v>1692</v>
      </c>
    </row>
    <row r="2991" spans="1:6" x14ac:dyDescent="0.25">
      <c r="A2991" t="s">
        <v>2908</v>
      </c>
      <c r="B2991" t="s">
        <v>1550</v>
      </c>
      <c r="C2991" t="s">
        <v>46</v>
      </c>
      <c r="D2991">
        <v>1</v>
      </c>
      <c r="E2991" t="s">
        <v>1815</v>
      </c>
      <c r="F2991" t="s">
        <v>2969</v>
      </c>
    </row>
    <row r="2992" spans="1:6" x14ac:dyDescent="0.25">
      <c r="A2992" t="s">
        <v>2908</v>
      </c>
      <c r="B2992" t="s">
        <v>1550</v>
      </c>
      <c r="C2992" t="s">
        <v>46</v>
      </c>
      <c r="D2992">
        <v>2</v>
      </c>
      <c r="E2992" t="s">
        <v>2032</v>
      </c>
      <c r="F2992" t="s">
        <v>2969</v>
      </c>
    </row>
    <row r="2993" spans="1:6" x14ac:dyDescent="0.25">
      <c r="A2993" t="s">
        <v>2909</v>
      </c>
      <c r="B2993" t="s">
        <v>1551</v>
      </c>
      <c r="C2993" t="s">
        <v>66</v>
      </c>
      <c r="D2993">
        <v>1</v>
      </c>
      <c r="E2993" t="s">
        <v>1820</v>
      </c>
      <c r="F2993" t="s">
        <v>2969</v>
      </c>
    </row>
    <row r="2994" spans="1:6" x14ac:dyDescent="0.25">
      <c r="A2994" t="s">
        <v>2910</v>
      </c>
      <c r="B2994" t="s">
        <v>1552</v>
      </c>
      <c r="C2994" t="s">
        <v>87</v>
      </c>
      <c r="D2994">
        <v>1</v>
      </c>
      <c r="E2994" t="s">
        <v>2003</v>
      </c>
      <c r="F2994" t="s">
        <v>2969</v>
      </c>
    </row>
    <row r="2995" spans="1:6" x14ac:dyDescent="0.25">
      <c r="A2995" t="s">
        <v>2910</v>
      </c>
      <c r="B2995" t="s">
        <v>1552</v>
      </c>
      <c r="C2995" t="s">
        <v>87</v>
      </c>
      <c r="D2995">
        <v>2</v>
      </c>
      <c r="E2995" t="s">
        <v>1934</v>
      </c>
      <c r="F2995" t="s">
        <v>2969</v>
      </c>
    </row>
    <row r="2996" spans="1:6" x14ac:dyDescent="0.25">
      <c r="A2996" t="s">
        <v>2910</v>
      </c>
      <c r="B2996" t="s">
        <v>1552</v>
      </c>
      <c r="C2996" t="s">
        <v>87</v>
      </c>
      <c r="D2996">
        <v>3</v>
      </c>
      <c r="E2996" t="s">
        <v>1820</v>
      </c>
      <c r="F2996" t="s">
        <v>2969</v>
      </c>
    </row>
    <row r="2997" spans="1:6" x14ac:dyDescent="0.25">
      <c r="A2997" t="s">
        <v>2911</v>
      </c>
      <c r="B2997" t="s">
        <v>1553</v>
      </c>
      <c r="C2997" t="s">
        <v>118</v>
      </c>
      <c r="D2997">
        <v>1</v>
      </c>
      <c r="E2997" t="s">
        <v>1724</v>
      </c>
      <c r="F2997" t="s">
        <v>2969</v>
      </c>
    </row>
    <row r="2998" spans="1:6" x14ac:dyDescent="0.25">
      <c r="A2998" t="s">
        <v>2911</v>
      </c>
      <c r="B2998" t="s">
        <v>1553</v>
      </c>
      <c r="C2998" t="s">
        <v>118</v>
      </c>
      <c r="D2998">
        <v>2</v>
      </c>
      <c r="E2998" t="s">
        <v>1673</v>
      </c>
      <c r="F2998" t="s">
        <v>2969</v>
      </c>
    </row>
    <row r="2999" spans="1:6" x14ac:dyDescent="0.25">
      <c r="A2999" t="s">
        <v>2912</v>
      </c>
      <c r="B2999" t="s">
        <v>1554</v>
      </c>
      <c r="C2999" t="s">
        <v>101</v>
      </c>
      <c r="D2999">
        <v>1</v>
      </c>
      <c r="E2999" t="s">
        <v>1803</v>
      </c>
      <c r="F2999" t="s">
        <v>2969</v>
      </c>
    </row>
    <row r="3000" spans="1:6" x14ac:dyDescent="0.25">
      <c r="A3000" t="s">
        <v>2912</v>
      </c>
      <c r="B3000" t="s">
        <v>1554</v>
      </c>
      <c r="C3000" t="s">
        <v>101</v>
      </c>
      <c r="D3000">
        <v>2</v>
      </c>
      <c r="E3000" t="s">
        <v>2611</v>
      </c>
      <c r="F3000" t="s">
        <v>2969</v>
      </c>
    </row>
    <row r="3001" spans="1:6" x14ac:dyDescent="0.25">
      <c r="A3001" t="s">
        <v>2913</v>
      </c>
      <c r="B3001" t="s">
        <v>1555</v>
      </c>
      <c r="C3001" t="s">
        <v>87</v>
      </c>
      <c r="D3001">
        <v>1</v>
      </c>
      <c r="E3001" t="s">
        <v>1862</v>
      </c>
      <c r="F3001" t="s">
        <v>2969</v>
      </c>
    </row>
    <row r="3002" spans="1:6" x14ac:dyDescent="0.25">
      <c r="A3002" t="s">
        <v>2913</v>
      </c>
      <c r="B3002" t="s">
        <v>1555</v>
      </c>
      <c r="C3002" t="s">
        <v>87</v>
      </c>
      <c r="D3002">
        <v>2</v>
      </c>
      <c r="E3002" t="s">
        <v>68</v>
      </c>
      <c r="F3002" t="s">
        <v>2969</v>
      </c>
    </row>
    <row r="3003" spans="1:6" x14ac:dyDescent="0.25">
      <c r="A3003" t="s">
        <v>2913</v>
      </c>
      <c r="B3003" t="s">
        <v>1555</v>
      </c>
      <c r="C3003" t="s">
        <v>87</v>
      </c>
      <c r="D3003">
        <v>3</v>
      </c>
      <c r="E3003" t="s">
        <v>1719</v>
      </c>
      <c r="F3003" t="s">
        <v>2969</v>
      </c>
    </row>
    <row r="3004" spans="1:6" x14ac:dyDescent="0.25">
      <c r="A3004" t="s">
        <v>2914</v>
      </c>
      <c r="B3004" t="s">
        <v>1556</v>
      </c>
      <c r="C3004" t="s">
        <v>37</v>
      </c>
      <c r="D3004">
        <v>1</v>
      </c>
      <c r="E3004" t="s">
        <v>1809</v>
      </c>
      <c r="F3004" t="s">
        <v>2969</v>
      </c>
    </row>
    <row r="3005" spans="1:6" x14ac:dyDescent="0.25">
      <c r="A3005" t="s">
        <v>2914</v>
      </c>
      <c r="B3005" t="s">
        <v>1556</v>
      </c>
      <c r="C3005" t="s">
        <v>37</v>
      </c>
      <c r="D3005">
        <v>2</v>
      </c>
      <c r="E3005" t="s">
        <v>1785</v>
      </c>
      <c r="F3005" t="s">
        <v>2969</v>
      </c>
    </row>
    <row r="3006" spans="1:6" x14ac:dyDescent="0.25">
      <c r="A3006" t="s">
        <v>2914</v>
      </c>
      <c r="B3006" t="s">
        <v>1556</v>
      </c>
      <c r="C3006" t="s">
        <v>37</v>
      </c>
      <c r="D3006">
        <v>3</v>
      </c>
      <c r="E3006" t="s">
        <v>1673</v>
      </c>
      <c r="F3006" t="s">
        <v>2969</v>
      </c>
    </row>
    <row r="3007" spans="1:6" x14ac:dyDescent="0.25">
      <c r="A3007" t="s">
        <v>2915</v>
      </c>
      <c r="B3007" t="s">
        <v>1557</v>
      </c>
      <c r="C3007" t="s">
        <v>76</v>
      </c>
      <c r="D3007">
        <v>1</v>
      </c>
      <c r="E3007" t="s">
        <v>1639</v>
      </c>
      <c r="F3007" t="s">
        <v>2969</v>
      </c>
    </row>
    <row r="3008" spans="1:6" x14ac:dyDescent="0.25">
      <c r="A3008" t="s">
        <v>2915</v>
      </c>
      <c r="B3008" t="s">
        <v>1557</v>
      </c>
      <c r="C3008" t="s">
        <v>76</v>
      </c>
      <c r="D3008">
        <v>2</v>
      </c>
      <c r="E3008" t="s">
        <v>1719</v>
      </c>
      <c r="F3008" t="s">
        <v>2969</v>
      </c>
    </row>
    <row r="3009" spans="1:6" x14ac:dyDescent="0.25">
      <c r="A3009" t="s">
        <v>2916</v>
      </c>
      <c r="B3009" t="s">
        <v>1558</v>
      </c>
      <c r="C3009" t="s">
        <v>101</v>
      </c>
      <c r="D3009">
        <v>1</v>
      </c>
      <c r="E3009" t="s">
        <v>72</v>
      </c>
      <c r="F3009" t="s">
        <v>2969</v>
      </c>
    </row>
    <row r="3010" spans="1:6" x14ac:dyDescent="0.25">
      <c r="A3010" t="s">
        <v>2917</v>
      </c>
      <c r="B3010" t="s">
        <v>1559</v>
      </c>
      <c r="C3010" t="s">
        <v>127</v>
      </c>
      <c r="D3010">
        <v>1</v>
      </c>
      <c r="E3010" t="s">
        <v>1820</v>
      </c>
      <c r="F3010" t="s">
        <v>2969</v>
      </c>
    </row>
    <row r="3011" spans="1:6" x14ac:dyDescent="0.25">
      <c r="A3011" t="s">
        <v>2917</v>
      </c>
      <c r="B3011" t="s">
        <v>1559</v>
      </c>
      <c r="C3011" t="s">
        <v>127</v>
      </c>
      <c r="D3011">
        <v>2</v>
      </c>
      <c r="E3011" t="s">
        <v>2456</v>
      </c>
      <c r="F3011" t="s">
        <v>2969</v>
      </c>
    </row>
    <row r="3012" spans="1:6" x14ac:dyDescent="0.25">
      <c r="A3012" t="s">
        <v>2917</v>
      </c>
      <c r="B3012" t="s">
        <v>1559</v>
      </c>
      <c r="C3012" t="s">
        <v>127</v>
      </c>
      <c r="D3012">
        <v>3</v>
      </c>
      <c r="E3012" t="s">
        <v>2128</v>
      </c>
      <c r="F3012" t="s">
        <v>2969</v>
      </c>
    </row>
    <row r="3013" spans="1:6" x14ac:dyDescent="0.25">
      <c r="A3013" t="s">
        <v>2918</v>
      </c>
      <c r="B3013" t="s">
        <v>1560</v>
      </c>
      <c r="C3013" t="s">
        <v>130</v>
      </c>
      <c r="D3013">
        <v>1</v>
      </c>
      <c r="E3013" t="s">
        <v>36</v>
      </c>
      <c r="F3013" t="s">
        <v>2969</v>
      </c>
    </row>
    <row r="3014" spans="1:6" x14ac:dyDescent="0.25">
      <c r="A3014" t="s">
        <v>2918</v>
      </c>
      <c r="B3014" t="s">
        <v>1560</v>
      </c>
      <c r="C3014" t="s">
        <v>130</v>
      </c>
      <c r="D3014">
        <v>2</v>
      </c>
      <c r="E3014" t="s">
        <v>70</v>
      </c>
      <c r="F3014" t="s">
        <v>2969</v>
      </c>
    </row>
    <row r="3015" spans="1:6" x14ac:dyDescent="0.25">
      <c r="A3015" t="s">
        <v>2918</v>
      </c>
      <c r="B3015" t="s">
        <v>1560</v>
      </c>
      <c r="C3015" t="s">
        <v>130</v>
      </c>
      <c r="D3015">
        <v>3</v>
      </c>
      <c r="E3015" t="s">
        <v>2046</v>
      </c>
      <c r="F3015" t="s">
        <v>2969</v>
      </c>
    </row>
    <row r="3016" spans="1:6" x14ac:dyDescent="0.25">
      <c r="A3016" t="s">
        <v>2919</v>
      </c>
      <c r="B3016" t="s">
        <v>1561</v>
      </c>
      <c r="C3016" t="s">
        <v>20</v>
      </c>
      <c r="D3016">
        <v>1</v>
      </c>
      <c r="E3016" t="s">
        <v>84</v>
      </c>
      <c r="F3016" t="s">
        <v>2969</v>
      </c>
    </row>
    <row r="3017" spans="1:6" x14ac:dyDescent="0.25">
      <c r="A3017" t="s">
        <v>2919</v>
      </c>
      <c r="B3017" t="s">
        <v>1561</v>
      </c>
      <c r="C3017" t="s">
        <v>20</v>
      </c>
      <c r="D3017">
        <v>2</v>
      </c>
      <c r="E3017" t="s">
        <v>99</v>
      </c>
      <c r="F3017" t="s">
        <v>2969</v>
      </c>
    </row>
    <row r="3018" spans="1:6" x14ac:dyDescent="0.25">
      <c r="A3018" t="s">
        <v>2919</v>
      </c>
      <c r="B3018" t="s">
        <v>1561</v>
      </c>
      <c r="C3018" t="s">
        <v>20</v>
      </c>
      <c r="D3018">
        <v>3</v>
      </c>
      <c r="E3018" t="s">
        <v>120</v>
      </c>
      <c r="F3018" t="s">
        <v>2969</v>
      </c>
    </row>
    <row r="3019" spans="1:6" x14ac:dyDescent="0.25">
      <c r="A3019" t="s">
        <v>2920</v>
      </c>
      <c r="B3019" t="s">
        <v>1562</v>
      </c>
      <c r="C3019" t="s">
        <v>60</v>
      </c>
      <c r="D3019">
        <v>1</v>
      </c>
      <c r="E3019" t="s">
        <v>111</v>
      </c>
      <c r="F3019" t="s">
        <v>2969</v>
      </c>
    </row>
    <row r="3020" spans="1:6" x14ac:dyDescent="0.25">
      <c r="A3020" t="s">
        <v>2920</v>
      </c>
      <c r="B3020" t="s">
        <v>1562</v>
      </c>
      <c r="C3020" t="s">
        <v>60</v>
      </c>
      <c r="D3020">
        <v>2</v>
      </c>
      <c r="E3020" t="s">
        <v>1639</v>
      </c>
      <c r="F3020" t="s">
        <v>2969</v>
      </c>
    </row>
    <row r="3021" spans="1:6" x14ac:dyDescent="0.25">
      <c r="A3021" t="s">
        <v>2920</v>
      </c>
      <c r="B3021" t="s">
        <v>1562</v>
      </c>
      <c r="C3021" t="s">
        <v>60</v>
      </c>
      <c r="D3021">
        <v>3</v>
      </c>
      <c r="E3021" t="s">
        <v>1917</v>
      </c>
      <c r="F3021" t="s">
        <v>2969</v>
      </c>
    </row>
    <row r="3022" spans="1:6" x14ac:dyDescent="0.25">
      <c r="A3022" t="s">
        <v>2920</v>
      </c>
      <c r="B3022" t="s">
        <v>1562</v>
      </c>
      <c r="C3022" t="s">
        <v>60</v>
      </c>
      <c r="D3022">
        <v>4</v>
      </c>
      <c r="E3022" t="s">
        <v>1815</v>
      </c>
      <c r="F3022" t="s">
        <v>2969</v>
      </c>
    </row>
    <row r="3023" spans="1:6" x14ac:dyDescent="0.25">
      <c r="A3023" t="s">
        <v>2921</v>
      </c>
      <c r="B3023" t="s">
        <v>1563</v>
      </c>
      <c r="C3023" t="s">
        <v>127</v>
      </c>
      <c r="D3023">
        <v>1</v>
      </c>
      <c r="E3023" t="s">
        <v>1678</v>
      </c>
      <c r="F3023" t="s">
        <v>2969</v>
      </c>
    </row>
    <row r="3024" spans="1:6" x14ac:dyDescent="0.25">
      <c r="A3024" t="s">
        <v>2921</v>
      </c>
      <c r="B3024" t="s">
        <v>1563</v>
      </c>
      <c r="C3024" t="s">
        <v>127</v>
      </c>
      <c r="D3024">
        <v>2</v>
      </c>
      <c r="E3024" t="s">
        <v>2088</v>
      </c>
      <c r="F3024" t="s">
        <v>2969</v>
      </c>
    </row>
    <row r="3025" spans="1:6" x14ac:dyDescent="0.25">
      <c r="A3025" t="s">
        <v>2921</v>
      </c>
      <c r="B3025" t="s">
        <v>1563</v>
      </c>
      <c r="C3025" t="s">
        <v>127</v>
      </c>
      <c r="D3025">
        <v>3</v>
      </c>
      <c r="E3025" t="s">
        <v>2456</v>
      </c>
      <c r="F3025" t="s">
        <v>2969</v>
      </c>
    </row>
    <row r="3026" spans="1:6" x14ac:dyDescent="0.25">
      <c r="A3026" t="s">
        <v>2922</v>
      </c>
      <c r="B3026" t="s">
        <v>1564</v>
      </c>
      <c r="C3026" t="s">
        <v>85</v>
      </c>
      <c r="D3026">
        <v>1</v>
      </c>
      <c r="E3026" t="s">
        <v>82</v>
      </c>
      <c r="F3026" t="s">
        <v>2969</v>
      </c>
    </row>
    <row r="3027" spans="1:6" x14ac:dyDescent="0.25">
      <c r="A3027" t="s">
        <v>2922</v>
      </c>
      <c r="B3027" t="s">
        <v>1564</v>
      </c>
      <c r="C3027" t="s">
        <v>85</v>
      </c>
      <c r="D3027">
        <v>2</v>
      </c>
      <c r="E3027" t="s">
        <v>1709</v>
      </c>
      <c r="F3027" t="s">
        <v>2969</v>
      </c>
    </row>
    <row r="3028" spans="1:6" x14ac:dyDescent="0.25">
      <c r="A3028" t="s">
        <v>2922</v>
      </c>
      <c r="B3028" t="s">
        <v>1564</v>
      </c>
      <c r="C3028" t="s">
        <v>85</v>
      </c>
      <c r="D3028">
        <v>3</v>
      </c>
      <c r="E3028" t="s">
        <v>1741</v>
      </c>
      <c r="F3028" t="s">
        <v>2969</v>
      </c>
    </row>
    <row r="3029" spans="1:6" x14ac:dyDescent="0.25">
      <c r="A3029" t="s">
        <v>2923</v>
      </c>
      <c r="B3029" t="s">
        <v>1565</v>
      </c>
      <c r="C3029" t="s">
        <v>127</v>
      </c>
      <c r="D3029">
        <v>1</v>
      </c>
      <c r="E3029" t="s">
        <v>1639</v>
      </c>
      <c r="F3029" t="s">
        <v>2969</v>
      </c>
    </row>
    <row r="3030" spans="1:6" x14ac:dyDescent="0.25">
      <c r="A3030" t="s">
        <v>2923</v>
      </c>
      <c r="B3030" t="s">
        <v>1565</v>
      </c>
      <c r="C3030" t="s">
        <v>127</v>
      </c>
      <c r="D3030">
        <v>2</v>
      </c>
      <c r="E3030" t="s">
        <v>1953</v>
      </c>
      <c r="F3030" t="s">
        <v>2969</v>
      </c>
    </row>
    <row r="3031" spans="1:6" x14ac:dyDescent="0.25">
      <c r="A3031" t="s">
        <v>2924</v>
      </c>
      <c r="B3031" t="s">
        <v>1566</v>
      </c>
      <c r="C3031" t="s">
        <v>73</v>
      </c>
      <c r="D3031">
        <v>1</v>
      </c>
      <c r="E3031" t="s">
        <v>1923</v>
      </c>
      <c r="F3031" t="s">
        <v>2969</v>
      </c>
    </row>
    <row r="3032" spans="1:6" x14ac:dyDescent="0.25">
      <c r="A3032" t="s">
        <v>2924</v>
      </c>
      <c r="B3032" t="s">
        <v>1566</v>
      </c>
      <c r="C3032" t="s">
        <v>73</v>
      </c>
      <c r="D3032">
        <v>2</v>
      </c>
      <c r="E3032" t="s">
        <v>1828</v>
      </c>
      <c r="F3032" t="s">
        <v>2969</v>
      </c>
    </row>
    <row r="3033" spans="1:6" x14ac:dyDescent="0.25">
      <c r="A3033" t="s">
        <v>2924</v>
      </c>
      <c r="B3033" t="s">
        <v>1566</v>
      </c>
      <c r="C3033" t="s">
        <v>73</v>
      </c>
      <c r="D3033">
        <v>3</v>
      </c>
      <c r="E3033" t="s">
        <v>2516</v>
      </c>
      <c r="F3033" t="s">
        <v>2969</v>
      </c>
    </row>
    <row r="3034" spans="1:6" x14ac:dyDescent="0.25">
      <c r="A3034" t="s">
        <v>2925</v>
      </c>
      <c r="B3034" t="s">
        <v>1567</v>
      </c>
      <c r="C3034" t="s">
        <v>59</v>
      </c>
      <c r="D3034">
        <v>1</v>
      </c>
      <c r="E3034" t="s">
        <v>1741</v>
      </c>
      <c r="F3034" t="s">
        <v>2969</v>
      </c>
    </row>
    <row r="3035" spans="1:6" x14ac:dyDescent="0.25">
      <c r="A3035" t="s">
        <v>2926</v>
      </c>
      <c r="B3035" t="s">
        <v>1568</v>
      </c>
      <c r="C3035" t="s">
        <v>118</v>
      </c>
      <c r="D3035">
        <v>1</v>
      </c>
      <c r="E3035" t="s">
        <v>1627</v>
      </c>
      <c r="F3035" t="s">
        <v>2969</v>
      </c>
    </row>
    <row r="3036" spans="1:6" x14ac:dyDescent="0.25">
      <c r="A3036" t="s">
        <v>2926</v>
      </c>
      <c r="B3036" t="s">
        <v>1568</v>
      </c>
      <c r="C3036" t="s">
        <v>118</v>
      </c>
      <c r="D3036">
        <v>2</v>
      </c>
      <c r="E3036" t="s">
        <v>1649</v>
      </c>
      <c r="F3036" t="s">
        <v>2969</v>
      </c>
    </row>
    <row r="3037" spans="1:6" x14ac:dyDescent="0.25">
      <c r="A3037" t="s">
        <v>2926</v>
      </c>
      <c r="B3037" t="s">
        <v>1568</v>
      </c>
      <c r="C3037" t="s">
        <v>118</v>
      </c>
      <c r="D3037">
        <v>3</v>
      </c>
      <c r="E3037" t="s">
        <v>1701</v>
      </c>
      <c r="F3037" t="s">
        <v>2969</v>
      </c>
    </row>
    <row r="3038" spans="1:6" x14ac:dyDescent="0.25">
      <c r="A3038" t="s">
        <v>2927</v>
      </c>
      <c r="B3038" t="s">
        <v>1569</v>
      </c>
      <c r="C3038" t="s">
        <v>100</v>
      </c>
      <c r="D3038">
        <v>1</v>
      </c>
      <c r="E3038" t="s">
        <v>89</v>
      </c>
      <c r="F3038" t="s">
        <v>2969</v>
      </c>
    </row>
    <row r="3039" spans="1:6" x14ac:dyDescent="0.25">
      <c r="A3039" t="s">
        <v>2927</v>
      </c>
      <c r="B3039" t="s">
        <v>1569</v>
      </c>
      <c r="C3039" t="s">
        <v>100</v>
      </c>
      <c r="D3039">
        <v>2</v>
      </c>
      <c r="E3039" t="s">
        <v>1772</v>
      </c>
      <c r="F3039" t="s">
        <v>2969</v>
      </c>
    </row>
    <row r="3040" spans="1:6" x14ac:dyDescent="0.25">
      <c r="A3040" t="s">
        <v>2927</v>
      </c>
      <c r="B3040" t="s">
        <v>1569</v>
      </c>
      <c r="C3040" t="s">
        <v>100</v>
      </c>
      <c r="D3040">
        <v>3</v>
      </c>
      <c r="E3040" t="s">
        <v>1862</v>
      </c>
      <c r="F3040" t="s">
        <v>2969</v>
      </c>
    </row>
    <row r="3041" spans="1:6" x14ac:dyDescent="0.25">
      <c r="A3041" t="s">
        <v>2927</v>
      </c>
      <c r="B3041" t="s">
        <v>1569</v>
      </c>
      <c r="C3041" t="s">
        <v>100</v>
      </c>
      <c r="D3041">
        <v>4</v>
      </c>
      <c r="E3041" t="s">
        <v>1953</v>
      </c>
      <c r="F3041" t="s">
        <v>2969</v>
      </c>
    </row>
    <row r="3042" spans="1:6" x14ac:dyDescent="0.25">
      <c r="A3042" t="s">
        <v>2927</v>
      </c>
      <c r="B3042" t="s">
        <v>1569</v>
      </c>
      <c r="C3042" t="s">
        <v>100</v>
      </c>
      <c r="D3042">
        <v>5</v>
      </c>
      <c r="E3042" t="s">
        <v>1960</v>
      </c>
      <c r="F3042" t="s">
        <v>2969</v>
      </c>
    </row>
    <row r="3043" spans="1:6" x14ac:dyDescent="0.25">
      <c r="A3043" t="s">
        <v>2928</v>
      </c>
      <c r="B3043" t="s">
        <v>1570</v>
      </c>
      <c r="C3043" t="s">
        <v>94</v>
      </c>
      <c r="D3043">
        <v>1</v>
      </c>
      <c r="E3043" t="s">
        <v>1634</v>
      </c>
      <c r="F3043" t="s">
        <v>2969</v>
      </c>
    </row>
    <row r="3044" spans="1:6" x14ac:dyDescent="0.25">
      <c r="A3044" t="s">
        <v>2928</v>
      </c>
      <c r="B3044" t="s">
        <v>1570</v>
      </c>
      <c r="C3044" t="s">
        <v>94</v>
      </c>
      <c r="D3044">
        <v>2</v>
      </c>
      <c r="E3044" t="s">
        <v>1719</v>
      </c>
      <c r="F3044" t="s">
        <v>2969</v>
      </c>
    </row>
    <row r="3045" spans="1:6" x14ac:dyDescent="0.25">
      <c r="A3045" t="s">
        <v>2928</v>
      </c>
      <c r="B3045" t="s">
        <v>1570</v>
      </c>
      <c r="C3045" t="s">
        <v>94</v>
      </c>
      <c r="D3045">
        <v>3</v>
      </c>
      <c r="E3045" t="s">
        <v>1624</v>
      </c>
      <c r="F3045" t="s">
        <v>2969</v>
      </c>
    </row>
    <row r="3046" spans="1:6" x14ac:dyDescent="0.25">
      <c r="A3046" t="s">
        <v>2928</v>
      </c>
      <c r="B3046" t="s">
        <v>1570</v>
      </c>
      <c r="C3046" t="s">
        <v>94</v>
      </c>
      <c r="D3046">
        <v>4</v>
      </c>
      <c r="E3046" t="s">
        <v>1751</v>
      </c>
      <c r="F3046" t="s">
        <v>2969</v>
      </c>
    </row>
    <row r="3047" spans="1:6" x14ac:dyDescent="0.25">
      <c r="A3047" t="s">
        <v>2929</v>
      </c>
      <c r="B3047" t="s">
        <v>1571</v>
      </c>
      <c r="C3047" t="s">
        <v>127</v>
      </c>
      <c r="D3047">
        <v>1</v>
      </c>
      <c r="E3047" t="s">
        <v>1657</v>
      </c>
      <c r="F3047" t="s">
        <v>2969</v>
      </c>
    </row>
    <row r="3048" spans="1:6" x14ac:dyDescent="0.25">
      <c r="A3048" t="s">
        <v>2929</v>
      </c>
      <c r="B3048" t="s">
        <v>1571</v>
      </c>
      <c r="C3048" t="s">
        <v>127</v>
      </c>
      <c r="D3048">
        <v>2</v>
      </c>
      <c r="E3048" t="s">
        <v>68</v>
      </c>
      <c r="F3048" t="s">
        <v>2969</v>
      </c>
    </row>
    <row r="3049" spans="1:6" x14ac:dyDescent="0.25">
      <c r="A3049" t="s">
        <v>2930</v>
      </c>
      <c r="B3049" t="s">
        <v>1572</v>
      </c>
      <c r="C3049" t="s">
        <v>34</v>
      </c>
      <c r="D3049">
        <v>1</v>
      </c>
      <c r="E3049" t="s">
        <v>1676</v>
      </c>
      <c r="F3049" t="s">
        <v>2969</v>
      </c>
    </row>
    <row r="3050" spans="1:6" x14ac:dyDescent="0.25">
      <c r="A3050" t="s">
        <v>2930</v>
      </c>
      <c r="B3050" t="s">
        <v>1572</v>
      </c>
      <c r="C3050" t="s">
        <v>34</v>
      </c>
      <c r="D3050">
        <v>2</v>
      </c>
      <c r="E3050" t="s">
        <v>48</v>
      </c>
      <c r="F3050" t="s">
        <v>2969</v>
      </c>
    </row>
    <row r="3051" spans="1:6" x14ac:dyDescent="0.25">
      <c r="A3051" t="s">
        <v>2930</v>
      </c>
      <c r="B3051" t="s">
        <v>1572</v>
      </c>
      <c r="C3051" t="s">
        <v>34</v>
      </c>
      <c r="D3051">
        <v>3</v>
      </c>
      <c r="E3051" t="s">
        <v>124</v>
      </c>
      <c r="F3051" t="s">
        <v>2969</v>
      </c>
    </row>
    <row r="3052" spans="1:6" x14ac:dyDescent="0.25">
      <c r="A3052" t="s">
        <v>2930</v>
      </c>
      <c r="B3052" t="s">
        <v>1572</v>
      </c>
      <c r="C3052" t="s">
        <v>34</v>
      </c>
      <c r="D3052">
        <v>4</v>
      </c>
      <c r="E3052" t="s">
        <v>1726</v>
      </c>
      <c r="F3052" t="s">
        <v>2969</v>
      </c>
    </row>
    <row r="3053" spans="1:6" x14ac:dyDescent="0.25">
      <c r="A3053" t="s">
        <v>2931</v>
      </c>
      <c r="B3053" t="s">
        <v>1573</v>
      </c>
      <c r="C3053" t="s">
        <v>60</v>
      </c>
      <c r="D3053">
        <v>1</v>
      </c>
      <c r="E3053" t="s">
        <v>1643</v>
      </c>
      <c r="F3053" t="s">
        <v>2969</v>
      </c>
    </row>
    <row r="3054" spans="1:6" x14ac:dyDescent="0.25">
      <c r="A3054" t="s">
        <v>2931</v>
      </c>
      <c r="B3054" t="s">
        <v>1573</v>
      </c>
      <c r="C3054" t="s">
        <v>60</v>
      </c>
      <c r="D3054">
        <v>2</v>
      </c>
      <c r="E3054" t="s">
        <v>1621</v>
      </c>
      <c r="F3054" t="s">
        <v>2969</v>
      </c>
    </row>
    <row r="3055" spans="1:6" x14ac:dyDescent="0.25">
      <c r="A3055" t="s">
        <v>2932</v>
      </c>
      <c r="B3055" t="s">
        <v>1574</v>
      </c>
      <c r="C3055" t="s">
        <v>71</v>
      </c>
      <c r="D3055">
        <v>1</v>
      </c>
      <c r="E3055" t="s">
        <v>1951</v>
      </c>
      <c r="F3055" t="s">
        <v>2969</v>
      </c>
    </row>
    <row r="3056" spans="1:6" x14ac:dyDescent="0.25">
      <c r="A3056" t="s">
        <v>2932</v>
      </c>
      <c r="B3056" t="s">
        <v>1574</v>
      </c>
      <c r="C3056" t="s">
        <v>71</v>
      </c>
      <c r="D3056">
        <v>2</v>
      </c>
      <c r="E3056" t="s">
        <v>1697</v>
      </c>
      <c r="F3056" t="s">
        <v>2969</v>
      </c>
    </row>
    <row r="3057" spans="1:6" x14ac:dyDescent="0.25">
      <c r="A3057" t="s">
        <v>2933</v>
      </c>
      <c r="B3057" t="s">
        <v>1575</v>
      </c>
      <c r="C3057" t="s">
        <v>94</v>
      </c>
      <c r="D3057">
        <v>1</v>
      </c>
      <c r="E3057" t="s">
        <v>1781</v>
      </c>
      <c r="F3057" t="s">
        <v>2969</v>
      </c>
    </row>
    <row r="3058" spans="1:6" x14ac:dyDescent="0.25">
      <c r="A3058" t="s">
        <v>2933</v>
      </c>
      <c r="B3058" t="s">
        <v>1575</v>
      </c>
      <c r="C3058" t="s">
        <v>94</v>
      </c>
      <c r="D3058">
        <v>2</v>
      </c>
      <c r="E3058" t="s">
        <v>1815</v>
      </c>
      <c r="F3058" t="s">
        <v>2969</v>
      </c>
    </row>
    <row r="3059" spans="1:6" x14ac:dyDescent="0.25">
      <c r="A3059" t="s">
        <v>2934</v>
      </c>
      <c r="B3059" t="s">
        <v>1576</v>
      </c>
      <c r="C3059" t="s">
        <v>92</v>
      </c>
      <c r="D3059">
        <v>1</v>
      </c>
      <c r="E3059" t="s">
        <v>1953</v>
      </c>
      <c r="F3059" t="s">
        <v>2969</v>
      </c>
    </row>
    <row r="3060" spans="1:6" x14ac:dyDescent="0.25">
      <c r="A3060" t="s">
        <v>2934</v>
      </c>
      <c r="B3060" t="s">
        <v>1576</v>
      </c>
      <c r="C3060" t="s">
        <v>92</v>
      </c>
      <c r="D3060">
        <v>2</v>
      </c>
      <c r="E3060" t="s">
        <v>1629</v>
      </c>
      <c r="F3060" t="s">
        <v>2969</v>
      </c>
    </row>
    <row r="3061" spans="1:6" x14ac:dyDescent="0.25">
      <c r="A3061" t="s">
        <v>2934</v>
      </c>
      <c r="B3061" t="s">
        <v>1576</v>
      </c>
      <c r="C3061" t="s">
        <v>92</v>
      </c>
      <c r="D3061">
        <v>3</v>
      </c>
      <c r="E3061" t="s">
        <v>1917</v>
      </c>
      <c r="F3061" t="s">
        <v>2969</v>
      </c>
    </row>
    <row r="3062" spans="1:6" x14ac:dyDescent="0.25">
      <c r="A3062" t="s">
        <v>2934</v>
      </c>
      <c r="B3062" t="s">
        <v>1576</v>
      </c>
      <c r="C3062" t="s">
        <v>92</v>
      </c>
      <c r="D3062">
        <v>4</v>
      </c>
      <c r="E3062" t="s">
        <v>1815</v>
      </c>
      <c r="F3062" t="s">
        <v>2969</v>
      </c>
    </row>
    <row r="3063" spans="1:6" x14ac:dyDescent="0.25">
      <c r="A3063" t="s">
        <v>2935</v>
      </c>
      <c r="B3063" t="s">
        <v>1577</v>
      </c>
      <c r="C3063" t="s">
        <v>56</v>
      </c>
      <c r="D3063">
        <v>1</v>
      </c>
      <c r="E3063" t="s">
        <v>1787</v>
      </c>
      <c r="F3063" t="s">
        <v>2969</v>
      </c>
    </row>
    <row r="3064" spans="1:6" x14ac:dyDescent="0.25">
      <c r="A3064" t="s">
        <v>2935</v>
      </c>
      <c r="B3064" t="s">
        <v>1577</v>
      </c>
      <c r="C3064" t="s">
        <v>56</v>
      </c>
      <c r="D3064">
        <v>2</v>
      </c>
      <c r="E3064" t="s">
        <v>33</v>
      </c>
      <c r="F3064" t="s">
        <v>2969</v>
      </c>
    </row>
    <row r="3065" spans="1:6" x14ac:dyDescent="0.25">
      <c r="A3065" t="s">
        <v>2935</v>
      </c>
      <c r="B3065" t="s">
        <v>1577</v>
      </c>
      <c r="C3065" t="s">
        <v>56</v>
      </c>
      <c r="D3065">
        <v>3</v>
      </c>
      <c r="E3065" t="s">
        <v>1680</v>
      </c>
      <c r="F3065" t="s">
        <v>2969</v>
      </c>
    </row>
    <row r="3066" spans="1:6" x14ac:dyDescent="0.25">
      <c r="A3066" t="s">
        <v>2935</v>
      </c>
      <c r="B3066" t="s">
        <v>1577</v>
      </c>
      <c r="C3066" t="s">
        <v>56</v>
      </c>
      <c r="D3066">
        <v>4</v>
      </c>
      <c r="E3066" t="s">
        <v>1651</v>
      </c>
      <c r="F3066" t="s">
        <v>2969</v>
      </c>
    </row>
    <row r="3067" spans="1:6" x14ac:dyDescent="0.25">
      <c r="A3067" t="s">
        <v>2935</v>
      </c>
      <c r="B3067" t="s">
        <v>1577</v>
      </c>
      <c r="C3067" t="s">
        <v>56</v>
      </c>
      <c r="D3067">
        <v>5</v>
      </c>
      <c r="E3067" t="s">
        <v>1673</v>
      </c>
      <c r="F3067" t="s">
        <v>2969</v>
      </c>
    </row>
    <row r="3068" spans="1:6" x14ac:dyDescent="0.25">
      <c r="A3068" t="s">
        <v>2935</v>
      </c>
      <c r="B3068" t="s">
        <v>1577</v>
      </c>
      <c r="C3068" t="s">
        <v>56</v>
      </c>
      <c r="D3068">
        <v>6</v>
      </c>
      <c r="E3068" t="s">
        <v>2470</v>
      </c>
      <c r="F3068" t="s">
        <v>2969</v>
      </c>
    </row>
    <row r="3069" spans="1:6" x14ac:dyDescent="0.25">
      <c r="A3069" t="s">
        <v>2936</v>
      </c>
      <c r="B3069" t="s">
        <v>1578</v>
      </c>
      <c r="C3069" t="s">
        <v>130</v>
      </c>
      <c r="D3069">
        <v>1</v>
      </c>
      <c r="E3069" t="s">
        <v>1809</v>
      </c>
      <c r="F3069" t="s">
        <v>2969</v>
      </c>
    </row>
    <row r="3070" spans="1:6" x14ac:dyDescent="0.25">
      <c r="A3070" t="s">
        <v>2936</v>
      </c>
      <c r="B3070" t="s">
        <v>1578</v>
      </c>
      <c r="C3070" t="s">
        <v>130</v>
      </c>
      <c r="D3070">
        <v>2</v>
      </c>
      <c r="E3070" t="s">
        <v>2081</v>
      </c>
      <c r="F3070" t="s">
        <v>2969</v>
      </c>
    </row>
    <row r="3071" spans="1:6" x14ac:dyDescent="0.25">
      <c r="A3071" t="s">
        <v>2937</v>
      </c>
      <c r="B3071" t="s">
        <v>1579</v>
      </c>
      <c r="C3071" t="s">
        <v>121</v>
      </c>
      <c r="D3071">
        <v>1</v>
      </c>
      <c r="E3071" t="s">
        <v>1645</v>
      </c>
      <c r="F3071" t="s">
        <v>2969</v>
      </c>
    </row>
    <row r="3072" spans="1:6" x14ac:dyDescent="0.25">
      <c r="A3072" t="s">
        <v>2938</v>
      </c>
      <c r="B3072" t="s">
        <v>1580</v>
      </c>
      <c r="C3072" t="s">
        <v>39</v>
      </c>
      <c r="D3072">
        <v>1</v>
      </c>
      <c r="E3072" t="s">
        <v>126</v>
      </c>
      <c r="F3072" t="s">
        <v>2969</v>
      </c>
    </row>
    <row r="3073" spans="1:6" x14ac:dyDescent="0.25">
      <c r="A3073" t="s">
        <v>2938</v>
      </c>
      <c r="B3073" t="s">
        <v>1580</v>
      </c>
      <c r="C3073" t="s">
        <v>39</v>
      </c>
      <c r="D3073">
        <v>2</v>
      </c>
      <c r="E3073" t="s">
        <v>1995</v>
      </c>
      <c r="F3073" t="s">
        <v>2969</v>
      </c>
    </row>
    <row r="3074" spans="1:6" x14ac:dyDescent="0.25">
      <c r="A3074" t="s">
        <v>2938</v>
      </c>
      <c r="B3074" t="s">
        <v>1580</v>
      </c>
      <c r="C3074" t="s">
        <v>39</v>
      </c>
      <c r="D3074">
        <v>3</v>
      </c>
      <c r="E3074" t="s">
        <v>45</v>
      </c>
      <c r="F3074" t="s">
        <v>2969</v>
      </c>
    </row>
    <row r="3075" spans="1:6" x14ac:dyDescent="0.25">
      <c r="A3075" t="s">
        <v>2938</v>
      </c>
      <c r="B3075" t="s">
        <v>1580</v>
      </c>
      <c r="C3075" t="s">
        <v>39</v>
      </c>
      <c r="D3075">
        <v>4</v>
      </c>
      <c r="E3075" t="s">
        <v>38</v>
      </c>
      <c r="F3075" t="s">
        <v>2969</v>
      </c>
    </row>
    <row r="3076" spans="1:6" x14ac:dyDescent="0.25">
      <c r="A3076" t="s">
        <v>2939</v>
      </c>
      <c r="B3076" t="s">
        <v>1581</v>
      </c>
      <c r="C3076" t="s">
        <v>87</v>
      </c>
      <c r="D3076">
        <v>1</v>
      </c>
      <c r="E3076" t="s">
        <v>1960</v>
      </c>
      <c r="F3076" t="s">
        <v>2969</v>
      </c>
    </row>
    <row r="3077" spans="1:6" x14ac:dyDescent="0.25">
      <c r="A3077" t="s">
        <v>2939</v>
      </c>
      <c r="B3077" t="s">
        <v>1581</v>
      </c>
      <c r="C3077" t="s">
        <v>87</v>
      </c>
      <c r="D3077">
        <v>2</v>
      </c>
      <c r="E3077" t="s">
        <v>2169</v>
      </c>
      <c r="F3077" t="s">
        <v>2969</v>
      </c>
    </row>
    <row r="3078" spans="1:6" x14ac:dyDescent="0.25">
      <c r="A3078" t="s">
        <v>2939</v>
      </c>
      <c r="B3078" t="s">
        <v>1581</v>
      </c>
      <c r="C3078" t="s">
        <v>87</v>
      </c>
      <c r="D3078">
        <v>3</v>
      </c>
      <c r="E3078" t="s">
        <v>2032</v>
      </c>
      <c r="F3078" t="s">
        <v>2969</v>
      </c>
    </row>
    <row r="3079" spans="1:6" x14ac:dyDescent="0.25">
      <c r="A3079" t="s">
        <v>2940</v>
      </c>
      <c r="B3079" t="s">
        <v>1582</v>
      </c>
      <c r="C3079" t="s">
        <v>71</v>
      </c>
      <c r="D3079">
        <v>1</v>
      </c>
      <c r="E3079" t="s">
        <v>1785</v>
      </c>
      <c r="F3079" t="s">
        <v>2969</v>
      </c>
    </row>
    <row r="3080" spans="1:6" x14ac:dyDescent="0.25">
      <c r="A3080" t="s">
        <v>2940</v>
      </c>
      <c r="B3080" t="s">
        <v>1582</v>
      </c>
      <c r="C3080" t="s">
        <v>71</v>
      </c>
      <c r="D3080">
        <v>2</v>
      </c>
      <c r="E3080" t="s">
        <v>1704</v>
      </c>
      <c r="F3080" t="s">
        <v>2969</v>
      </c>
    </row>
    <row r="3081" spans="1:6" x14ac:dyDescent="0.25">
      <c r="A3081" t="s">
        <v>2941</v>
      </c>
      <c r="B3081" t="s">
        <v>1583</v>
      </c>
      <c r="C3081" t="s">
        <v>130</v>
      </c>
      <c r="D3081">
        <v>1</v>
      </c>
      <c r="E3081" t="s">
        <v>2217</v>
      </c>
      <c r="F3081" t="s">
        <v>2969</v>
      </c>
    </row>
    <row r="3082" spans="1:6" x14ac:dyDescent="0.25">
      <c r="A3082" t="s">
        <v>2941</v>
      </c>
      <c r="B3082" t="s">
        <v>1583</v>
      </c>
      <c r="C3082" t="s">
        <v>130</v>
      </c>
      <c r="D3082">
        <v>2</v>
      </c>
      <c r="E3082" t="s">
        <v>1661</v>
      </c>
      <c r="F3082" t="s">
        <v>2969</v>
      </c>
    </row>
    <row r="3083" spans="1:6" x14ac:dyDescent="0.25">
      <c r="A3083" t="s">
        <v>2941</v>
      </c>
      <c r="B3083" t="s">
        <v>1583</v>
      </c>
      <c r="C3083" t="s">
        <v>130</v>
      </c>
      <c r="D3083">
        <v>3</v>
      </c>
      <c r="E3083" t="s">
        <v>1764</v>
      </c>
      <c r="F3083" t="s">
        <v>2969</v>
      </c>
    </row>
    <row r="3084" spans="1:6" x14ac:dyDescent="0.25">
      <c r="A3084" t="s">
        <v>2942</v>
      </c>
      <c r="B3084" t="s">
        <v>1584</v>
      </c>
      <c r="C3084" t="s">
        <v>83</v>
      </c>
      <c r="D3084">
        <v>1</v>
      </c>
      <c r="E3084" t="s">
        <v>1809</v>
      </c>
      <c r="F3084" t="s">
        <v>2969</v>
      </c>
    </row>
    <row r="3085" spans="1:6" x14ac:dyDescent="0.25">
      <c r="A3085" t="s">
        <v>2942</v>
      </c>
      <c r="B3085" t="s">
        <v>1584</v>
      </c>
      <c r="C3085" t="s">
        <v>83</v>
      </c>
      <c r="D3085">
        <v>2</v>
      </c>
      <c r="E3085" t="s">
        <v>13</v>
      </c>
      <c r="F3085" t="s">
        <v>2969</v>
      </c>
    </row>
    <row r="3086" spans="1:6" x14ac:dyDescent="0.25">
      <c r="A3086" t="s">
        <v>2942</v>
      </c>
      <c r="B3086" t="s">
        <v>1584</v>
      </c>
      <c r="C3086" t="s">
        <v>83</v>
      </c>
      <c r="D3086">
        <v>3</v>
      </c>
      <c r="E3086" t="s">
        <v>1724</v>
      </c>
      <c r="F3086" t="s">
        <v>2969</v>
      </c>
    </row>
    <row r="3087" spans="1:6" x14ac:dyDescent="0.25">
      <c r="A3087" t="s">
        <v>2942</v>
      </c>
      <c r="B3087" t="s">
        <v>1584</v>
      </c>
      <c r="C3087" t="s">
        <v>83</v>
      </c>
      <c r="D3087">
        <v>4</v>
      </c>
      <c r="E3087" t="s">
        <v>1769</v>
      </c>
      <c r="F3087" t="s">
        <v>2969</v>
      </c>
    </row>
    <row r="3088" spans="1:6" x14ac:dyDescent="0.25">
      <c r="A3088" t="s">
        <v>2942</v>
      </c>
      <c r="B3088" t="s">
        <v>1584</v>
      </c>
      <c r="C3088" t="s">
        <v>83</v>
      </c>
      <c r="D3088">
        <v>5</v>
      </c>
      <c r="E3088" t="s">
        <v>1850</v>
      </c>
      <c r="F3088" t="s">
        <v>2969</v>
      </c>
    </row>
    <row r="3089" spans="1:6" x14ac:dyDescent="0.25">
      <c r="A3089" t="s">
        <v>2942</v>
      </c>
      <c r="B3089" t="s">
        <v>1584</v>
      </c>
      <c r="C3089" t="s">
        <v>83</v>
      </c>
      <c r="D3089">
        <v>6</v>
      </c>
      <c r="E3089" t="s">
        <v>36</v>
      </c>
      <c r="F3089" t="s">
        <v>2969</v>
      </c>
    </row>
    <row r="3090" spans="1:6" x14ac:dyDescent="0.25">
      <c r="A3090" t="s">
        <v>2942</v>
      </c>
      <c r="B3090" t="s">
        <v>1584</v>
      </c>
      <c r="C3090" t="s">
        <v>83</v>
      </c>
      <c r="D3090">
        <v>7</v>
      </c>
      <c r="E3090" t="s">
        <v>70</v>
      </c>
      <c r="F3090" t="s">
        <v>1692</v>
      </c>
    </row>
    <row r="3091" spans="1:6" x14ac:dyDescent="0.25">
      <c r="A3091" t="s">
        <v>2943</v>
      </c>
      <c r="B3091" t="s">
        <v>1585</v>
      </c>
      <c r="C3091" t="s">
        <v>69</v>
      </c>
      <c r="D3091">
        <v>1</v>
      </c>
      <c r="E3091" t="s">
        <v>2038</v>
      </c>
      <c r="F3091" t="s">
        <v>2969</v>
      </c>
    </row>
    <row r="3092" spans="1:6" x14ac:dyDescent="0.25">
      <c r="A3092" t="s">
        <v>2943</v>
      </c>
      <c r="B3092" t="s">
        <v>1585</v>
      </c>
      <c r="C3092" t="s">
        <v>69</v>
      </c>
      <c r="D3092">
        <v>2</v>
      </c>
      <c r="E3092" t="s">
        <v>2230</v>
      </c>
      <c r="F3092" t="s">
        <v>2969</v>
      </c>
    </row>
    <row r="3093" spans="1:6" x14ac:dyDescent="0.25">
      <c r="A3093" t="s">
        <v>2943</v>
      </c>
      <c r="B3093" t="s">
        <v>1585</v>
      </c>
      <c r="C3093" t="s">
        <v>69</v>
      </c>
      <c r="D3093">
        <v>3</v>
      </c>
      <c r="E3093" t="s">
        <v>2078</v>
      </c>
      <c r="F3093" t="s">
        <v>2969</v>
      </c>
    </row>
    <row r="3094" spans="1:6" x14ac:dyDescent="0.25">
      <c r="A3094" t="s">
        <v>2943</v>
      </c>
      <c r="B3094" t="s">
        <v>1585</v>
      </c>
      <c r="C3094" t="s">
        <v>69</v>
      </c>
      <c r="D3094">
        <v>4</v>
      </c>
      <c r="E3094" t="s">
        <v>1709</v>
      </c>
      <c r="F3094" t="s">
        <v>2969</v>
      </c>
    </row>
    <row r="3095" spans="1:6" x14ac:dyDescent="0.25">
      <c r="A3095" t="s">
        <v>2943</v>
      </c>
      <c r="B3095" t="s">
        <v>1585</v>
      </c>
      <c r="C3095" t="s">
        <v>69</v>
      </c>
      <c r="D3095">
        <v>5</v>
      </c>
      <c r="E3095" t="s">
        <v>1676</v>
      </c>
      <c r="F3095" t="s">
        <v>2969</v>
      </c>
    </row>
    <row r="3096" spans="1:6" x14ac:dyDescent="0.25">
      <c r="A3096" t="s">
        <v>2943</v>
      </c>
      <c r="B3096" t="s">
        <v>1585</v>
      </c>
      <c r="C3096" t="s">
        <v>69</v>
      </c>
      <c r="D3096">
        <v>6</v>
      </c>
      <c r="E3096" t="s">
        <v>1653</v>
      </c>
      <c r="F3096" t="s">
        <v>2969</v>
      </c>
    </row>
    <row r="3097" spans="1:6" x14ac:dyDescent="0.25">
      <c r="A3097" t="s">
        <v>2943</v>
      </c>
      <c r="B3097" t="s">
        <v>1585</v>
      </c>
      <c r="C3097" t="s">
        <v>69</v>
      </c>
      <c r="D3097">
        <v>7</v>
      </c>
      <c r="E3097" t="s">
        <v>124</v>
      </c>
      <c r="F3097" t="s">
        <v>1692</v>
      </c>
    </row>
    <row r="3098" spans="1:6" x14ac:dyDescent="0.25">
      <c r="A3098" t="s">
        <v>2944</v>
      </c>
      <c r="B3098" t="s">
        <v>1586</v>
      </c>
      <c r="C3098" t="s">
        <v>98</v>
      </c>
      <c r="D3098">
        <v>1</v>
      </c>
      <c r="E3098" t="s">
        <v>33</v>
      </c>
      <c r="F3098" t="s">
        <v>2969</v>
      </c>
    </row>
    <row r="3099" spans="1:6" x14ac:dyDescent="0.25">
      <c r="A3099" t="s">
        <v>2944</v>
      </c>
      <c r="B3099" t="s">
        <v>1586</v>
      </c>
      <c r="C3099" t="s">
        <v>98</v>
      </c>
      <c r="D3099">
        <v>2</v>
      </c>
      <c r="E3099" t="s">
        <v>135</v>
      </c>
      <c r="F3099" t="s">
        <v>2969</v>
      </c>
    </row>
    <row r="3100" spans="1:6" x14ac:dyDescent="0.25">
      <c r="A3100" t="s">
        <v>2944</v>
      </c>
      <c r="B3100" t="s">
        <v>1586</v>
      </c>
      <c r="C3100" t="s">
        <v>98</v>
      </c>
      <c r="D3100">
        <v>3</v>
      </c>
      <c r="E3100" t="s">
        <v>133</v>
      </c>
      <c r="F3100" t="s">
        <v>2969</v>
      </c>
    </row>
    <row r="3101" spans="1:6" x14ac:dyDescent="0.25">
      <c r="A3101" t="s">
        <v>2944</v>
      </c>
      <c r="B3101" t="s">
        <v>1586</v>
      </c>
      <c r="C3101" t="s">
        <v>98</v>
      </c>
      <c r="D3101">
        <v>4</v>
      </c>
      <c r="E3101" t="s">
        <v>13</v>
      </c>
      <c r="F3101" t="s">
        <v>2969</v>
      </c>
    </row>
    <row r="3102" spans="1:6" x14ac:dyDescent="0.25">
      <c r="A3102" t="s">
        <v>2944</v>
      </c>
      <c r="B3102" t="s">
        <v>1586</v>
      </c>
      <c r="C3102" t="s">
        <v>98</v>
      </c>
      <c r="D3102">
        <v>5</v>
      </c>
      <c r="E3102" t="s">
        <v>1651</v>
      </c>
      <c r="F3102" t="s">
        <v>2969</v>
      </c>
    </row>
    <row r="3103" spans="1:6" x14ac:dyDescent="0.25">
      <c r="A3103" t="s">
        <v>2944</v>
      </c>
      <c r="B3103" t="s">
        <v>1586</v>
      </c>
      <c r="C3103" t="s">
        <v>98</v>
      </c>
      <c r="D3103">
        <v>6</v>
      </c>
      <c r="E3103" t="s">
        <v>1673</v>
      </c>
      <c r="F3103" t="s">
        <v>2969</v>
      </c>
    </row>
    <row r="3104" spans="1:6" x14ac:dyDescent="0.25">
      <c r="A3104" t="s">
        <v>2944</v>
      </c>
      <c r="B3104" t="s">
        <v>1586</v>
      </c>
      <c r="C3104" t="s">
        <v>98</v>
      </c>
      <c r="D3104">
        <v>7</v>
      </c>
      <c r="E3104" t="s">
        <v>1769</v>
      </c>
      <c r="F3104" t="s">
        <v>1692</v>
      </c>
    </row>
    <row r="3105" spans="1:6" x14ac:dyDescent="0.25">
      <c r="A3105" t="s">
        <v>2945</v>
      </c>
      <c r="B3105" t="s">
        <v>1587</v>
      </c>
      <c r="C3105" t="s">
        <v>112</v>
      </c>
      <c r="D3105">
        <v>1</v>
      </c>
      <c r="E3105" t="s">
        <v>1713</v>
      </c>
      <c r="F3105" t="s">
        <v>2969</v>
      </c>
    </row>
    <row r="3106" spans="1:6" x14ac:dyDescent="0.25">
      <c r="A3106" t="s">
        <v>2945</v>
      </c>
      <c r="B3106" t="s">
        <v>1587</v>
      </c>
      <c r="C3106" t="s">
        <v>112</v>
      </c>
      <c r="D3106">
        <v>2</v>
      </c>
      <c r="E3106" t="s">
        <v>33</v>
      </c>
      <c r="F3106" t="s">
        <v>2969</v>
      </c>
    </row>
    <row r="3107" spans="1:6" x14ac:dyDescent="0.25">
      <c r="A3107" t="s">
        <v>2946</v>
      </c>
      <c r="B3107" t="s">
        <v>1588</v>
      </c>
      <c r="C3107" t="s">
        <v>39</v>
      </c>
      <c r="D3107">
        <v>1</v>
      </c>
      <c r="E3107" t="s">
        <v>2106</v>
      </c>
      <c r="F3107" t="s">
        <v>2969</v>
      </c>
    </row>
    <row r="3108" spans="1:6" x14ac:dyDescent="0.25">
      <c r="A3108" t="s">
        <v>2946</v>
      </c>
      <c r="B3108" t="s">
        <v>1588</v>
      </c>
      <c r="C3108" t="s">
        <v>39</v>
      </c>
      <c r="D3108">
        <v>2</v>
      </c>
      <c r="E3108" t="s">
        <v>1842</v>
      </c>
      <c r="F3108" t="s">
        <v>2969</v>
      </c>
    </row>
    <row r="3109" spans="1:6" x14ac:dyDescent="0.25">
      <c r="A3109" t="s">
        <v>2946</v>
      </c>
      <c r="B3109" t="s">
        <v>1588</v>
      </c>
      <c r="C3109" t="s">
        <v>39</v>
      </c>
      <c r="D3109">
        <v>3</v>
      </c>
      <c r="E3109" t="s">
        <v>1670</v>
      </c>
      <c r="F3109" t="s">
        <v>2969</v>
      </c>
    </row>
    <row r="3110" spans="1:6" x14ac:dyDescent="0.25">
      <c r="A3110" t="s">
        <v>2947</v>
      </c>
      <c r="B3110" t="s">
        <v>1589</v>
      </c>
      <c r="C3110" t="s">
        <v>43</v>
      </c>
      <c r="D3110">
        <v>1</v>
      </c>
      <c r="E3110" t="s">
        <v>38</v>
      </c>
      <c r="F3110" t="s">
        <v>2969</v>
      </c>
    </row>
    <row r="3111" spans="1:6" x14ac:dyDescent="0.25">
      <c r="A3111" t="s">
        <v>2947</v>
      </c>
      <c r="B3111" t="s">
        <v>1589</v>
      </c>
      <c r="C3111" t="s">
        <v>43</v>
      </c>
      <c r="D3111">
        <v>2</v>
      </c>
      <c r="E3111" t="s">
        <v>1948</v>
      </c>
      <c r="F3111" t="s">
        <v>2969</v>
      </c>
    </row>
    <row r="3112" spans="1:6" x14ac:dyDescent="0.25">
      <c r="A3112" t="s">
        <v>2948</v>
      </c>
      <c r="B3112" t="s">
        <v>1590</v>
      </c>
      <c r="C3112" t="s">
        <v>60</v>
      </c>
      <c r="D3112">
        <v>1</v>
      </c>
      <c r="E3112" t="s">
        <v>2032</v>
      </c>
      <c r="F3112" t="s">
        <v>2969</v>
      </c>
    </row>
    <row r="3113" spans="1:6" x14ac:dyDescent="0.25">
      <c r="A3113" t="s">
        <v>2948</v>
      </c>
      <c r="B3113" t="s">
        <v>1590</v>
      </c>
      <c r="C3113" t="s">
        <v>60</v>
      </c>
      <c r="D3113">
        <v>2</v>
      </c>
      <c r="E3113" t="s">
        <v>2088</v>
      </c>
      <c r="F3113" t="s">
        <v>2969</v>
      </c>
    </row>
    <row r="3114" spans="1:6" x14ac:dyDescent="0.25">
      <c r="A3114" t="s">
        <v>2948</v>
      </c>
      <c r="B3114" t="s">
        <v>1590</v>
      </c>
      <c r="C3114" t="s">
        <v>60</v>
      </c>
      <c r="D3114">
        <v>3</v>
      </c>
      <c r="E3114" t="s">
        <v>2115</v>
      </c>
      <c r="F3114" t="s">
        <v>2969</v>
      </c>
    </row>
    <row r="3115" spans="1:6" x14ac:dyDescent="0.25">
      <c r="A3115" t="s">
        <v>2948</v>
      </c>
      <c r="B3115" t="s">
        <v>1590</v>
      </c>
      <c r="C3115" t="s">
        <v>60</v>
      </c>
      <c r="D3115">
        <v>4</v>
      </c>
      <c r="E3115" t="s">
        <v>2128</v>
      </c>
      <c r="F3115" t="s">
        <v>2969</v>
      </c>
    </row>
    <row r="3116" spans="1:6" x14ac:dyDescent="0.25">
      <c r="A3116" t="s">
        <v>2949</v>
      </c>
      <c r="B3116" t="s">
        <v>1591</v>
      </c>
      <c r="C3116" t="s">
        <v>97</v>
      </c>
      <c r="D3116">
        <v>1</v>
      </c>
      <c r="E3116" t="s">
        <v>106</v>
      </c>
      <c r="F3116" t="s">
        <v>2969</v>
      </c>
    </row>
    <row r="3117" spans="1:6" x14ac:dyDescent="0.25">
      <c r="A3117" t="s">
        <v>2949</v>
      </c>
      <c r="B3117" t="s">
        <v>1591</v>
      </c>
      <c r="C3117" t="s">
        <v>97</v>
      </c>
      <c r="D3117">
        <v>2</v>
      </c>
      <c r="E3117" t="s">
        <v>1904</v>
      </c>
      <c r="F3117" t="s">
        <v>2969</v>
      </c>
    </row>
    <row r="3118" spans="1:6" x14ac:dyDescent="0.25">
      <c r="A3118" t="s">
        <v>2949</v>
      </c>
      <c r="B3118" t="s">
        <v>1591</v>
      </c>
      <c r="C3118" t="s">
        <v>97</v>
      </c>
      <c r="D3118">
        <v>3</v>
      </c>
      <c r="E3118" t="s">
        <v>1655</v>
      </c>
      <c r="F3118" t="s">
        <v>2969</v>
      </c>
    </row>
    <row r="3119" spans="1:6" x14ac:dyDescent="0.25">
      <c r="A3119" t="s">
        <v>2949</v>
      </c>
      <c r="B3119" t="s">
        <v>1591</v>
      </c>
      <c r="C3119" t="s">
        <v>97</v>
      </c>
      <c r="D3119">
        <v>4</v>
      </c>
      <c r="E3119" t="s">
        <v>1741</v>
      </c>
      <c r="F3119" t="s">
        <v>2969</v>
      </c>
    </row>
    <row r="3120" spans="1:6" x14ac:dyDescent="0.25">
      <c r="A3120" t="s">
        <v>2949</v>
      </c>
      <c r="B3120" t="s">
        <v>1591</v>
      </c>
      <c r="C3120" t="s">
        <v>97</v>
      </c>
      <c r="D3120">
        <v>5</v>
      </c>
      <c r="E3120" t="s">
        <v>1667</v>
      </c>
      <c r="F3120" t="s">
        <v>2969</v>
      </c>
    </row>
    <row r="3121" spans="1:6" x14ac:dyDescent="0.25">
      <c r="A3121" t="s">
        <v>2950</v>
      </c>
      <c r="B3121" t="s">
        <v>1592</v>
      </c>
      <c r="C3121" t="s">
        <v>136</v>
      </c>
      <c r="D3121">
        <v>1</v>
      </c>
      <c r="E3121" t="s">
        <v>1637</v>
      </c>
      <c r="F3121" t="s">
        <v>2969</v>
      </c>
    </row>
    <row r="3122" spans="1:6" x14ac:dyDescent="0.25">
      <c r="A3122" t="s">
        <v>2950</v>
      </c>
      <c r="B3122" t="s">
        <v>1592</v>
      </c>
      <c r="C3122" t="s">
        <v>136</v>
      </c>
      <c r="D3122">
        <v>2</v>
      </c>
      <c r="E3122" t="s">
        <v>106</v>
      </c>
      <c r="F3122" t="s">
        <v>2969</v>
      </c>
    </row>
    <row r="3123" spans="1:6" x14ac:dyDescent="0.25">
      <c r="A3123" t="s">
        <v>2951</v>
      </c>
      <c r="B3123" t="s">
        <v>1593</v>
      </c>
      <c r="C3123" t="s">
        <v>23</v>
      </c>
      <c r="D3123">
        <v>1</v>
      </c>
      <c r="E3123" t="s">
        <v>1908</v>
      </c>
      <c r="F3123" t="s">
        <v>2969</v>
      </c>
    </row>
    <row r="3124" spans="1:6" x14ac:dyDescent="0.25">
      <c r="A3124" t="s">
        <v>2951</v>
      </c>
      <c r="B3124" t="s">
        <v>1593</v>
      </c>
      <c r="C3124" t="s">
        <v>23</v>
      </c>
      <c r="D3124">
        <v>2</v>
      </c>
      <c r="E3124" t="s">
        <v>1995</v>
      </c>
      <c r="F3124" t="s">
        <v>2969</v>
      </c>
    </row>
    <row r="3125" spans="1:6" x14ac:dyDescent="0.25">
      <c r="A3125" t="s">
        <v>2952</v>
      </c>
      <c r="B3125" t="s">
        <v>1594</v>
      </c>
      <c r="C3125" t="s">
        <v>98</v>
      </c>
      <c r="D3125">
        <v>1</v>
      </c>
      <c r="E3125" t="s">
        <v>1707</v>
      </c>
      <c r="F3125" t="s">
        <v>2969</v>
      </c>
    </row>
    <row r="3126" spans="1:6" x14ac:dyDescent="0.25">
      <c r="A3126" t="s">
        <v>2952</v>
      </c>
      <c r="B3126" t="s">
        <v>1594</v>
      </c>
      <c r="C3126" t="s">
        <v>98</v>
      </c>
      <c r="D3126">
        <v>2</v>
      </c>
      <c r="E3126" t="s">
        <v>131</v>
      </c>
      <c r="F3126" t="s">
        <v>2969</v>
      </c>
    </row>
    <row r="3127" spans="1:6" x14ac:dyDescent="0.25">
      <c r="A3127" t="s">
        <v>2952</v>
      </c>
      <c r="B3127" t="s">
        <v>1594</v>
      </c>
      <c r="C3127" t="s">
        <v>98</v>
      </c>
      <c r="D3127">
        <v>3</v>
      </c>
      <c r="E3127" t="s">
        <v>1704</v>
      </c>
      <c r="F3127" t="s">
        <v>2969</v>
      </c>
    </row>
    <row r="3128" spans="1:6" x14ac:dyDescent="0.25">
      <c r="A3128" t="s">
        <v>2953</v>
      </c>
      <c r="B3128" t="s">
        <v>1595</v>
      </c>
      <c r="C3128" t="s">
        <v>43</v>
      </c>
      <c r="D3128">
        <v>1</v>
      </c>
      <c r="E3128" t="s">
        <v>1739</v>
      </c>
      <c r="F3128" t="s">
        <v>2969</v>
      </c>
    </row>
    <row r="3129" spans="1:6" x14ac:dyDescent="0.25">
      <c r="A3129" t="s">
        <v>2953</v>
      </c>
      <c r="B3129" t="s">
        <v>1595</v>
      </c>
      <c r="C3129" t="s">
        <v>43</v>
      </c>
      <c r="D3129">
        <v>2</v>
      </c>
      <c r="E3129" t="s">
        <v>2470</v>
      </c>
      <c r="F3129" t="s">
        <v>2969</v>
      </c>
    </row>
    <row r="3130" spans="1:6" x14ac:dyDescent="0.25">
      <c r="A3130" t="s">
        <v>2954</v>
      </c>
      <c r="B3130" t="s">
        <v>1596</v>
      </c>
      <c r="C3130" t="s">
        <v>125</v>
      </c>
      <c r="D3130">
        <v>1</v>
      </c>
      <c r="E3130" t="s">
        <v>30</v>
      </c>
      <c r="F3130" t="s">
        <v>2969</v>
      </c>
    </row>
    <row r="3131" spans="1:6" x14ac:dyDescent="0.25">
      <c r="A3131" t="s">
        <v>2955</v>
      </c>
      <c r="B3131" t="s">
        <v>1597</v>
      </c>
      <c r="C3131" t="s">
        <v>8</v>
      </c>
      <c r="D3131">
        <v>1</v>
      </c>
      <c r="E3131" t="s">
        <v>1891</v>
      </c>
      <c r="F3131" t="s">
        <v>2969</v>
      </c>
    </row>
    <row r="3132" spans="1:6" x14ac:dyDescent="0.25">
      <c r="A3132" t="s">
        <v>2955</v>
      </c>
      <c r="B3132" t="s">
        <v>1597</v>
      </c>
      <c r="C3132" t="s">
        <v>8</v>
      </c>
      <c r="D3132">
        <v>2</v>
      </c>
      <c r="E3132" t="s">
        <v>2046</v>
      </c>
      <c r="F3132" t="s">
        <v>2969</v>
      </c>
    </row>
    <row r="3133" spans="1:6" x14ac:dyDescent="0.25">
      <c r="A3133" t="s">
        <v>2955</v>
      </c>
      <c r="B3133" t="s">
        <v>1597</v>
      </c>
      <c r="C3133" t="s">
        <v>8</v>
      </c>
      <c r="D3133">
        <v>3</v>
      </c>
      <c r="E3133" t="s">
        <v>1764</v>
      </c>
      <c r="F3133" t="s">
        <v>2969</v>
      </c>
    </row>
    <row r="3134" spans="1:6" x14ac:dyDescent="0.25">
      <c r="A3134" t="s">
        <v>2956</v>
      </c>
      <c r="B3134" t="s">
        <v>1598</v>
      </c>
      <c r="C3134" t="s">
        <v>20</v>
      </c>
      <c r="D3134">
        <v>1</v>
      </c>
      <c r="E3134" t="s">
        <v>131</v>
      </c>
      <c r="F3134" t="s">
        <v>2969</v>
      </c>
    </row>
    <row r="3135" spans="1:6" x14ac:dyDescent="0.25">
      <c r="A3135" t="s">
        <v>2956</v>
      </c>
      <c r="B3135" t="s">
        <v>1598</v>
      </c>
      <c r="C3135" t="s">
        <v>20</v>
      </c>
      <c r="D3135">
        <v>2</v>
      </c>
      <c r="E3135" t="s">
        <v>1680</v>
      </c>
      <c r="F3135" t="s">
        <v>2969</v>
      </c>
    </row>
    <row r="3136" spans="1:6" x14ac:dyDescent="0.25">
      <c r="A3136" t="s">
        <v>2957</v>
      </c>
      <c r="B3136" t="s">
        <v>1599</v>
      </c>
      <c r="C3136" t="s">
        <v>34</v>
      </c>
      <c r="D3136">
        <v>1</v>
      </c>
      <c r="E3136" t="s">
        <v>1685</v>
      </c>
      <c r="F3136" t="s">
        <v>2969</v>
      </c>
    </row>
    <row r="3137" spans="1:6" x14ac:dyDescent="0.25">
      <c r="A3137" t="s">
        <v>2958</v>
      </c>
      <c r="B3137" t="s">
        <v>1600</v>
      </c>
      <c r="C3137" t="s">
        <v>66</v>
      </c>
      <c r="D3137">
        <v>1</v>
      </c>
      <c r="E3137" t="s">
        <v>1953</v>
      </c>
      <c r="F3137" t="s">
        <v>2969</v>
      </c>
    </row>
    <row r="3138" spans="1:6" x14ac:dyDescent="0.25">
      <c r="A3138" t="s">
        <v>2959</v>
      </c>
      <c r="B3138" t="s">
        <v>1601</v>
      </c>
      <c r="C3138" t="s">
        <v>105</v>
      </c>
      <c r="D3138">
        <v>1</v>
      </c>
      <c r="E3138" t="s">
        <v>1812</v>
      </c>
      <c r="F3138" t="s">
        <v>2969</v>
      </c>
    </row>
    <row r="3139" spans="1:6" x14ac:dyDescent="0.25">
      <c r="A3139" t="s">
        <v>2959</v>
      </c>
      <c r="B3139" t="s">
        <v>1601</v>
      </c>
      <c r="C3139" t="s">
        <v>105</v>
      </c>
      <c r="D3139">
        <v>2</v>
      </c>
      <c r="E3139" t="s">
        <v>51</v>
      </c>
      <c r="F3139" t="s">
        <v>2969</v>
      </c>
    </row>
    <row r="3140" spans="1:6" x14ac:dyDescent="0.25">
      <c r="A3140" t="s">
        <v>2959</v>
      </c>
      <c r="B3140" t="s">
        <v>1601</v>
      </c>
      <c r="C3140" t="s">
        <v>105</v>
      </c>
      <c r="D3140">
        <v>3</v>
      </c>
      <c r="E3140" t="s">
        <v>1801</v>
      </c>
      <c r="F3140" t="s">
        <v>2969</v>
      </c>
    </row>
    <row r="3141" spans="1:6" x14ac:dyDescent="0.25">
      <c r="A3141" t="s">
        <v>2959</v>
      </c>
      <c r="B3141" t="s">
        <v>1601</v>
      </c>
      <c r="C3141" t="s">
        <v>105</v>
      </c>
      <c r="D3141">
        <v>4</v>
      </c>
      <c r="E3141" t="s">
        <v>111</v>
      </c>
      <c r="F3141" t="s">
        <v>2969</v>
      </c>
    </row>
    <row r="3142" spans="1:6" x14ac:dyDescent="0.25">
      <c r="A3142" t="s">
        <v>2959</v>
      </c>
      <c r="B3142" t="s">
        <v>1601</v>
      </c>
      <c r="C3142" t="s">
        <v>105</v>
      </c>
      <c r="D3142">
        <v>5</v>
      </c>
      <c r="E3142" t="s">
        <v>1719</v>
      </c>
      <c r="F3142" t="s">
        <v>2969</v>
      </c>
    </row>
    <row r="3143" spans="1:6" x14ac:dyDescent="0.25">
      <c r="A3143" t="s">
        <v>2960</v>
      </c>
      <c r="B3143" t="s">
        <v>1602</v>
      </c>
      <c r="C3143" t="s">
        <v>132</v>
      </c>
      <c r="D3143">
        <v>1</v>
      </c>
      <c r="E3143" t="s">
        <v>2038</v>
      </c>
      <c r="F3143" t="s">
        <v>2969</v>
      </c>
    </row>
    <row r="3144" spans="1:6" x14ac:dyDescent="0.25">
      <c r="A3144" t="s">
        <v>2960</v>
      </c>
      <c r="B3144" t="s">
        <v>1602</v>
      </c>
      <c r="C3144" t="s">
        <v>132</v>
      </c>
      <c r="D3144">
        <v>2</v>
      </c>
      <c r="E3144" t="s">
        <v>2130</v>
      </c>
      <c r="F3144" t="s">
        <v>2969</v>
      </c>
    </row>
    <row r="3145" spans="1:6" x14ac:dyDescent="0.25">
      <c r="A3145" t="s">
        <v>2960</v>
      </c>
      <c r="B3145" t="s">
        <v>1602</v>
      </c>
      <c r="C3145" t="s">
        <v>132</v>
      </c>
      <c r="D3145">
        <v>3</v>
      </c>
      <c r="E3145" t="s">
        <v>1822</v>
      </c>
      <c r="F3145" t="s">
        <v>2969</v>
      </c>
    </row>
    <row r="3146" spans="1:6" x14ac:dyDescent="0.25">
      <c r="A3146" t="s">
        <v>2961</v>
      </c>
      <c r="B3146" t="s">
        <v>1603</v>
      </c>
      <c r="C3146" t="s">
        <v>100</v>
      </c>
      <c r="D3146">
        <v>1</v>
      </c>
      <c r="E3146" t="s">
        <v>1634</v>
      </c>
      <c r="F3146" t="s">
        <v>2969</v>
      </c>
    </row>
    <row r="3147" spans="1:6" x14ac:dyDescent="0.25">
      <c r="A3147" t="s">
        <v>2961</v>
      </c>
      <c r="B3147" t="s">
        <v>1603</v>
      </c>
      <c r="C3147" t="s">
        <v>100</v>
      </c>
      <c r="D3147">
        <v>2</v>
      </c>
      <c r="E3147" t="s">
        <v>1719</v>
      </c>
      <c r="F3147" t="s">
        <v>2969</v>
      </c>
    </row>
    <row r="3148" spans="1:6" x14ac:dyDescent="0.25">
      <c r="A3148" t="s">
        <v>2961</v>
      </c>
      <c r="B3148" t="s">
        <v>1603</v>
      </c>
      <c r="C3148" t="s">
        <v>100</v>
      </c>
      <c r="D3148">
        <v>3</v>
      </c>
      <c r="E3148" t="s">
        <v>1621</v>
      </c>
      <c r="F3148" t="s">
        <v>2969</v>
      </c>
    </row>
    <row r="3149" spans="1:6" x14ac:dyDescent="0.25">
      <c r="A3149" t="s">
        <v>2961</v>
      </c>
      <c r="B3149" t="s">
        <v>1603</v>
      </c>
      <c r="C3149" t="s">
        <v>100</v>
      </c>
      <c r="D3149">
        <v>4</v>
      </c>
      <c r="E3149" t="s">
        <v>2032</v>
      </c>
      <c r="F3149" t="s">
        <v>2969</v>
      </c>
    </row>
    <row r="3150" spans="1:6" x14ac:dyDescent="0.25">
      <c r="A3150" t="s">
        <v>2962</v>
      </c>
      <c r="B3150" t="s">
        <v>1604</v>
      </c>
      <c r="C3150" t="s">
        <v>128</v>
      </c>
      <c r="D3150">
        <v>1</v>
      </c>
      <c r="E3150" t="s">
        <v>126</v>
      </c>
      <c r="F3150" t="s">
        <v>2969</v>
      </c>
    </row>
    <row r="3151" spans="1:6" x14ac:dyDescent="0.25">
      <c r="A3151" t="s">
        <v>2963</v>
      </c>
      <c r="B3151" t="s">
        <v>1605</v>
      </c>
      <c r="C3151" t="s">
        <v>31</v>
      </c>
      <c r="D3151">
        <v>1</v>
      </c>
      <c r="E3151" t="s">
        <v>1704</v>
      </c>
      <c r="F3151" t="s">
        <v>2969</v>
      </c>
    </row>
    <row r="3152" spans="1:6" x14ac:dyDescent="0.25">
      <c r="A3152" t="s">
        <v>2963</v>
      </c>
      <c r="B3152" t="s">
        <v>1605</v>
      </c>
      <c r="C3152" t="s">
        <v>31</v>
      </c>
      <c r="D3152">
        <v>2</v>
      </c>
      <c r="E3152" t="s">
        <v>1724</v>
      </c>
      <c r="F3152" t="s">
        <v>2969</v>
      </c>
    </row>
    <row r="3153" spans="1:6" x14ac:dyDescent="0.25">
      <c r="A3153" t="s">
        <v>2963</v>
      </c>
      <c r="B3153" t="s">
        <v>1605</v>
      </c>
      <c r="C3153" t="s">
        <v>31</v>
      </c>
      <c r="D3153">
        <v>3</v>
      </c>
      <c r="E3153" t="s">
        <v>1850</v>
      </c>
      <c r="F3153" t="s">
        <v>2969</v>
      </c>
    </row>
    <row r="3154" spans="1:6" x14ac:dyDescent="0.25">
      <c r="A3154" t="s">
        <v>2964</v>
      </c>
      <c r="B3154" t="s">
        <v>1606</v>
      </c>
      <c r="C3154" t="s">
        <v>49</v>
      </c>
      <c r="D3154">
        <v>1</v>
      </c>
      <c r="E3154" t="s">
        <v>1639</v>
      </c>
      <c r="F3154" t="s">
        <v>2969</v>
      </c>
    </row>
    <row r="3155" spans="1:6" x14ac:dyDescent="0.25">
      <c r="A3155" t="s">
        <v>2965</v>
      </c>
      <c r="B3155" t="s">
        <v>1607</v>
      </c>
      <c r="C3155" t="s">
        <v>134</v>
      </c>
      <c r="D3155">
        <v>1</v>
      </c>
      <c r="E3155" t="s">
        <v>137</v>
      </c>
      <c r="F3155" t="s">
        <v>2969</v>
      </c>
    </row>
    <row r="3156" spans="1:6" x14ac:dyDescent="0.25">
      <c r="A3156" t="s">
        <v>2965</v>
      </c>
      <c r="B3156" t="s">
        <v>1607</v>
      </c>
      <c r="C3156" t="s">
        <v>134</v>
      </c>
      <c r="D3156">
        <v>2</v>
      </c>
      <c r="E3156" t="s">
        <v>2230</v>
      </c>
      <c r="F3156" t="s">
        <v>2969</v>
      </c>
    </row>
    <row r="3157" spans="1:6" x14ac:dyDescent="0.25">
      <c r="A3157" t="s">
        <v>2965</v>
      </c>
      <c r="B3157" t="s">
        <v>1607</v>
      </c>
      <c r="C3157" t="s">
        <v>134</v>
      </c>
      <c r="D3157">
        <v>3</v>
      </c>
      <c r="E3157" t="s">
        <v>1822</v>
      </c>
      <c r="F3157" t="s">
        <v>2969</v>
      </c>
    </row>
    <row r="3158" spans="1:6" x14ac:dyDescent="0.25">
      <c r="A3158" t="s">
        <v>2966</v>
      </c>
      <c r="B3158" t="s">
        <v>1608</v>
      </c>
      <c r="C3158" t="s">
        <v>71</v>
      </c>
      <c r="D3158">
        <v>1</v>
      </c>
      <c r="E3158" t="s">
        <v>2071</v>
      </c>
      <c r="F3158" t="s">
        <v>2969</v>
      </c>
    </row>
    <row r="3159" spans="1:6" x14ac:dyDescent="0.25">
      <c r="A3159" t="s">
        <v>2966</v>
      </c>
      <c r="B3159" t="s">
        <v>1608</v>
      </c>
      <c r="C3159" t="s">
        <v>71</v>
      </c>
      <c r="D3159">
        <v>2</v>
      </c>
      <c r="E3159" t="s">
        <v>120</v>
      </c>
      <c r="F3159" t="s">
        <v>2969</v>
      </c>
    </row>
    <row r="3160" spans="1:6" x14ac:dyDescent="0.25">
      <c r="A3160" t="s">
        <v>2966</v>
      </c>
      <c r="B3160" t="s">
        <v>1608</v>
      </c>
      <c r="C3160" t="s">
        <v>71</v>
      </c>
      <c r="D3160">
        <v>3</v>
      </c>
      <c r="E3160" t="s">
        <v>1627</v>
      </c>
      <c r="F3160" t="s">
        <v>2969</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47738-4576-478F-88D1-0E68C4A50DDD}">
  <dimension ref="A3:P60"/>
  <sheetViews>
    <sheetView workbookViewId="0">
      <selection activeCell="A10" sqref="A10"/>
    </sheetView>
  </sheetViews>
  <sheetFormatPr defaultRowHeight="15" x14ac:dyDescent="0.25"/>
  <cols>
    <col min="1" max="1" width="13.5703125" bestFit="1" customWidth="1"/>
    <col min="2" max="2" width="19.85546875" customWidth="1"/>
    <col min="3" max="3" width="14.42578125" customWidth="1"/>
    <col min="4" max="5" width="13.140625" customWidth="1"/>
    <col min="6" max="6" width="16" customWidth="1"/>
    <col min="7" max="7" width="11.140625" bestFit="1" customWidth="1"/>
    <col min="8" max="8" width="14" bestFit="1" customWidth="1"/>
    <col min="9" max="9" width="15" bestFit="1" customWidth="1"/>
    <col min="10" max="10" width="11.28515625" bestFit="1" customWidth="1"/>
    <col min="11" max="11" width="19.85546875" customWidth="1"/>
    <col min="12" max="12" width="14.42578125" customWidth="1"/>
    <col min="13" max="13" width="12.28515625" bestFit="1" customWidth="1"/>
    <col min="14" max="14" width="11.28515625" bestFit="1" customWidth="1"/>
    <col min="15" max="15" width="11.42578125" bestFit="1" customWidth="1"/>
    <col min="16" max="16" width="15.85546875" bestFit="1" customWidth="1"/>
  </cols>
  <sheetData>
    <row r="3" spans="1:16" x14ac:dyDescent="0.25">
      <c r="A3" t="s">
        <v>2984</v>
      </c>
      <c r="B3" t="s">
        <v>1783</v>
      </c>
      <c r="K3" t="s">
        <v>2990</v>
      </c>
      <c r="L3" t="s">
        <v>2995</v>
      </c>
    </row>
    <row r="4" spans="1:16" x14ac:dyDescent="0.25">
      <c r="B4" t="s">
        <v>2985</v>
      </c>
      <c r="C4" t="s">
        <v>2986</v>
      </c>
      <c r="G4" t="s">
        <v>2987</v>
      </c>
      <c r="H4" t="s">
        <v>2988</v>
      </c>
      <c r="I4" t="s">
        <v>2989</v>
      </c>
      <c r="K4" t="s">
        <v>2991</v>
      </c>
      <c r="L4" t="s">
        <v>2984</v>
      </c>
      <c r="M4" t="s">
        <v>2985</v>
      </c>
      <c r="N4" t="s">
        <v>2992</v>
      </c>
      <c r="O4" t="s">
        <v>2993</v>
      </c>
      <c r="P4" t="s">
        <v>2994</v>
      </c>
    </row>
    <row r="5" spans="1:16" x14ac:dyDescent="0.25">
      <c r="B5" t="str">
        <f>_xlfn.XLOOKUP(B3,Applications[ApplicationID],Applications[CandidateID],"ID Not Found")</f>
        <v>CND-10100</v>
      </c>
      <c r="C5" cm="1">
        <f t="array" ref="C5:F5">_xlfn.XLOOKUP(B3,Applications[ApplicationID],Applications[[Current_StageID]:[Interview_Score]],"Not found")</f>
        <v>4</v>
      </c>
      <c r="D5" t="str">
        <v>Rejected</v>
      </c>
      <c r="E5">
        <v>78</v>
      </c>
      <c r="F5">
        <v>87</v>
      </c>
      <c r="L5" t="str" cm="1">
        <f t="array" ref="L5:P8">_xlfn._xlws.FILTER(Applications[[ApplicationID]:[Application_Date]],(Applications[JobID]=L3)*(Applications[Final_Status]&lt;&gt;"Rejected"),"No Active Candidates in Pipeline")</f>
        <v>APP-1390</v>
      </c>
      <c r="M5" t="str">
        <v>CND-10390</v>
      </c>
      <c r="N5" t="str">
        <v>REQ-202523</v>
      </c>
      <c r="O5" t="str">
        <v>REC-04</v>
      </c>
      <c r="P5" t="str">
        <v>2025-05-31</v>
      </c>
    </row>
    <row r="6" spans="1:16" x14ac:dyDescent="0.25">
      <c r="L6" t="str">
        <v>APP-1517</v>
      </c>
      <c r="M6" t="str">
        <v>CND-10517</v>
      </c>
      <c r="N6" t="str">
        <v>REQ-202523</v>
      </c>
      <c r="O6" t="str">
        <v>REC-04</v>
      </c>
      <c r="P6" t="str">
        <v>2025-05-30</v>
      </c>
    </row>
    <row r="7" spans="1:16" x14ac:dyDescent="0.25">
      <c r="L7" t="str">
        <v>APP-1580</v>
      </c>
      <c r="M7" t="str">
        <v>CND-10580</v>
      </c>
      <c r="N7" t="str">
        <v>REQ-202523</v>
      </c>
      <c r="O7" t="str">
        <v>REC-04</v>
      </c>
      <c r="P7" t="str">
        <v>2025-05-16</v>
      </c>
    </row>
    <row r="8" spans="1:16" x14ac:dyDescent="0.25">
      <c r="L8" t="str">
        <v>APP-1923</v>
      </c>
      <c r="M8" t="str">
        <v>CND-10923</v>
      </c>
      <c r="N8" t="str">
        <v>REQ-202523</v>
      </c>
      <c r="O8" t="str">
        <v>REC-04</v>
      </c>
      <c r="P8" t="str">
        <v>2025-06-05</v>
      </c>
    </row>
    <row r="9" spans="1:16" x14ac:dyDescent="0.25">
      <c r="A9" t="s">
        <v>2990</v>
      </c>
      <c r="B9" t="s">
        <v>3009</v>
      </c>
      <c r="C9" t="s">
        <v>3013</v>
      </c>
      <c r="D9" t="s">
        <v>1692</v>
      </c>
      <c r="E9" t="s">
        <v>1618</v>
      </c>
      <c r="F9" t="s">
        <v>3014</v>
      </c>
      <c r="I9" t="s">
        <v>3010</v>
      </c>
      <c r="J9" t="s">
        <v>3011</v>
      </c>
      <c r="K9" t="s">
        <v>3012</v>
      </c>
    </row>
    <row r="10" spans="1:16" x14ac:dyDescent="0.25">
      <c r="A10" t="s">
        <v>8</v>
      </c>
      <c r="B10">
        <v>32</v>
      </c>
      <c r="C10" s="10">
        <v>2.6666666666666668E-2</v>
      </c>
      <c r="D10" s="12">
        <v>1</v>
      </c>
      <c r="E10" s="12">
        <v>30</v>
      </c>
      <c r="F10" s="12">
        <v>1</v>
      </c>
      <c r="I10">
        <f>MIN(B10:B59)</f>
        <v>15</v>
      </c>
      <c r="J10">
        <f>MAX(B10:B59)</f>
        <v>35</v>
      </c>
      <c r="K10">
        <f>AVERAGE(I10:J10)</f>
        <v>25</v>
      </c>
    </row>
    <row r="11" spans="1:16" x14ac:dyDescent="0.25">
      <c r="A11" t="s">
        <v>14</v>
      </c>
      <c r="B11">
        <v>19</v>
      </c>
      <c r="C11" s="10">
        <v>1.5833333333333335E-2</v>
      </c>
      <c r="D11" s="12">
        <v>2</v>
      </c>
      <c r="E11" s="12">
        <v>17</v>
      </c>
      <c r="F11" s="12">
        <v>0</v>
      </c>
      <c r="I11" s="11">
        <f>MIN(C10:C59)</f>
        <v>1.2500000000000001E-2</v>
      </c>
      <c r="J11" s="11">
        <f>MAX(C10:C59)</f>
        <v>2.9166666666666667E-2</v>
      </c>
      <c r="K11" s="11">
        <f>AVERAGE(I11:J11)</f>
        <v>2.0833333333333336E-2</v>
      </c>
      <c r="L11" s="11"/>
    </row>
    <row r="12" spans="1:16" x14ac:dyDescent="0.25">
      <c r="A12" t="s">
        <v>20</v>
      </c>
      <c r="B12">
        <v>20</v>
      </c>
      <c r="C12" s="10">
        <v>1.6666666666666666E-2</v>
      </c>
      <c r="D12" s="12">
        <v>2</v>
      </c>
      <c r="E12" s="12">
        <v>18</v>
      </c>
      <c r="F12" s="12">
        <v>0</v>
      </c>
      <c r="H12" t="s">
        <v>1692</v>
      </c>
      <c r="I12" cm="1">
        <f t="array" ref="I12">MIN(TRANSPOSE(D10:D59))</f>
        <v>0</v>
      </c>
      <c r="J12" cm="1">
        <f t="array" ref="J12">MAX(TRANSPOSE(D10:D59))</f>
        <v>6</v>
      </c>
      <c r="K12">
        <f>AVERAGE(I12:J12)</f>
        <v>3</v>
      </c>
      <c r="L12" s="11"/>
    </row>
    <row r="13" spans="1:16" x14ac:dyDescent="0.25">
      <c r="A13" t="s">
        <v>23</v>
      </c>
      <c r="B13">
        <v>23</v>
      </c>
      <c r="C13" s="10">
        <v>1.9166666666666665E-2</v>
      </c>
      <c r="D13" s="12">
        <v>1</v>
      </c>
      <c r="E13" s="12">
        <v>22</v>
      </c>
      <c r="F13" s="12">
        <v>0</v>
      </c>
      <c r="H13" t="s">
        <v>1618</v>
      </c>
      <c r="I13" cm="1">
        <f t="array" ref="I13">MIN(TRANSPOSE(E10:E59))</f>
        <v>13</v>
      </c>
      <c r="J13" cm="1">
        <f t="array" ref="J13">MAX(TRANSPOSE(E10:E59))</f>
        <v>34</v>
      </c>
      <c r="K13">
        <f t="shared" ref="K13:K14" si="0">AVERAGE(I13:J13)</f>
        <v>23.5</v>
      </c>
      <c r="L13" s="11"/>
    </row>
    <row r="14" spans="1:16" x14ac:dyDescent="0.25">
      <c r="A14" t="s">
        <v>27</v>
      </c>
      <c r="B14">
        <v>22</v>
      </c>
      <c r="C14" s="10">
        <v>1.8333333333333333E-2</v>
      </c>
      <c r="D14" s="12">
        <v>3</v>
      </c>
      <c r="E14" s="12">
        <v>19</v>
      </c>
      <c r="F14" s="12">
        <v>0</v>
      </c>
      <c r="H14" t="s">
        <v>3014</v>
      </c>
      <c r="I14" cm="1">
        <f t="array" ref="I14">MIN(TRANSPOSE(F10:F59))</f>
        <v>0</v>
      </c>
      <c r="J14" cm="1">
        <f t="array" ref="J14">MAX(TRANSPOSE(F10:F59))</f>
        <v>1</v>
      </c>
      <c r="K14">
        <f t="shared" si="0"/>
        <v>0.5</v>
      </c>
      <c r="L14" s="11"/>
    </row>
    <row r="15" spans="1:16" x14ac:dyDescent="0.25">
      <c r="A15" t="s">
        <v>31</v>
      </c>
      <c r="B15">
        <v>25</v>
      </c>
      <c r="C15" s="10">
        <v>2.0833333333333332E-2</v>
      </c>
      <c r="D15" s="12">
        <v>1</v>
      </c>
      <c r="E15" s="12">
        <v>24</v>
      </c>
      <c r="F15" s="12">
        <v>0</v>
      </c>
      <c r="L15" s="11"/>
    </row>
    <row r="16" spans="1:16" x14ac:dyDescent="0.25">
      <c r="A16" t="s">
        <v>34</v>
      </c>
      <c r="B16">
        <v>21</v>
      </c>
      <c r="C16" s="10">
        <v>1.7500000000000002E-2</v>
      </c>
      <c r="D16" s="12">
        <v>0</v>
      </c>
      <c r="E16" s="12">
        <v>21</v>
      </c>
      <c r="F16" s="12">
        <v>0</v>
      </c>
      <c r="L16" s="11"/>
    </row>
    <row r="17" spans="1:12" x14ac:dyDescent="0.25">
      <c r="A17" t="s">
        <v>37</v>
      </c>
      <c r="B17">
        <v>16</v>
      </c>
      <c r="C17" s="10">
        <v>1.3333333333333334E-2</v>
      </c>
      <c r="D17" s="12">
        <v>1</v>
      </c>
      <c r="E17" s="12">
        <v>14</v>
      </c>
      <c r="F17" s="12">
        <v>1</v>
      </c>
      <c r="L17" s="11"/>
    </row>
    <row r="18" spans="1:12" x14ac:dyDescent="0.25">
      <c r="A18" t="s">
        <v>39</v>
      </c>
      <c r="B18">
        <v>21</v>
      </c>
      <c r="C18" s="10">
        <v>1.7500000000000002E-2</v>
      </c>
      <c r="D18" s="12">
        <v>2</v>
      </c>
      <c r="E18" s="12">
        <v>19</v>
      </c>
      <c r="F18" s="12">
        <v>0</v>
      </c>
      <c r="L18" s="11"/>
    </row>
    <row r="19" spans="1:12" x14ac:dyDescent="0.25">
      <c r="A19" t="s">
        <v>43</v>
      </c>
      <c r="B19">
        <v>29</v>
      </c>
      <c r="C19" s="10">
        <v>2.4166666666666666E-2</v>
      </c>
      <c r="D19" s="12">
        <v>3</v>
      </c>
      <c r="E19" s="12">
        <v>26</v>
      </c>
      <c r="F19" s="12">
        <v>0</v>
      </c>
      <c r="L19" s="11"/>
    </row>
    <row r="20" spans="1:12" x14ac:dyDescent="0.25">
      <c r="A20" t="s">
        <v>46</v>
      </c>
      <c r="B20">
        <v>23</v>
      </c>
      <c r="C20" s="10">
        <v>1.9166666666666665E-2</v>
      </c>
      <c r="D20" s="12">
        <v>2</v>
      </c>
      <c r="E20" s="12">
        <v>20</v>
      </c>
      <c r="F20" s="12">
        <v>1</v>
      </c>
      <c r="L20" s="11"/>
    </row>
    <row r="21" spans="1:12" x14ac:dyDescent="0.25">
      <c r="A21" t="s">
        <v>49</v>
      </c>
      <c r="B21">
        <v>19</v>
      </c>
      <c r="C21" s="10">
        <v>1.5833333333333335E-2</v>
      </c>
      <c r="D21" s="12">
        <v>0</v>
      </c>
      <c r="E21" s="12">
        <v>19</v>
      </c>
      <c r="F21" s="12">
        <v>0</v>
      </c>
      <c r="L21" s="11"/>
    </row>
    <row r="22" spans="1:12" x14ac:dyDescent="0.25">
      <c r="A22" t="s">
        <v>52</v>
      </c>
      <c r="B22">
        <v>23</v>
      </c>
      <c r="C22" s="10">
        <v>1.9166666666666665E-2</v>
      </c>
      <c r="D22" s="12">
        <v>2</v>
      </c>
      <c r="E22" s="12">
        <v>20</v>
      </c>
      <c r="F22" s="12">
        <v>1</v>
      </c>
      <c r="L22" s="11"/>
    </row>
    <row r="23" spans="1:12" x14ac:dyDescent="0.25">
      <c r="A23" t="s">
        <v>56</v>
      </c>
      <c r="B23">
        <v>24</v>
      </c>
      <c r="C23" s="10">
        <v>0.02</v>
      </c>
      <c r="D23" s="12">
        <v>1</v>
      </c>
      <c r="E23" s="12">
        <v>22</v>
      </c>
      <c r="F23" s="12">
        <v>1</v>
      </c>
      <c r="L23" s="11"/>
    </row>
    <row r="24" spans="1:12" x14ac:dyDescent="0.25">
      <c r="A24" t="s">
        <v>59</v>
      </c>
      <c r="B24">
        <v>24</v>
      </c>
      <c r="C24" s="10">
        <v>0.02</v>
      </c>
      <c r="D24" s="12">
        <v>1</v>
      </c>
      <c r="E24" s="12">
        <v>23</v>
      </c>
      <c r="F24" s="12">
        <v>0</v>
      </c>
      <c r="L24" s="11"/>
    </row>
    <row r="25" spans="1:12" x14ac:dyDescent="0.25">
      <c r="A25" t="s">
        <v>60</v>
      </c>
      <c r="B25">
        <v>23</v>
      </c>
      <c r="C25" s="10">
        <v>1.9166666666666665E-2</v>
      </c>
      <c r="D25" s="12">
        <v>1</v>
      </c>
      <c r="E25" s="12">
        <v>21</v>
      </c>
      <c r="F25" s="12">
        <v>1</v>
      </c>
      <c r="L25" s="11"/>
    </row>
    <row r="26" spans="1:12" x14ac:dyDescent="0.25">
      <c r="A26" t="s">
        <v>65</v>
      </c>
      <c r="B26">
        <v>26</v>
      </c>
      <c r="C26" s="10">
        <v>2.1666666666666667E-2</v>
      </c>
      <c r="D26" s="12">
        <v>1</v>
      </c>
      <c r="E26" s="12">
        <v>25</v>
      </c>
      <c r="F26" s="12">
        <v>0</v>
      </c>
      <c r="L26" s="11"/>
    </row>
    <row r="27" spans="1:12" x14ac:dyDescent="0.25">
      <c r="A27" t="s">
        <v>66</v>
      </c>
      <c r="B27">
        <v>15</v>
      </c>
      <c r="C27" s="10">
        <v>1.2500000000000001E-2</v>
      </c>
      <c r="D27" s="12">
        <v>1</v>
      </c>
      <c r="E27" s="12">
        <v>13</v>
      </c>
      <c r="F27" s="12">
        <v>1</v>
      </c>
      <c r="L27" s="11"/>
    </row>
    <row r="28" spans="1:12" x14ac:dyDescent="0.25">
      <c r="A28" t="s">
        <v>69</v>
      </c>
      <c r="B28">
        <v>26</v>
      </c>
      <c r="C28" s="10">
        <v>2.1666666666666667E-2</v>
      </c>
      <c r="D28" s="12">
        <v>1</v>
      </c>
      <c r="E28" s="12">
        <v>25</v>
      </c>
      <c r="F28" s="12">
        <v>0</v>
      </c>
      <c r="L28" s="11"/>
    </row>
    <row r="29" spans="1:12" x14ac:dyDescent="0.25">
      <c r="A29" t="s">
        <v>71</v>
      </c>
      <c r="B29">
        <v>16</v>
      </c>
      <c r="C29" s="10">
        <v>1.3333333333333334E-2</v>
      </c>
      <c r="D29" s="12">
        <v>2</v>
      </c>
      <c r="E29" s="12">
        <v>14</v>
      </c>
      <c r="F29" s="12">
        <v>0</v>
      </c>
      <c r="L29" s="11"/>
    </row>
    <row r="30" spans="1:12" x14ac:dyDescent="0.25">
      <c r="A30" t="s">
        <v>73</v>
      </c>
      <c r="B30">
        <v>19</v>
      </c>
      <c r="C30" s="10">
        <v>1.5833333333333335E-2</v>
      </c>
      <c r="D30" s="12">
        <v>0</v>
      </c>
      <c r="E30" s="12">
        <v>19</v>
      </c>
      <c r="F30" s="12">
        <v>0</v>
      </c>
      <c r="L30" s="11"/>
    </row>
    <row r="31" spans="1:12" x14ac:dyDescent="0.25">
      <c r="A31" t="s">
        <v>76</v>
      </c>
      <c r="B31">
        <v>20</v>
      </c>
      <c r="C31" s="10">
        <v>1.6666666666666666E-2</v>
      </c>
      <c r="D31" s="12">
        <v>0</v>
      </c>
      <c r="E31" s="12">
        <v>20</v>
      </c>
      <c r="F31" s="12">
        <v>0</v>
      </c>
      <c r="L31" s="11"/>
    </row>
    <row r="32" spans="1:12" x14ac:dyDescent="0.25">
      <c r="A32" t="s">
        <v>79</v>
      </c>
      <c r="B32">
        <v>30</v>
      </c>
      <c r="C32" s="10">
        <v>2.5000000000000001E-2</v>
      </c>
      <c r="D32" s="12">
        <v>3</v>
      </c>
      <c r="E32" s="12">
        <v>26</v>
      </c>
      <c r="F32" s="12">
        <v>1</v>
      </c>
      <c r="L32" s="11"/>
    </row>
    <row r="33" spans="1:12" x14ac:dyDescent="0.25">
      <c r="A33" t="s">
        <v>83</v>
      </c>
      <c r="B33">
        <v>32</v>
      </c>
      <c r="C33" s="10">
        <v>2.6666666666666668E-2</v>
      </c>
      <c r="D33" s="12">
        <v>3</v>
      </c>
      <c r="E33" s="12">
        <v>28</v>
      </c>
      <c r="F33" s="12">
        <v>1</v>
      </c>
      <c r="L33" s="11"/>
    </row>
    <row r="34" spans="1:12" x14ac:dyDescent="0.25">
      <c r="A34" t="s">
        <v>85</v>
      </c>
      <c r="B34">
        <v>21</v>
      </c>
      <c r="C34" s="10">
        <v>1.7500000000000002E-2</v>
      </c>
      <c r="D34" s="12">
        <v>2</v>
      </c>
      <c r="E34" s="12">
        <v>19</v>
      </c>
      <c r="F34" s="12">
        <v>0</v>
      </c>
      <c r="L34" s="11"/>
    </row>
    <row r="35" spans="1:12" x14ac:dyDescent="0.25">
      <c r="A35" t="s">
        <v>87</v>
      </c>
      <c r="B35">
        <v>26</v>
      </c>
      <c r="C35" s="10">
        <v>2.1666666666666667E-2</v>
      </c>
      <c r="D35" s="12">
        <v>2</v>
      </c>
      <c r="E35" s="12">
        <v>24</v>
      </c>
      <c r="F35" s="12">
        <v>0</v>
      </c>
      <c r="L35" s="11"/>
    </row>
    <row r="36" spans="1:12" x14ac:dyDescent="0.25">
      <c r="A36" t="s">
        <v>90</v>
      </c>
      <c r="B36">
        <v>23</v>
      </c>
      <c r="C36" s="10">
        <v>1.9166666666666665E-2</v>
      </c>
      <c r="D36" s="12">
        <v>1</v>
      </c>
      <c r="E36" s="12">
        <v>22</v>
      </c>
      <c r="F36" s="12">
        <v>0</v>
      </c>
      <c r="L36" s="11"/>
    </row>
    <row r="37" spans="1:12" x14ac:dyDescent="0.25">
      <c r="A37" t="s">
        <v>92</v>
      </c>
      <c r="B37">
        <v>29</v>
      </c>
      <c r="C37" s="10">
        <v>2.4166666666666666E-2</v>
      </c>
      <c r="D37" s="12">
        <v>6</v>
      </c>
      <c r="E37" s="12">
        <v>23</v>
      </c>
      <c r="F37" s="12">
        <v>0</v>
      </c>
      <c r="L37" s="11"/>
    </row>
    <row r="38" spans="1:12" x14ac:dyDescent="0.25">
      <c r="A38" t="s">
        <v>94</v>
      </c>
      <c r="B38">
        <v>20</v>
      </c>
      <c r="C38" s="10">
        <v>1.6666666666666666E-2</v>
      </c>
      <c r="D38" s="12">
        <v>1</v>
      </c>
      <c r="E38" s="12">
        <v>19</v>
      </c>
      <c r="F38" s="12">
        <v>0</v>
      </c>
      <c r="L38" s="11"/>
    </row>
    <row r="39" spans="1:12" x14ac:dyDescent="0.25">
      <c r="A39" t="s">
        <v>97</v>
      </c>
      <c r="B39">
        <v>35</v>
      </c>
      <c r="C39" s="10">
        <v>2.9166666666666667E-2</v>
      </c>
      <c r="D39" s="12">
        <v>1</v>
      </c>
      <c r="E39" s="12">
        <v>34</v>
      </c>
      <c r="F39" s="12">
        <v>0</v>
      </c>
      <c r="L39" s="11"/>
    </row>
    <row r="40" spans="1:12" x14ac:dyDescent="0.25">
      <c r="A40" t="s">
        <v>98</v>
      </c>
      <c r="B40">
        <v>24</v>
      </c>
      <c r="C40" s="10">
        <v>0.02</v>
      </c>
      <c r="D40" s="12">
        <v>1</v>
      </c>
      <c r="E40" s="12">
        <v>23</v>
      </c>
      <c r="F40" s="12">
        <v>0</v>
      </c>
      <c r="L40" s="11"/>
    </row>
    <row r="41" spans="1:12" x14ac:dyDescent="0.25">
      <c r="A41" t="s">
        <v>100</v>
      </c>
      <c r="B41">
        <v>26</v>
      </c>
      <c r="C41" s="10">
        <v>2.1666666666666667E-2</v>
      </c>
      <c r="D41" s="12">
        <v>2</v>
      </c>
      <c r="E41" s="12">
        <v>24</v>
      </c>
      <c r="F41" s="12">
        <v>0</v>
      </c>
      <c r="L41" s="11"/>
    </row>
    <row r="42" spans="1:12" x14ac:dyDescent="0.25">
      <c r="A42" t="s">
        <v>101</v>
      </c>
      <c r="B42">
        <v>26</v>
      </c>
      <c r="C42" s="10">
        <v>2.1666666666666667E-2</v>
      </c>
      <c r="D42" s="12">
        <v>1</v>
      </c>
      <c r="E42" s="12">
        <v>25</v>
      </c>
      <c r="F42" s="12">
        <v>0</v>
      </c>
      <c r="L42" s="11"/>
    </row>
    <row r="43" spans="1:12" x14ac:dyDescent="0.25">
      <c r="A43" t="s">
        <v>103</v>
      </c>
      <c r="B43">
        <v>23</v>
      </c>
      <c r="C43" s="10">
        <v>1.9166666666666665E-2</v>
      </c>
      <c r="D43" s="12">
        <v>1</v>
      </c>
      <c r="E43" s="12">
        <v>22</v>
      </c>
      <c r="F43" s="12">
        <v>0</v>
      </c>
      <c r="L43" s="11"/>
    </row>
    <row r="44" spans="1:12" x14ac:dyDescent="0.25">
      <c r="A44" t="s">
        <v>105</v>
      </c>
      <c r="B44">
        <v>25</v>
      </c>
      <c r="C44" s="10">
        <v>2.0833333333333332E-2</v>
      </c>
      <c r="D44" s="12">
        <v>2</v>
      </c>
      <c r="E44" s="12">
        <v>23</v>
      </c>
      <c r="F44" s="12">
        <v>0</v>
      </c>
      <c r="L44" s="11"/>
    </row>
    <row r="45" spans="1:12" x14ac:dyDescent="0.25">
      <c r="A45" t="s">
        <v>107</v>
      </c>
      <c r="B45">
        <v>30</v>
      </c>
      <c r="C45" s="10">
        <v>2.5000000000000001E-2</v>
      </c>
      <c r="D45" s="12">
        <v>2</v>
      </c>
      <c r="E45" s="12">
        <v>28</v>
      </c>
      <c r="F45" s="12">
        <v>0</v>
      </c>
      <c r="L45" s="11"/>
    </row>
    <row r="46" spans="1:12" x14ac:dyDescent="0.25">
      <c r="A46" t="s">
        <v>110</v>
      </c>
      <c r="B46">
        <v>16</v>
      </c>
      <c r="C46" s="10">
        <v>1.3333333333333334E-2</v>
      </c>
      <c r="D46" s="12">
        <v>2</v>
      </c>
      <c r="E46" s="12">
        <v>14</v>
      </c>
      <c r="F46" s="12">
        <v>0</v>
      </c>
      <c r="L46" s="11"/>
    </row>
    <row r="47" spans="1:12" x14ac:dyDescent="0.25">
      <c r="A47" t="s">
        <v>112</v>
      </c>
      <c r="B47">
        <v>26</v>
      </c>
      <c r="C47" s="10">
        <v>2.1666666666666667E-2</v>
      </c>
      <c r="D47" s="12">
        <v>2</v>
      </c>
      <c r="E47" s="12">
        <v>24</v>
      </c>
      <c r="F47" s="12">
        <v>0</v>
      </c>
      <c r="L47" s="11"/>
    </row>
    <row r="48" spans="1:12" x14ac:dyDescent="0.25">
      <c r="A48" t="s">
        <v>113</v>
      </c>
      <c r="B48">
        <v>26</v>
      </c>
      <c r="C48" s="10">
        <v>2.1666666666666667E-2</v>
      </c>
      <c r="D48" s="12">
        <v>1</v>
      </c>
      <c r="E48" s="12">
        <v>25</v>
      </c>
      <c r="F48" s="12">
        <v>0</v>
      </c>
      <c r="L48" s="11"/>
    </row>
    <row r="49" spans="1:12" x14ac:dyDescent="0.25">
      <c r="A49" t="s">
        <v>116</v>
      </c>
      <c r="B49">
        <v>26</v>
      </c>
      <c r="C49" s="10">
        <v>2.1666666666666667E-2</v>
      </c>
      <c r="D49" s="12">
        <v>0</v>
      </c>
      <c r="E49" s="12">
        <v>26</v>
      </c>
      <c r="F49" s="12">
        <v>0</v>
      </c>
      <c r="L49" s="11"/>
    </row>
    <row r="50" spans="1:12" x14ac:dyDescent="0.25">
      <c r="A50" t="s">
        <v>118</v>
      </c>
      <c r="B50">
        <v>26</v>
      </c>
      <c r="C50" s="10">
        <v>2.1666666666666667E-2</v>
      </c>
      <c r="D50" s="12">
        <v>3</v>
      </c>
      <c r="E50" s="12">
        <v>23</v>
      </c>
      <c r="F50" s="12">
        <v>0</v>
      </c>
      <c r="L50" s="11"/>
    </row>
    <row r="51" spans="1:12" x14ac:dyDescent="0.25">
      <c r="A51" t="s">
        <v>121</v>
      </c>
      <c r="B51">
        <v>21</v>
      </c>
      <c r="C51" s="10">
        <v>1.7500000000000002E-2</v>
      </c>
      <c r="D51" s="12">
        <v>0</v>
      </c>
      <c r="E51" s="12">
        <v>21</v>
      </c>
      <c r="F51" s="12">
        <v>0</v>
      </c>
      <c r="L51" s="11"/>
    </row>
    <row r="52" spans="1:12" x14ac:dyDescent="0.25">
      <c r="A52" t="s">
        <v>123</v>
      </c>
      <c r="B52">
        <v>33</v>
      </c>
      <c r="C52" s="10">
        <v>2.75E-2</v>
      </c>
      <c r="D52" s="12">
        <v>0</v>
      </c>
      <c r="E52" s="12">
        <v>33</v>
      </c>
      <c r="F52" s="12">
        <v>0</v>
      </c>
      <c r="L52" s="11"/>
    </row>
    <row r="53" spans="1:12" x14ac:dyDescent="0.25">
      <c r="A53" t="s">
        <v>125</v>
      </c>
      <c r="B53">
        <v>24</v>
      </c>
      <c r="C53" s="10">
        <v>0.02</v>
      </c>
      <c r="D53" s="12">
        <v>1</v>
      </c>
      <c r="E53" s="12">
        <v>22</v>
      </c>
      <c r="F53" s="12">
        <v>1</v>
      </c>
      <c r="L53" s="11"/>
    </row>
    <row r="54" spans="1:12" x14ac:dyDescent="0.25">
      <c r="A54" t="s">
        <v>127</v>
      </c>
      <c r="B54">
        <v>25</v>
      </c>
      <c r="C54" s="10">
        <v>2.0833333333333332E-2</v>
      </c>
      <c r="D54" s="12">
        <v>1</v>
      </c>
      <c r="E54" s="12">
        <v>23</v>
      </c>
      <c r="F54" s="12">
        <v>1</v>
      </c>
      <c r="L54" s="11"/>
    </row>
    <row r="55" spans="1:12" x14ac:dyDescent="0.25">
      <c r="A55" t="s">
        <v>128</v>
      </c>
      <c r="B55">
        <v>21</v>
      </c>
      <c r="C55" s="10">
        <v>1.7500000000000002E-2</v>
      </c>
      <c r="D55" s="12">
        <v>0</v>
      </c>
      <c r="E55" s="12">
        <v>21</v>
      </c>
      <c r="F55" s="12">
        <v>0</v>
      </c>
      <c r="L55" s="11"/>
    </row>
    <row r="56" spans="1:12" x14ac:dyDescent="0.25">
      <c r="A56" t="s">
        <v>130</v>
      </c>
      <c r="B56">
        <v>24</v>
      </c>
      <c r="C56" s="10">
        <v>0.02</v>
      </c>
      <c r="D56" s="12">
        <v>0</v>
      </c>
      <c r="E56" s="12">
        <v>24</v>
      </c>
      <c r="F56" s="12">
        <v>0</v>
      </c>
      <c r="L56" s="11"/>
    </row>
    <row r="57" spans="1:12" x14ac:dyDescent="0.25">
      <c r="A57" t="s">
        <v>132</v>
      </c>
      <c r="B57">
        <v>23</v>
      </c>
      <c r="C57" s="10">
        <v>1.9166666666666665E-2</v>
      </c>
      <c r="D57" s="12">
        <v>3</v>
      </c>
      <c r="E57" s="12">
        <v>19</v>
      </c>
      <c r="F57" s="12">
        <v>1</v>
      </c>
      <c r="L57" s="11"/>
    </row>
    <row r="58" spans="1:12" x14ac:dyDescent="0.25">
      <c r="A58" t="s">
        <v>134</v>
      </c>
      <c r="B58">
        <v>33</v>
      </c>
      <c r="C58" s="10">
        <v>2.75E-2</v>
      </c>
      <c r="D58" s="12">
        <v>3</v>
      </c>
      <c r="E58" s="12">
        <v>30</v>
      </c>
      <c r="F58" s="12">
        <v>0</v>
      </c>
      <c r="L58" s="11"/>
    </row>
    <row r="59" spans="1:12" x14ac:dyDescent="0.25">
      <c r="A59" t="s">
        <v>136</v>
      </c>
      <c r="B59">
        <v>20</v>
      </c>
      <c r="C59" s="10">
        <v>1.6666666666666666E-2</v>
      </c>
      <c r="D59" s="12">
        <v>0</v>
      </c>
      <c r="E59" s="12">
        <v>20</v>
      </c>
      <c r="F59" s="12">
        <v>0</v>
      </c>
      <c r="L59" s="11"/>
    </row>
    <row r="60" spans="1:12" x14ac:dyDescent="0.25">
      <c r="L60" s="11"/>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CF140-A3C3-4F30-A8CD-F8D68933E1C7}">
  <dimension ref="A1:AB12"/>
  <sheetViews>
    <sheetView workbookViewId="0">
      <selection activeCell="F1" sqref="F1"/>
    </sheetView>
  </sheetViews>
  <sheetFormatPr defaultRowHeight="15" x14ac:dyDescent="0.25"/>
  <cols>
    <col min="1" max="1" width="20.5703125" bestFit="1" customWidth="1"/>
    <col min="2" max="2" width="17" bestFit="1" customWidth="1"/>
    <col min="3" max="3" width="22.42578125" bestFit="1" customWidth="1"/>
    <col min="4" max="4" width="15.7109375" bestFit="1" customWidth="1"/>
    <col min="6" max="6" width="22.42578125" bestFit="1" customWidth="1"/>
    <col min="7" max="7" width="18.7109375" bestFit="1" customWidth="1"/>
    <col min="8" max="8" width="21" bestFit="1" customWidth="1"/>
    <col min="10" max="10" width="15.140625" bestFit="1" customWidth="1"/>
    <col min="11" max="11" width="10.7109375" bestFit="1" customWidth="1"/>
    <col min="12" max="12" width="17" bestFit="1" customWidth="1"/>
    <col min="27" max="27" width="22.42578125" bestFit="1" customWidth="1"/>
    <col min="28" max="28" width="18.7109375" bestFit="1" customWidth="1"/>
  </cols>
  <sheetData>
    <row r="1" spans="1:28" x14ac:dyDescent="0.25">
      <c r="A1" t="s">
        <v>2996</v>
      </c>
      <c r="B1" t="s">
        <v>2997</v>
      </c>
      <c r="C1" t="s">
        <v>2998</v>
      </c>
      <c r="D1" t="s">
        <v>2999</v>
      </c>
      <c r="F1" s="8" t="s">
        <v>3000</v>
      </c>
      <c r="G1" t="s">
        <v>3002</v>
      </c>
      <c r="H1" t="s">
        <v>3003</v>
      </c>
      <c r="J1" s="8" t="s">
        <v>3000</v>
      </c>
      <c r="K1" t="s">
        <v>3004</v>
      </c>
      <c r="L1" t="s">
        <v>3005</v>
      </c>
      <c r="AA1" s="8" t="s">
        <v>3000</v>
      </c>
      <c r="AB1" t="s">
        <v>3002</v>
      </c>
    </row>
    <row r="2" spans="1:28" x14ac:dyDescent="0.25">
      <c r="A2" s="5">
        <v>50</v>
      </c>
      <c r="B2" s="5">
        <v>1200</v>
      </c>
      <c r="C2" s="6">
        <v>0.06</v>
      </c>
      <c r="D2" s="7">
        <v>23.166666666666668</v>
      </c>
      <c r="F2" s="9" t="s">
        <v>165</v>
      </c>
      <c r="G2" s="5">
        <v>1200</v>
      </c>
      <c r="H2" s="7">
        <v>1</v>
      </c>
      <c r="J2" s="9" t="s">
        <v>143</v>
      </c>
      <c r="K2" s="5">
        <v>7</v>
      </c>
      <c r="L2" s="7">
        <v>-23.428571428571427</v>
      </c>
      <c r="AA2" s="9" t="s">
        <v>165</v>
      </c>
      <c r="AB2" s="5">
        <v>1200</v>
      </c>
    </row>
    <row r="3" spans="1:28" x14ac:dyDescent="0.25">
      <c r="F3" s="9" t="s">
        <v>166</v>
      </c>
      <c r="G3" s="5">
        <v>897</v>
      </c>
      <c r="H3" s="7">
        <v>0.74750000000000005</v>
      </c>
      <c r="J3" s="9" t="s">
        <v>154</v>
      </c>
      <c r="K3" s="5">
        <v>7</v>
      </c>
      <c r="L3" s="7">
        <v>-19.571428571428573</v>
      </c>
      <c r="AA3" s="9" t="s">
        <v>166</v>
      </c>
      <c r="AB3" s="5">
        <v>897</v>
      </c>
    </row>
    <row r="4" spans="1:28" x14ac:dyDescent="0.25">
      <c r="F4" s="9" t="s">
        <v>167</v>
      </c>
      <c r="G4" s="5">
        <v>551</v>
      </c>
      <c r="H4" s="7">
        <v>0.61426978818283162</v>
      </c>
      <c r="J4" s="9" t="s">
        <v>159</v>
      </c>
      <c r="K4" s="5">
        <v>9</v>
      </c>
      <c r="L4" s="7">
        <v>-23.444444444444443</v>
      </c>
      <c r="AA4" s="9" t="s">
        <v>167</v>
      </c>
      <c r="AB4" s="5">
        <v>551</v>
      </c>
    </row>
    <row r="5" spans="1:28" x14ac:dyDescent="0.25">
      <c r="F5" s="9" t="s">
        <v>168</v>
      </c>
      <c r="G5" s="5">
        <v>246</v>
      </c>
      <c r="H5" s="7">
        <v>0.44646098003629764</v>
      </c>
      <c r="J5" s="9" t="s">
        <v>146</v>
      </c>
      <c r="K5" s="5">
        <v>10</v>
      </c>
      <c r="L5" s="7">
        <v>-25.6</v>
      </c>
      <c r="AA5" s="9" t="s">
        <v>168</v>
      </c>
      <c r="AB5" s="5">
        <v>246</v>
      </c>
    </row>
    <row r="6" spans="1:28" x14ac:dyDescent="0.25">
      <c r="F6" s="9" t="s">
        <v>169</v>
      </c>
      <c r="G6" s="5">
        <v>109</v>
      </c>
      <c r="H6" s="7">
        <v>0.44308943089430897</v>
      </c>
      <c r="J6" s="9" t="s">
        <v>151</v>
      </c>
      <c r="K6" s="5">
        <v>16</v>
      </c>
      <c r="L6" s="7">
        <v>-42.8125</v>
      </c>
      <c r="AA6" s="9" t="s">
        <v>169</v>
      </c>
      <c r="AB6" s="5">
        <v>109</v>
      </c>
    </row>
    <row r="7" spans="1:28" x14ac:dyDescent="0.25">
      <c r="F7" s="9" t="s">
        <v>170</v>
      </c>
      <c r="G7" s="5">
        <v>84</v>
      </c>
      <c r="H7" s="7">
        <v>0.77064220183486243</v>
      </c>
      <c r="J7" s="9" t="s">
        <v>161</v>
      </c>
      <c r="K7" s="5">
        <v>8</v>
      </c>
      <c r="L7" s="7">
        <v>-24.875</v>
      </c>
      <c r="AA7" s="9" t="s">
        <v>170</v>
      </c>
      <c r="AB7" s="5">
        <v>84</v>
      </c>
    </row>
    <row r="8" spans="1:28" x14ac:dyDescent="0.25">
      <c r="F8" s="9" t="s">
        <v>171</v>
      </c>
      <c r="G8" s="5">
        <v>72</v>
      </c>
      <c r="H8" s="7">
        <v>0.8571428571428571</v>
      </c>
      <c r="J8" s="9" t="s">
        <v>157</v>
      </c>
      <c r="K8" s="5">
        <v>7</v>
      </c>
      <c r="L8" s="7">
        <v>-19.571428571428573</v>
      </c>
      <c r="AA8" s="9" t="s">
        <v>171</v>
      </c>
      <c r="AB8" s="5">
        <v>72</v>
      </c>
    </row>
    <row r="9" spans="1:28" x14ac:dyDescent="0.25">
      <c r="J9" s="9" t="s">
        <v>148</v>
      </c>
      <c r="K9" s="5">
        <v>8</v>
      </c>
      <c r="L9" s="7">
        <v>-29.125</v>
      </c>
    </row>
    <row r="10" spans="1:28" x14ac:dyDescent="0.25">
      <c r="J10" s="9" t="s">
        <v>3001</v>
      </c>
      <c r="K10" s="5">
        <v>72</v>
      </c>
      <c r="L10" s="7">
        <v>-28.083333333333332</v>
      </c>
    </row>
    <row r="12" spans="1:28" hidden="1" x14ac:dyDescent="0.25">
      <c r="A12">
        <f>GETPIVOTDATA("[Measures].[Total Job Requisitions]",$A$1)</f>
        <v>50</v>
      </c>
      <c r="B12">
        <f>GETPIVOTDATA("[Measures].[Total Applications]",$A$1)</f>
        <v>1200</v>
      </c>
      <c r="C12" s="10">
        <f>GETPIVOTDATA("[Measures].[Overall Hire Conversion]",$A$1)</f>
        <v>0.06</v>
      </c>
      <c r="D12" s="7">
        <f>GETPIVOTDATA("[Measures].[Avg Time to Hire]",$A$1)</f>
        <v>23.166666666666668</v>
      </c>
    </row>
  </sheetData>
  <pageMargins left="0.7" right="0.7" top="0.75" bottom="0.75" header="0.3" footer="0.3"/>
  <pageSetup orientation="portrait"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EC699-68D4-4AC8-81DC-4EDCDC6186B7}">
  <dimension ref="A23:L28"/>
  <sheetViews>
    <sheetView showGridLines="0" showRowColHeaders="0" tabSelected="1" workbookViewId="0">
      <selection activeCell="M23" sqref="M23"/>
    </sheetView>
  </sheetViews>
  <sheetFormatPr defaultRowHeight="15" x14ac:dyDescent="0.25"/>
  <cols>
    <col min="1" max="1" width="13.5703125" bestFit="1" customWidth="1"/>
    <col min="2" max="2" width="12.28515625" bestFit="1" customWidth="1"/>
    <col min="3" max="3" width="8.140625" bestFit="1" customWidth="1"/>
    <col min="4" max="4" width="17" bestFit="1" customWidth="1"/>
    <col min="5" max="5" width="15" bestFit="1" customWidth="1"/>
    <col min="7" max="7" width="11.28515625" bestFit="1" customWidth="1"/>
    <col min="8" max="8" width="18" bestFit="1" customWidth="1"/>
    <col min="9" max="9" width="12.28515625" bestFit="1" customWidth="1"/>
    <col min="10" max="10" width="5.85546875" bestFit="1" customWidth="1"/>
    <col min="11" max="11" width="8.85546875" bestFit="1" customWidth="1"/>
    <col min="12" max="12" width="14.7109375" bestFit="1" customWidth="1"/>
  </cols>
  <sheetData>
    <row r="23" spans="1:12" x14ac:dyDescent="0.25">
      <c r="A23" t="s">
        <v>3006</v>
      </c>
      <c r="D23" t="s">
        <v>2990</v>
      </c>
      <c r="E23" t="s">
        <v>132</v>
      </c>
      <c r="G23" t="s">
        <v>2990</v>
      </c>
      <c r="H23" t="s">
        <v>3009</v>
      </c>
      <c r="I23" t="s">
        <v>3013</v>
      </c>
      <c r="J23" t="s">
        <v>1692</v>
      </c>
      <c r="K23" t="s">
        <v>1618</v>
      </c>
      <c r="L23" t="s">
        <v>1746</v>
      </c>
    </row>
    <row r="24" spans="1:12" x14ac:dyDescent="0.25">
      <c r="A24" t="s">
        <v>2984</v>
      </c>
      <c r="B24" t="s">
        <v>2985</v>
      </c>
      <c r="C24" t="s">
        <v>3007</v>
      </c>
      <c r="D24" t="s">
        <v>3008</v>
      </c>
      <c r="E24" t="s">
        <v>2989</v>
      </c>
      <c r="G24" t="str" cm="1">
        <f t="array" ref="G24:L28">_xlfn._xlws.SORT(_xlfn._xlws.FILTER(SortCount[],SortCount[Contribution]&gt;=0.02628),2,-1)</f>
        <v>REQ-202530</v>
      </c>
      <c r="H24">
        <v>35</v>
      </c>
      <c r="I24">
        <v>2.9166666666666667E-2</v>
      </c>
      <c r="J24">
        <v>1</v>
      </c>
      <c r="K24">
        <v>34</v>
      </c>
      <c r="L24">
        <v>0</v>
      </c>
    </row>
    <row r="25" spans="1:12" x14ac:dyDescent="0.25">
      <c r="A25" t="str" cm="1">
        <f t="array" ref="A25:E28">IFERROR(_xlfn._xlws.SORT(_xlfn._xlws.FILTER(_xlfn.CHOOSECOLS(Applications[],1,2,6,8,9),(Applications[JobID]=E23)*(Applications[Final_Status]&lt;&gt;"Rejected")),4,-1),"No Active Pipeline")</f>
        <v>APP-1516</v>
      </c>
      <c r="B25" t="str">
        <v>CND-10516</v>
      </c>
      <c r="C25">
        <v>6</v>
      </c>
      <c r="D25">
        <v>98</v>
      </c>
      <c r="E25">
        <v>80</v>
      </c>
      <c r="G25" t="str">
        <v>REQ-202543</v>
      </c>
      <c r="H25">
        <v>33</v>
      </c>
      <c r="I25">
        <v>2.75E-2</v>
      </c>
      <c r="J25">
        <v>0</v>
      </c>
      <c r="K25">
        <v>33</v>
      </c>
      <c r="L25">
        <v>0</v>
      </c>
    </row>
    <row r="26" spans="1:12" x14ac:dyDescent="0.25">
      <c r="A26" t="str">
        <v>APP-1097</v>
      </c>
      <c r="B26" t="str">
        <v>CND-10097</v>
      </c>
      <c r="C26">
        <v>7</v>
      </c>
      <c r="D26">
        <v>91</v>
      </c>
      <c r="E26">
        <v>75</v>
      </c>
      <c r="G26" t="str">
        <v>REQ-202549</v>
      </c>
      <c r="H26">
        <v>33</v>
      </c>
      <c r="I26">
        <v>2.75E-2</v>
      </c>
      <c r="J26">
        <v>3</v>
      </c>
      <c r="K26">
        <v>30</v>
      </c>
      <c r="L26">
        <v>0</v>
      </c>
    </row>
    <row r="27" spans="1:12" x14ac:dyDescent="0.25">
      <c r="A27" t="str">
        <v>APP-1428</v>
      </c>
      <c r="B27" t="str">
        <v>CND-10428</v>
      </c>
      <c r="C27">
        <v>7</v>
      </c>
      <c r="D27">
        <v>90</v>
      </c>
      <c r="E27">
        <v>83</v>
      </c>
      <c r="G27" t="str">
        <v>REQ-202501</v>
      </c>
      <c r="H27">
        <v>32</v>
      </c>
      <c r="I27">
        <v>2.6666666666666668E-2</v>
      </c>
      <c r="J27">
        <v>1</v>
      </c>
      <c r="K27">
        <v>30</v>
      </c>
      <c r="L27">
        <v>1</v>
      </c>
    </row>
    <row r="28" spans="1:12" x14ac:dyDescent="0.25">
      <c r="A28" t="str">
        <v>APP-1762</v>
      </c>
      <c r="B28" t="str">
        <v>CND-10762</v>
      </c>
      <c r="C28">
        <v>7</v>
      </c>
      <c r="D28">
        <v>69</v>
      </c>
      <c r="E28">
        <v>89</v>
      </c>
      <c r="G28" t="str">
        <v>REQ-202524</v>
      </c>
      <c r="H28">
        <v>32</v>
      </c>
      <c r="I28">
        <v>2.6666666666666668E-2</v>
      </c>
      <c r="J28">
        <v>3</v>
      </c>
      <c r="K28">
        <v>28</v>
      </c>
      <c r="L28">
        <v>1</v>
      </c>
    </row>
  </sheetData>
  <pageMargins left="0.7" right="0.7" top="0.75" bottom="0.75" header="0.3" footer="0.3"/>
  <pageSetup paperSize="8" orientation="landscape"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9EAE845D-FAF4-4A4E-891E-AFB12D75EAB2}">
          <x14:formula1>
            <xm:f>Dim_Jobs!$A$2:$A$51</xm:f>
          </x14:formula1>
          <xm:sqref>E23</xm:sqref>
        </x14:dataValidation>
      </x14:dataValidations>
    </ex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9BD8C5FF-2F23-4C7D-883C-93C06098A31A}">
  <ds:schemaRefs/>
</ds:datastoreItem>
</file>

<file path=customXml/itemProps2.xml><?xml version="1.0" encoding="utf-8"?>
<ds:datastoreItem xmlns:ds="http://schemas.openxmlformats.org/officeDocument/2006/customXml" ds:itemID="{D433594A-69EF-4E85-892E-59B40843C776}">
  <ds:schemaRefs/>
</ds:datastoreItem>
</file>

<file path=customXml/itemProps3.xml><?xml version="1.0" encoding="utf-8"?>
<ds:datastoreItem xmlns:ds="http://schemas.openxmlformats.org/officeDocument/2006/customXml" ds:itemID="{ED5F2D6A-B6CE-4DC6-8531-776F5F0F36DA}">
  <ds:schemaRefs/>
</ds:datastoreItem>
</file>

<file path=customXml/itemProps4.xml><?xml version="1.0" encoding="utf-8"?>
<ds:datastoreItem xmlns:ds="http://schemas.openxmlformats.org/officeDocument/2006/customXml" ds:itemID="{394D3F13-B23D-4D11-B935-AC63D1AD11D5}">
  <ds:schemaRefs/>
</ds:datastoreItem>
</file>

<file path=customXml/itemProps5.xml><?xml version="1.0" encoding="utf-8"?>
<ds:datastoreItem xmlns:ds="http://schemas.openxmlformats.org/officeDocument/2006/customXml" ds:itemID="{8CDDCE71-622A-4746-8CA5-4790F7F512D3}">
  <ds:schemaRefs/>
</ds:datastoreItem>
</file>

<file path=customXml/itemProps6.xml><?xml version="1.0" encoding="utf-8"?>
<ds:datastoreItem xmlns:ds="http://schemas.openxmlformats.org/officeDocument/2006/customXml" ds:itemID="{B6CFB00C-B41C-4FC1-9C61-83658E536BB8}">
  <ds:schemaRefs/>
</ds:datastoreItem>
</file>

<file path=customXml/itemProps7.xml><?xml version="1.0" encoding="utf-8"?>
<ds:datastoreItem xmlns:ds="http://schemas.openxmlformats.org/officeDocument/2006/customXml" ds:itemID="{139A940F-665E-430B-BC13-863E0971FD0C}">
  <ds:schemaRefs/>
</ds:datastoreItem>
</file>

<file path=customXml/itemProps8.xml><?xml version="1.0" encoding="utf-8"?>
<ds:datastoreItem xmlns:ds="http://schemas.openxmlformats.org/officeDocument/2006/customXml" ds:itemID="{51CB92A0-4453-45B1-B35A-1F5EBBE547BA}">
  <ds:schemaRefs/>
</ds:datastoreItem>
</file>

<file path=customXml/itemProps9.xml><?xml version="1.0" encoding="utf-8"?>
<ds:datastoreItem xmlns:ds="http://schemas.openxmlformats.org/officeDocument/2006/customXml" ds:itemID="{BAC15329-7091-4580-BD14-B2ADB2933590}">
  <ds:schemaRefs/>
</ds:datastoreItem>
</file>

<file path=customXml/itemProps10.xml><?xml version="1.0" encoding="utf-8"?>
<ds:datastoreItem xmlns:ds="http://schemas.openxmlformats.org/officeDocument/2006/customXml" ds:itemID="{F4AC2561-1CFD-48E9-A6E9-AE737C785C41}">
  <ds:schemaRefs/>
</ds:datastoreItem>
</file>

<file path=customXml/itemProps11.xml><?xml version="1.0" encoding="utf-8"?>
<ds:datastoreItem xmlns:ds="http://schemas.openxmlformats.org/officeDocument/2006/customXml" ds:itemID="{2F3BC206-8850-4BA0-A936-9011FC647A77}">
  <ds:schemaRefs/>
</ds:datastoreItem>
</file>

<file path=customXml/itemProps12.xml><?xml version="1.0" encoding="utf-8"?>
<ds:datastoreItem xmlns:ds="http://schemas.openxmlformats.org/officeDocument/2006/customXml" ds:itemID="{0ECF0E03-8118-49AD-8EE7-26172EAB2DB5}">
  <ds:schemaRefs/>
</ds:datastoreItem>
</file>

<file path=customXml/itemProps13.xml><?xml version="1.0" encoding="utf-8"?>
<ds:datastoreItem xmlns:ds="http://schemas.openxmlformats.org/officeDocument/2006/customXml" ds:itemID="{A966487B-6143-4B5F-8406-8DE2ECE7EA38}">
  <ds:schemaRefs/>
</ds:datastoreItem>
</file>

<file path=customXml/itemProps14.xml><?xml version="1.0" encoding="utf-8"?>
<ds:datastoreItem xmlns:ds="http://schemas.openxmlformats.org/officeDocument/2006/customXml" ds:itemID="{A5E0129A-CCA9-4DD8-A4B3-935A06001565}">
  <ds:schemaRefs/>
</ds:datastoreItem>
</file>

<file path=customXml/itemProps15.xml><?xml version="1.0" encoding="utf-8"?>
<ds:datastoreItem xmlns:ds="http://schemas.openxmlformats.org/officeDocument/2006/customXml" ds:itemID="{0652D9C6-9004-471C-9466-29A6F139A93C}">
  <ds:schemaRefs/>
</ds:datastoreItem>
</file>

<file path=customXml/itemProps16.xml><?xml version="1.0" encoding="utf-8"?>
<ds:datastoreItem xmlns:ds="http://schemas.openxmlformats.org/officeDocument/2006/customXml" ds:itemID="{D631B9AA-9153-4AC6-8688-A149B5B1A9BC}">
  <ds:schemaRefs/>
</ds:datastoreItem>
</file>

<file path=customXml/itemProps17.xml><?xml version="1.0" encoding="utf-8"?>
<ds:datastoreItem xmlns:ds="http://schemas.openxmlformats.org/officeDocument/2006/customXml" ds:itemID="{D70344D8-24A6-4873-88F6-E6F5137127DA}">
  <ds:schemaRefs/>
</ds:datastoreItem>
</file>

<file path=customXml/itemProps18.xml><?xml version="1.0" encoding="utf-8"?>
<ds:datastoreItem xmlns:ds="http://schemas.openxmlformats.org/officeDocument/2006/customXml" ds:itemID="{46B50419-EBAE-4B0D-AFD8-72BA80BA5878}">
  <ds:schemaRefs/>
</ds:datastoreItem>
</file>

<file path=customXml/itemProps19.xml><?xml version="1.0" encoding="utf-8"?>
<ds:datastoreItem xmlns:ds="http://schemas.openxmlformats.org/officeDocument/2006/customXml" ds:itemID="{A24B7FB0-514A-4256-AC06-1A4DC4E9BDA3}">
  <ds:schemaRefs/>
</ds:datastoreItem>
</file>

<file path=customXml/itemProps20.xml><?xml version="1.0" encoding="utf-8"?>
<ds:datastoreItem xmlns:ds="http://schemas.openxmlformats.org/officeDocument/2006/customXml" ds:itemID="{1FA5BEA3-C090-4447-92FC-EF3DB1026755}">
  <ds:schemaRefs/>
</ds:datastoreItem>
</file>

<file path=customXml/itemProps21.xml><?xml version="1.0" encoding="utf-8"?>
<ds:datastoreItem xmlns:ds="http://schemas.openxmlformats.org/officeDocument/2006/customXml" ds:itemID="{1A25905F-83AE-45A5-B418-F094623CBBB7}">
  <ds:schemaRefs/>
</ds:datastoreItem>
</file>

<file path=customXml/itemProps22.xml><?xml version="1.0" encoding="utf-8"?>
<ds:datastoreItem xmlns:ds="http://schemas.openxmlformats.org/officeDocument/2006/customXml" ds:itemID="{603C85F6-A985-44E3-B993-4FCA35EF8539}">
  <ds:schemaRefs/>
</ds:datastoreItem>
</file>

<file path=customXml/itemProps23.xml><?xml version="1.0" encoding="utf-8"?>
<ds:datastoreItem xmlns:ds="http://schemas.openxmlformats.org/officeDocument/2006/customXml" ds:itemID="{38580F6D-AF2B-49C6-91D3-B7316E521024}">
  <ds:schemaRefs/>
</ds:datastoreItem>
</file>

<file path=customXml/itemProps24.xml><?xml version="1.0" encoding="utf-8"?>
<ds:datastoreItem xmlns:ds="http://schemas.openxmlformats.org/officeDocument/2006/customXml" ds:itemID="{2B7CF18C-3211-42AA-BB10-2C402521ECF3}">
  <ds:schemaRefs/>
</ds:datastoreItem>
</file>

<file path=customXml/itemProps25.xml><?xml version="1.0" encoding="utf-8"?>
<ds:datastoreItem xmlns:ds="http://schemas.openxmlformats.org/officeDocument/2006/customXml" ds:itemID="{02709A7B-7FAE-45DE-98CE-AE5202FAE80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Dim_Jobs</vt:lpstr>
      <vt:lpstr>Dim_Recruiters</vt:lpstr>
      <vt:lpstr>Dim_Stages</vt:lpstr>
      <vt:lpstr>Dim_Candidates</vt:lpstr>
      <vt:lpstr>Fact_Applications</vt:lpstr>
      <vt:lpstr>Fact_Stage_Movements</vt:lpstr>
      <vt:lpstr>Operational_Console</vt:lpstr>
      <vt:lpstr>Staging_Pivot</vt:lpstr>
      <vt:lpstr>Visual_Story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Sudhanshu Naik</cp:lastModifiedBy>
  <cp:lastPrinted>2026-08-02T05:41:14Z</cp:lastPrinted>
  <dcterms:created xsi:type="dcterms:W3CDTF">2026-07-27T15:03:48Z</dcterms:created>
  <dcterms:modified xsi:type="dcterms:W3CDTF">2026-08-02T06:51:40Z</dcterms:modified>
</cp:coreProperties>
</file>